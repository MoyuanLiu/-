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数据处理!$A$1:$N$3238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<sst xmlns="http://schemas.openxmlformats.org/spreadsheetml/2006/main" count="1703">
  <si>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</si>
  <si>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</si>
  <si>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</si>
  <si>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</si>
  <si>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</si>
  <si>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</si>
  <si>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</si>
  <si>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</si>
  <si>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KTKXKW0L</t>
  </si>
  <si>
    <t>X001H79QA1</t>
  </si>
  <si>
    <t>B073XMFYWX</t>
  </si>
  <si>
    <t>Women's White Linen Pants Casual Loose Linen Cropped Wide Leg Pants(White,L)</t>
  </si>
  <si>
    <t>N039YP036</t>
  </si>
  <si>
    <t>X001J1TFHT</t>
  </si>
  <si>
    <t>B074K1913X</t>
  </si>
  <si>
    <t>Women Bras On Sale Purple Sports Cup Bra Purple 36</t>
  </si>
  <si>
    <t>N039YR036</t>
  </si>
  <si>
    <t>X001J0VN4X</t>
  </si>
  <si>
    <t>B074JYMHZL</t>
  </si>
  <si>
    <t>Women Bras Size Underwire Bra Red 36</t>
  </si>
  <si>
    <t>N2716YYGL38</t>
  </si>
  <si>
    <t>X001JBF03H</t>
  </si>
  <si>
    <t>B074Q9RQFH</t>
  </si>
  <si>
    <t>ZAIAI Women Bras Comfort Sports Bras For Women Green 38</t>
  </si>
  <si>
    <t>N2716YR036</t>
  </si>
  <si>
    <t>X001JBF9B5</t>
  </si>
  <si>
    <t>B074QGLLQN</t>
  </si>
  <si>
    <t>ZAIAI Nursing Bras For Women Sports Bra Red 36</t>
  </si>
  <si>
    <t>N2716YR034</t>
  </si>
  <si>
    <t>X001JBFKKP</t>
  </si>
  <si>
    <t>B074QDS9ZN</t>
  </si>
  <si>
    <t>ZAIAI Womens Yoga Sport Bra For Free Bra Red 34</t>
  </si>
  <si>
    <t>NY-XUHM002-K0-L</t>
  </si>
  <si>
    <t>X001QABHXN</t>
  </si>
  <si>
    <t>B07BKR7DCF</t>
  </si>
  <si>
    <t>ZAIAI Women's Microfiber Longline Lace Bralette Black L</t>
  </si>
  <si>
    <t>NY-XUHM002-PI-M</t>
  </si>
  <si>
    <t>X001QDXKPX</t>
  </si>
  <si>
    <t>B07BKSWCR3</t>
  </si>
  <si>
    <t>ZAIAI Women's Microfiber Longline Lace Bralette Pink M</t>
  </si>
  <si>
    <t>NY-XUHM002-K0-M</t>
  </si>
  <si>
    <t>X001QB9WZ7</t>
  </si>
  <si>
    <t>B07BKT1Y4D</t>
  </si>
  <si>
    <t>ZAIAI Women's Microfiber Longline Lace Bralette Black M</t>
  </si>
  <si>
    <t>NY-XUHM331-B0-L</t>
  </si>
  <si>
    <t>X001Q8PKDD</t>
  </si>
  <si>
    <t>B07BKS4NK1</t>
  </si>
  <si>
    <t>ZAIAI Women's Comfort Revolution Shaping Wire-Free Bra with Smart Sizes Purple Melange L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</si>
  <si>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</si>
  <si>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</si>
  <si>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</si>
  <si>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</si>
  <si>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</si>
  <si>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</si>
  <si>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</si>
  <si>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</si>
  <si>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</si>
  <si>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</si>
  <si>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</si>
  <si>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</si>
  <si>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</si>
  <si>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</si>
  <si>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</si>
  <si>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</si>
  <si>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</si>
  <si>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</si>
  <si>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</si>
  <si>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</si>
  <si>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</si>
  <si>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</si>
  <si>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</si>
  <si>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</si>
  <si>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</si>
  <si>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</si>
  <si>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</si>
  <si>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</si>
  <si>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</si>
  <si>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</si>
  <si>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</si>
  <si>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</si>
  <si>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NK-XUHM001-K0-S</t>
  </si>
  <si>
    <t>X001O773R7</t>
  </si>
  <si>
    <t>B078WR3XZL</t>
  </si>
  <si>
    <t>ZAIAI Boyshort Panties Women Sexy Lace Fun Underwear Briefs Ladies Knickers Womens Triangle Thong Black S</t>
  </si>
  <si>
    <t>New</t>
  </si>
  <si>
    <t>USD</t>
  </si>
  <si>
    <t>Improve recommendations</t>
  </si>
  <si>
    <t>0.178302 cuft</t>
  </si>
  <si>
    <t>Apparel</t>
  </si>
  <si>
    <t>PYJKJSK0M</t>
  </si>
  <si>
    <t>X001H3KKEV</t>
  </si>
  <si>
    <t>B073WTRPXK</t>
  </si>
  <si>
    <t>MEIAOMA Womens Faux Leather Zip Up Moto Biker Jacket With Stitching Detail(Black,S)</t>
  </si>
  <si>
    <t>Low traffic</t>
  </si>
  <si>
    <t>Create Sale</t>
  </si>
  <si>
    <t>5.8E-5 cuft</t>
  </si>
  <si>
    <t>N039YP038</t>
  </si>
  <si>
    <t>X001J1U6WR</t>
  </si>
  <si>
    <t>B074JXGVBD</t>
  </si>
  <si>
    <t>ZAIAI Sports Bras For Women Plus Size Purple 38</t>
  </si>
  <si>
    <t>Low conversion</t>
  </si>
  <si>
    <t>0.122459 cuft</t>
  </si>
  <si>
    <t>N87232KXGHM</t>
  </si>
  <si>
    <t>X001IJW9VV</t>
  </si>
  <si>
    <t>B074FWGTNB</t>
  </si>
  <si>
    <t>Womens Cotton Thong Underwear Lace Trim Soft Sexy Lingerie Panties Set(6 Pack) Watermelon Red M</t>
  </si>
  <si>
    <t>0.0 cuft</t>
  </si>
  <si>
    <t>Standard</t>
  </si>
  <si>
    <t>KTKXKR0</t>
  </si>
  <si>
    <t>B071NP2X5N</t>
  </si>
  <si>
    <t>MOCOTONO Women's Plus Size Elastic Waist Wide Leg Linen Cropped Pants Red Medium</t>
  </si>
  <si>
    <t>0.173655 cuft</t>
  </si>
  <si>
    <t>NY-XUHM002-PI-S</t>
  </si>
  <si>
    <t>X001QDXG93</t>
  </si>
  <si>
    <t>B07BKR8D8Z</t>
  </si>
  <si>
    <t>ZAIAI Women's Microfiber Longline Lace Bralette Pink S</t>
  </si>
  <si>
    <t>0.183205 cuft</t>
  </si>
  <si>
    <t>N2082YQJ38</t>
  </si>
  <si>
    <t>X001IG2KGX</t>
  </si>
  <si>
    <t>B074DW2MGG</t>
  </si>
  <si>
    <t>ZAIAI Women's Comfort Revolution Front-Close Shaping Underwire Bra Light Orange 38</t>
  </si>
  <si>
    <t>0.109542 cuft</t>
  </si>
  <si>
    <t>N888YK038</t>
  </si>
  <si>
    <t>X001IJTEGJ</t>
  </si>
  <si>
    <t>B074FRC3TW</t>
  </si>
  <si>
    <t>ZAIAI Women's Perfectly Fit Lightly Lined Memory Touch T-Shirt Bra Black 38</t>
  </si>
  <si>
    <t>0.158866 cuft</t>
  </si>
  <si>
    <t>N888YR536</t>
  </si>
  <si>
    <t>X001IJJTAP</t>
  </si>
  <si>
    <t>B074FTW5DS</t>
  </si>
  <si>
    <t>Women's Perfectly Fit Lightly Lined Memory Touch T-Shirt Bra Pink 36</t>
  </si>
  <si>
    <t>MY16055MSXL</t>
  </si>
  <si>
    <t>X001MNOAVP</t>
  </si>
  <si>
    <t>B0761Q7KPX</t>
  </si>
  <si>
    <t>ZAIAI Womens Wool Jacket Coat Outwear Parka Overcoat Beige XL</t>
  </si>
  <si>
    <t>0.562708 cuft</t>
  </si>
  <si>
    <t>N31459YP038</t>
  </si>
  <si>
    <t>X001IBKBBJ</t>
  </si>
  <si>
    <t>B074CXK6RZ</t>
  </si>
  <si>
    <t>Women's Matching Bra And Panty Sets Purple 36</t>
  </si>
  <si>
    <t>0.142149 cuft</t>
  </si>
  <si>
    <t>N888YR538</t>
  </si>
  <si>
    <t>X001IJTOBJ</t>
  </si>
  <si>
    <t>B074FRWKSK</t>
  </si>
  <si>
    <t>ZAIAI Women's Perfectly Fit Lightly Lined Memory Touch T-Shirt Bra Pink 38</t>
  </si>
  <si>
    <t>KTKW0TW0XL</t>
  </si>
  <si>
    <t>X001KB85YH</t>
  </si>
  <si>
    <t>B071JYNS5V</t>
  </si>
  <si>
    <t>HuXang Cloth New Women Wide Leg High Waist Casual Crop Pants Striped Loose Trousers Bandage(White,L)</t>
  </si>
  <si>
    <t>Lower price</t>
  </si>
  <si>
    <t>0.116654 cuft</t>
  </si>
  <si>
    <t>N89122KBL4XL</t>
  </si>
  <si>
    <t>X001IJX46Z</t>
  </si>
  <si>
    <t>B074FT3T2H</t>
  </si>
  <si>
    <t>Women's Comfort Stretch Hipster (3 Pack) Sapphire 4XL</t>
  </si>
  <si>
    <t>PYJKDKB0L</t>
  </si>
  <si>
    <t>X001H3KS2P</t>
  </si>
  <si>
    <t>B073WBNY9P</t>
  </si>
  <si>
    <t>MEIAOMA Womens Faux Leather Zipper Moto Biker Bomber Jacket(Coffee,M)</t>
  </si>
  <si>
    <t>0.817696 cuft</t>
  </si>
  <si>
    <t>N531YXS34</t>
  </si>
  <si>
    <t>X001J1S5B1</t>
  </si>
  <si>
    <t>B074K2VQNZ</t>
  </si>
  <si>
    <t>Women Bras Plus Size On Sale Big Girls Bra Apricot 34</t>
  </si>
  <si>
    <t>0.121377 cuft</t>
  </si>
  <si>
    <t>N888YR542</t>
  </si>
  <si>
    <t>X001IJKUCB</t>
  </si>
  <si>
    <t>B074FXLL7J</t>
  </si>
  <si>
    <t>ZAIAI Women's Perfectly Fit Lightly Lined Memory Touch T-Shirt Bra Pink 42</t>
  </si>
  <si>
    <t>N9383YG042</t>
  </si>
  <si>
    <t>X001IBOIOF</t>
  </si>
  <si>
    <t>B074CWQPZP</t>
  </si>
  <si>
    <t>ZAIAI Women's Laced &amp; Lace Trimmed Bras Green 42</t>
  </si>
  <si>
    <t>0.242754 cuft</t>
  </si>
  <si>
    <t>PYJKTSY0L</t>
  </si>
  <si>
    <t>X001H3JL3R</t>
  </si>
  <si>
    <t>B073W6VTYY</t>
  </si>
  <si>
    <t>MEIAOMA Womens Quilted Biker Jacket(Yellow,M)</t>
  </si>
  <si>
    <t>N9383YMH38</t>
  </si>
  <si>
    <t>X001IBT403</t>
  </si>
  <si>
    <t>B074CWYHQ7</t>
  </si>
  <si>
    <t>ZAIAI Women's Laced &amp; Lace Trimmed Bras Rose Red 38</t>
  </si>
  <si>
    <t>N87318KR5XL</t>
  </si>
  <si>
    <t>X001IJXFKF</t>
  </si>
  <si>
    <t>B074FQZXDS</t>
  </si>
  <si>
    <t>Women Sexy Cotton Thongs Intimates Briefs Tangas Ladies Panties(6 Pack) Pink XL</t>
  </si>
  <si>
    <t>N9932YR536</t>
  </si>
  <si>
    <t>X001IJJTAF</t>
  </si>
  <si>
    <t>B074FTV42K</t>
  </si>
  <si>
    <t>Women's Secrets Body Revelations Underwire Bra Pink 36</t>
  </si>
  <si>
    <t>N2716YMH38</t>
  </si>
  <si>
    <t>X001JBEP7J</t>
  </si>
  <si>
    <t>B074QCYQ9L</t>
  </si>
  <si>
    <t>ZAIAI Nursing Bra Underwire No Bra Bra Rose Red 38</t>
  </si>
  <si>
    <t>0.117284 cuft</t>
  </si>
  <si>
    <t>N9932YR034</t>
  </si>
  <si>
    <t>X001IJLO5X</t>
  </si>
  <si>
    <t>B074FX94G1</t>
  </si>
  <si>
    <t>ZAIAI Women's Secrets Body Revelations Underwire Bra Red 34</t>
  </si>
  <si>
    <t>N89122KMH2XL</t>
  </si>
  <si>
    <t>X001IJWU2J</t>
  </si>
  <si>
    <t>B074FXSQV1</t>
  </si>
  <si>
    <t>Women's Comfort Stretch Hipster (3 Pack) Rose Red 2XL</t>
  </si>
  <si>
    <t>0.041172 cuft</t>
  </si>
  <si>
    <t>N9383YXGH44</t>
  </si>
  <si>
    <t>X001IBUR7H</t>
  </si>
  <si>
    <t>B074CWPQFT</t>
  </si>
  <si>
    <t>ZAIAI Women's Laced &amp; Lace Trimmed Bras Watermelon Red 44</t>
  </si>
  <si>
    <t>NY-XUHM001-K0-36C</t>
  </si>
  <si>
    <t>X001O690D3</t>
  </si>
  <si>
    <t>B078WPW9YL</t>
  </si>
  <si>
    <t>ZAIAI Women's Ultimate Lace Push-Up Bra Black 36C</t>
  </si>
  <si>
    <t>MY71107MSM</t>
  </si>
  <si>
    <t>X001MNOG8H</t>
  </si>
  <si>
    <t>B0761NJPNM</t>
  </si>
  <si>
    <t>ZAIAI Women's Parka Winter Coat Overcoat Long Down Jacket Outwear Beige M</t>
  </si>
  <si>
    <t>1.109255 cuft</t>
  </si>
  <si>
    <t>MY16055MSM</t>
  </si>
  <si>
    <t>X001MNPJ15</t>
  </si>
  <si>
    <t>B0761NM1NH</t>
  </si>
  <si>
    <t>ZAIAI Womens Wool Jacket Coat Outwear Parka Overcoat Beige M</t>
  </si>
  <si>
    <t>MY16055K0XXL</t>
  </si>
  <si>
    <t>X001MNO65P</t>
  </si>
  <si>
    <t>B0761R93J2</t>
  </si>
  <si>
    <t>ZAIAI Womens Hooded Warm Winter Faux Fur Lined Parkas Anoraks Long Coats Black XXL</t>
  </si>
  <si>
    <t>N87318KW0M</t>
  </si>
  <si>
    <t>X001IJQ4BR</t>
  </si>
  <si>
    <t>B074FSV4LS</t>
  </si>
  <si>
    <t>ZAIAI Women Sexy Cotton Thongs Intimates Briefs Tangas Ladies Panties(6 Pack) White M</t>
  </si>
  <si>
    <t>0.039396 cuft</t>
  </si>
  <si>
    <t>JBL-QFFMMHM</t>
  </si>
  <si>
    <t>X001KBA58V</t>
  </si>
  <si>
    <t>B073F2WTJX</t>
  </si>
  <si>
    <t>HuXang Cloth Womens Fold Over Waist Solid Ruffled Flare Palazzo Pants Capris(Rose Red,M)</t>
  </si>
  <si>
    <t>0.150576 cuft</t>
  </si>
  <si>
    <t>NY-XUHM005-K0-L</t>
  </si>
  <si>
    <t>X001QAAY3R</t>
  </si>
  <si>
    <t>B07BKTSQ1R</t>
  </si>
  <si>
    <t>Women Floral Lace Bralette Padded Breathable Sexy Racerback Lace Bra Bustier Black L</t>
  </si>
  <si>
    <t>Advertise listing</t>
  </si>
  <si>
    <t>0.040802 cuft</t>
  </si>
  <si>
    <t>N039YB036</t>
  </si>
  <si>
    <t>X001J1PV1X</t>
  </si>
  <si>
    <t>B074JWQ644</t>
  </si>
  <si>
    <t>ZAIAI Women Bras Clearance Strappy Sports Bra Blue 36</t>
  </si>
  <si>
    <t>N531YB040</t>
  </si>
  <si>
    <t>X001J1SSSB</t>
  </si>
  <si>
    <t>B074JW998T</t>
  </si>
  <si>
    <t>Big Girls' Molded Underwire Bra Blue 38</t>
  </si>
  <si>
    <t>NY-XUHM005-GA-L</t>
  </si>
  <si>
    <t>X001QDXZEJ</t>
  </si>
  <si>
    <t>B07BKTKK7K</t>
  </si>
  <si>
    <t>Women's Lace Bralette Wireless Band Lace Bra Dark Green L</t>
  </si>
  <si>
    <t>0.037117 cuft</t>
  </si>
  <si>
    <t>N531YR038</t>
  </si>
  <si>
    <t>X001J0U489</t>
  </si>
  <si>
    <t>B074JXHFTJ</t>
  </si>
  <si>
    <t>Big Girls'Basic Nursing Bra Red 36</t>
  </si>
  <si>
    <t>NY-B15021-B0-XL</t>
  </si>
  <si>
    <t>X001NZDDV5</t>
  </si>
  <si>
    <t>B078NPVY5T</t>
  </si>
  <si>
    <t>ZAIAI Women's Lace Bralette Wireless Band Lace Bra Blue XL</t>
  </si>
  <si>
    <t>0.006967 cuft</t>
  </si>
  <si>
    <t>N87301KMLSXL</t>
  </si>
  <si>
    <t>X001IJWIWV</t>
  </si>
  <si>
    <t>B074FXMP5R</t>
  </si>
  <si>
    <t>ZAIAI Women's Thongs Cotton Breathable Panties Bikini Underwear(4 Pack) Dark Green XL</t>
  </si>
  <si>
    <t>XTLAXSC</t>
  </si>
  <si>
    <t>X001K9TOEJ</t>
  </si>
  <si>
    <t>B074NZSTV3</t>
  </si>
  <si>
    <t>ZAIAI LALABRA Women's Strapless Bra Self Adhesive Silicone Push Up with Drawstring Apricot1 C Cup</t>
  </si>
  <si>
    <t>0.076308 cuft</t>
  </si>
  <si>
    <t>N9932YXS36</t>
  </si>
  <si>
    <t>X001IJJSCJ</t>
  </si>
  <si>
    <t>B074FVPGVL</t>
  </si>
  <si>
    <t>Women's Secrets Body Revelations Underwire Bra Apricot 36</t>
  </si>
  <si>
    <t>0.063546 cuft</t>
  </si>
  <si>
    <t>N87301KZHSXL</t>
  </si>
  <si>
    <t>X001IK0P6L</t>
  </si>
  <si>
    <t>B074FZHXMJ</t>
  </si>
  <si>
    <t>ZAIAI Women's Thongs Cotton Breathable Panties Bikini Underwear(4 Pack) Red XL</t>
  </si>
  <si>
    <t>MY16055ZQM</t>
  </si>
  <si>
    <t>X001MNB60D</t>
  </si>
  <si>
    <t>B0761Q4YF6</t>
  </si>
  <si>
    <t>Womens Hooded Warm Coats Parkas With Fax Fur Jackets Navy M</t>
  </si>
  <si>
    <t>0.563184 cuft</t>
  </si>
  <si>
    <t>N583YQZ42</t>
  </si>
  <si>
    <t>X001IG8EKJ</t>
  </si>
  <si>
    <t>B074DW2BY6</t>
  </si>
  <si>
    <t>ZAIAI Women's Embroidery Bras Set Lace Lingerie Bra Light Purple 42</t>
  </si>
  <si>
    <t>0.128757 cuft</t>
  </si>
  <si>
    <t>MY71107K0S</t>
  </si>
  <si>
    <t>X001MNOG91</t>
  </si>
  <si>
    <t>B0761PDMGN</t>
  </si>
  <si>
    <t>ZAIAI Women's Parkas Anoraks Long Coats with Removable Faux Fur Trim Hood Black S</t>
  </si>
  <si>
    <t>1.123177 cuft</t>
  </si>
  <si>
    <t>NY-B15021-K0-L</t>
  </si>
  <si>
    <t>X001NZAS27</t>
  </si>
  <si>
    <t>B078NNLWT7</t>
  </si>
  <si>
    <t>ZAIAI Women Super Soft Lace Bra Top Seamless Bralette Cup Wireless Bra Black L</t>
  </si>
  <si>
    <t>N87301KXSXL</t>
  </si>
  <si>
    <t>X001IJX4AV</t>
  </si>
  <si>
    <t>B074FTCSP4</t>
  </si>
  <si>
    <t>Women's 4 Pack Heather Low-Rise Hipster Panties, Assorted Colors(4 Pack)Apricot XL</t>
  </si>
  <si>
    <t>MY71115K0S</t>
  </si>
  <si>
    <t>X001MNOAVZ</t>
  </si>
  <si>
    <t>B0761PDHV5</t>
  </si>
  <si>
    <t>ZAIAI Women's Coat with Fur Hood with 90% Down Parka Puffer Jacket Black XS</t>
  </si>
  <si>
    <t>0.781066 cuft</t>
  </si>
  <si>
    <t>KTKXKY0</t>
  </si>
  <si>
    <t>B071HHSJ1R</t>
  </si>
  <si>
    <t>MOCOTONO Women's Plus Size Elastic Waist Wide Leg Linen Cropped Pants Yellow Medium</t>
  </si>
  <si>
    <t>N039YTHS40</t>
  </si>
  <si>
    <t>X001J1TFHJ</t>
  </si>
  <si>
    <t>B074K4N247</t>
  </si>
  <si>
    <t>ZAIAI Sports Bras For Women Strappy Free To Be Bra Pink 40</t>
  </si>
  <si>
    <t>N2082YQLS36</t>
  </si>
  <si>
    <t>X001IFVUDD</t>
  </si>
  <si>
    <t>B074DW2H3B</t>
  </si>
  <si>
    <t>Women's Comfort Revolution Front-Close Shaping Underwire Bra Light Blue 36</t>
  </si>
  <si>
    <t>N9932YXS34</t>
  </si>
  <si>
    <t>X001IJLLYH</t>
  </si>
  <si>
    <t>B074FQ29ZR</t>
  </si>
  <si>
    <t>Women's Secrets Body Revelations Underwire Bra Apricot 34</t>
  </si>
  <si>
    <t>N029YHL38</t>
  </si>
  <si>
    <t>X001J1S3U9</t>
  </si>
  <si>
    <t>B074JWS1CB</t>
  </si>
  <si>
    <t>Women Bras Plus Size Wirefree Sports Bra Lake Blue 38</t>
  </si>
  <si>
    <t>0.124539 cuft</t>
  </si>
  <si>
    <t>N531YB038</t>
  </si>
  <si>
    <t>X001J0VN43</t>
  </si>
  <si>
    <t>B074K4DJJR</t>
  </si>
  <si>
    <t>Bras For Women Big Girls Bra Blue 38</t>
  </si>
  <si>
    <t>N531YQL34</t>
  </si>
  <si>
    <t>X001J0U475</t>
  </si>
  <si>
    <t>B074K24HL3</t>
  </si>
  <si>
    <t>Women Brassiere Nursing Bra Light Blue 34</t>
  </si>
  <si>
    <t>N87309KW0XL</t>
  </si>
  <si>
    <t>X001IJX4A1</t>
  </si>
  <si>
    <t>B074FV2QSZ</t>
  </si>
  <si>
    <t>ZAIAI Women's Invisible Seamless Bikini Underwear Half Back Coverage Panties(6 Pack) White XL</t>
  </si>
  <si>
    <t>MY71115K0XL</t>
  </si>
  <si>
    <t>X001MNO4XJ</t>
  </si>
  <si>
    <t>B0761NGWJD</t>
  </si>
  <si>
    <t>ZAIAI Women's Coat with Fur Hood with 90% Down Parka Puffer Jacket Black L</t>
  </si>
  <si>
    <t>JBL-QFFMMHXL</t>
  </si>
  <si>
    <t>X001KB9HDP</t>
  </si>
  <si>
    <t>B073F2M56J</t>
  </si>
  <si>
    <t>HuXang Cloth Womens Fold Over Waist Solid Ruffled Flare Palazzo Pants Capris(Rose Red,XL)</t>
  </si>
  <si>
    <t>N029YMH38</t>
  </si>
  <si>
    <t>X001J1PSTD</t>
  </si>
  <si>
    <t>B074K26CND</t>
  </si>
  <si>
    <t>ZAIAI Women Bras On Slearance Bras For Women Rose Red 38</t>
  </si>
  <si>
    <t>N531YK034</t>
  </si>
  <si>
    <t>X001J1PW1H</t>
  </si>
  <si>
    <t>B074K2QJ5H</t>
  </si>
  <si>
    <t>Women Bras Push Up Girls Bras Black 32</t>
  </si>
  <si>
    <t>NY-XUHM463-K0-S</t>
  </si>
  <si>
    <t>X001QDWUBN</t>
  </si>
  <si>
    <t>B07BKSX1D6</t>
  </si>
  <si>
    <t>Women Super Soft Lace Bra Top Seamless Bralette Cup Wireless Bra Black S</t>
  </si>
  <si>
    <t>0.1524 cuft</t>
  </si>
  <si>
    <t>NY-B15016-W0-L</t>
  </si>
  <si>
    <t>X001NZA6HT</t>
  </si>
  <si>
    <t>B078NQ7BCX</t>
  </si>
  <si>
    <t>ZAIAI Women's Microfiber Longline Lace Bralette White L</t>
  </si>
  <si>
    <t>0.020481 cuft</t>
  </si>
  <si>
    <t>N1709YXS48</t>
  </si>
  <si>
    <t>X001IAUX45</t>
  </si>
  <si>
    <t>B074CSG4ZS</t>
  </si>
  <si>
    <t>ZAIAI Women's 18-Hour Seamless Smoothing Bra Apricot 48</t>
  </si>
  <si>
    <t>0.171061 cuft</t>
  </si>
  <si>
    <t>N039YG036</t>
  </si>
  <si>
    <t>X001J1QFXV</t>
  </si>
  <si>
    <t>B074JZ2HSX</t>
  </si>
  <si>
    <t>ZAIAI Maidenform Bra Sports Bras For Women Green 36</t>
  </si>
  <si>
    <t>N9383YR046</t>
  </si>
  <si>
    <t>X001IBOHMN</t>
  </si>
  <si>
    <t>B074CWMB62</t>
  </si>
  <si>
    <t>Women's Laced &amp; Lace Trimmed Bras Red 46</t>
  </si>
  <si>
    <t>MY71115K0XXL</t>
  </si>
  <si>
    <t>X001MNPJ0L</t>
  </si>
  <si>
    <t>B0761SKR3P</t>
  </si>
  <si>
    <t>ZAIAI Women's Coat with Fur Hood with 90% Down Parka Puffer Jacket Black XL</t>
  </si>
  <si>
    <t>N039YXGH40</t>
  </si>
  <si>
    <t>X001J1S3TZ</t>
  </si>
  <si>
    <t>B074JXZSJM</t>
  </si>
  <si>
    <t>ZAIAI Women Bras No Wire Sports Bra Watermelon Red 40</t>
  </si>
  <si>
    <t>N31459YR038</t>
  </si>
  <si>
    <t>X001IBO3IV</t>
  </si>
  <si>
    <t>B074CX7218</t>
  </si>
  <si>
    <t>Women's Bras Panties Red 36</t>
  </si>
  <si>
    <t>DDHNYK0</t>
  </si>
  <si>
    <t>X001IJSJ3X</t>
  </si>
  <si>
    <t>B074FP8NZF</t>
  </si>
  <si>
    <t>ZAIAI Women Sexy Lingerie For Women For Sex, Lace Bodysuit Mesh Babydoll Halter Chemise Strapped Outfits Black1</t>
  </si>
  <si>
    <t>0.077853 cuft</t>
  </si>
  <si>
    <t>N89119KMHXL</t>
  </si>
  <si>
    <t>X001IJXFLT</t>
  </si>
  <si>
    <t>B074FVGPRW</t>
  </si>
  <si>
    <t>Women Sexy Cotton Thongs Intimates Briefs Tangas Ladies Panties(6 Pack) Rose Red XL</t>
  </si>
  <si>
    <t>N888YXS38</t>
  </si>
  <si>
    <t>X001IJIYKB</t>
  </si>
  <si>
    <t>B074FRX8XF</t>
  </si>
  <si>
    <t>ZAIAI Women's Perfectly Fit Lightly Lined Memory Touch T-Shirt Bra Apricot 38</t>
  </si>
  <si>
    <t>N87301KZHSM</t>
  </si>
  <si>
    <t>X001IJW9WF</t>
  </si>
  <si>
    <t>B074FTCSNQ</t>
  </si>
  <si>
    <t>Women's 4 Pack Heather Low-Rise Hipster Panties, Assorted Colors(4 Pack)Red M</t>
  </si>
  <si>
    <t>N039YP040</t>
  </si>
  <si>
    <t>X001J0VN57</t>
  </si>
  <si>
    <t>B074JY219R</t>
  </si>
  <si>
    <t>ZAIAI Womens Yoga Purple Sports Bra Purple 40</t>
  </si>
  <si>
    <t>N9383YXGH42</t>
  </si>
  <si>
    <t>X001IBK7VD</t>
  </si>
  <si>
    <t>B074CX451K</t>
  </si>
  <si>
    <t>ZAIAI Women's Laced &amp; Lace Trimmed Bras Watermelon Red 42</t>
  </si>
  <si>
    <t>NY-B15016-Y0-S</t>
  </si>
  <si>
    <t>X001NZAE49</t>
  </si>
  <si>
    <t>B078NNB2PQ</t>
  </si>
  <si>
    <t>ZAIAI Women's Microfiber Longline Lace Bralette Yellow S</t>
  </si>
  <si>
    <t>NY-XUHM333-HS-M</t>
  </si>
  <si>
    <t>X001PMBHWN</t>
  </si>
  <si>
    <t>B07B3V3BV5</t>
  </si>
  <si>
    <t>ZAIAI Women's Comfort Revolution Shaping Wire-Free Bra Pack of 3 White/Rose/Purple Melange M</t>
  </si>
  <si>
    <t>NY-XUHM333-HS-S</t>
  </si>
  <si>
    <t>X001PLC4M1</t>
  </si>
  <si>
    <t>B07B3TW6D2</t>
  </si>
  <si>
    <t>ZAIAI Women's Comfort Revolution Shaping Wire-Free Bra with Smart Sizes White/Rose/Purple Melange S</t>
  </si>
  <si>
    <t>N583YQZ36</t>
  </si>
  <si>
    <t>X001IFVUND</t>
  </si>
  <si>
    <t>B074DVW5HC</t>
  </si>
  <si>
    <t>Women's Embroidery Bras Set Lace Lingerie Bra Light Purple 36</t>
  </si>
  <si>
    <t>N87301KMLSL</t>
  </si>
  <si>
    <t>X001IJYE8H</t>
  </si>
  <si>
    <t>B074FSTDKH</t>
  </si>
  <si>
    <t>Women's 4 Pack Heather Low-Rise Hipster Panties, Assorted Colors(4 Pack)Dark Green L</t>
  </si>
  <si>
    <t>NY-XUHM332-HS-M</t>
  </si>
  <si>
    <t>X001QA6LIJ</t>
  </si>
  <si>
    <t>B07BKNWPWQ</t>
  </si>
  <si>
    <t>ZAIAI Women's Comfort Revolution Shaping Wire-Free Bra Pack of 2 Rose/Purple Melange M</t>
  </si>
  <si>
    <t>N9932YR534</t>
  </si>
  <si>
    <t>X001IJKT77</t>
  </si>
  <si>
    <t>B074FTFWR7</t>
  </si>
  <si>
    <t>Women's Secrets Body Revelations Underwire Bra Pink 34</t>
  </si>
  <si>
    <t>N9383YP048</t>
  </si>
  <si>
    <t>X001IBT3ZT</t>
  </si>
  <si>
    <t>B074CWZSVH</t>
  </si>
  <si>
    <t>ZAIAI Women's Laced &amp; Lace Trimmed Bras Purple 48</t>
  </si>
  <si>
    <t>N9383YG048</t>
  </si>
  <si>
    <t>X001IBKORP</t>
  </si>
  <si>
    <t>B074CWLZDG</t>
  </si>
  <si>
    <t>ZAIAI Women's Laced &amp; Lace Trimmed Bras Green 48</t>
  </si>
  <si>
    <t>NY-XUHM463-K0-XL</t>
  </si>
  <si>
    <t>X001QDXAI5</t>
  </si>
  <si>
    <t>B07BKQLKBG</t>
  </si>
  <si>
    <t>ZAIAI Women Super Soft Lace Bra Top Seamless Bralette Cup Wireless Bra Black XL</t>
  </si>
  <si>
    <t>0.114655 cuft</t>
  </si>
  <si>
    <t>N87318KXSM</t>
  </si>
  <si>
    <t>X001IJWZ5B</t>
  </si>
  <si>
    <t>B074FSHJB3</t>
  </si>
  <si>
    <t>Women Sexy Cotton Thongs Intimates Briefs Tangas Ladies Panties(6 Pack) Apricot M</t>
  </si>
  <si>
    <t>XTHQXSB</t>
  </si>
  <si>
    <t>X001K9SHD3</t>
  </si>
  <si>
    <t>B074NY9YM1</t>
  </si>
  <si>
    <t>ZAIAI Qeauty Adhesive Bra,Push Up Drawstring Strapless Bra with Qualities for Sexy Backless Dress Apricot2 B Cup</t>
  </si>
  <si>
    <t>0.026936 cuft</t>
  </si>
  <si>
    <t>N89119KBLM</t>
  </si>
  <si>
    <t>X001IJWC4Z</t>
  </si>
  <si>
    <t>B074FQ84QJ</t>
  </si>
  <si>
    <t>ZAIAI Women Sexy Cotton Thongs Intimates Briefs Tangas Ladies Panties(6 Pack) Sapphire M</t>
  </si>
  <si>
    <t>NY-XUHM005-K0-M</t>
  </si>
  <si>
    <t>X001QDXZET</t>
  </si>
  <si>
    <t>B07BKTLC85</t>
  </si>
  <si>
    <t>Women Floral Lace Bralette Padded Breathable Sexy Racerback Lace Bra Bustier Black M</t>
  </si>
  <si>
    <t>N1709YR046</t>
  </si>
  <si>
    <t>X001IBJMQJ</t>
  </si>
  <si>
    <t>B074CS5P3X</t>
  </si>
  <si>
    <t>ZAIAI Women's 18-Hour Seamless Smoothing Bra Red 46</t>
  </si>
  <si>
    <t>N2716YHL34</t>
  </si>
  <si>
    <t>X001JBEART</t>
  </si>
  <si>
    <t>B074QJ923S</t>
  </si>
  <si>
    <t>ZAIAI Sports Bra 34B Running Bra Lake Blue 34</t>
  </si>
  <si>
    <t>XTHQXSC</t>
  </si>
  <si>
    <t>X001K9U2J5</t>
  </si>
  <si>
    <t>B074NNZXDV</t>
  </si>
  <si>
    <t>ZAIAI Qeauty Adhesive Bra,Push Up Drawstring Strapless Bra with Qualities for Sexy Backless Dress Apricot2 C Cup</t>
  </si>
  <si>
    <t>0.059916 cuft</t>
  </si>
  <si>
    <t>N9932YK036</t>
  </si>
  <si>
    <t>X001IJKUCL</t>
  </si>
  <si>
    <t>B074FTXNPM</t>
  </si>
  <si>
    <t>Women's Secrets Body Revelations Underwire Bra Black 36</t>
  </si>
  <si>
    <t>MY71107MSXXL</t>
  </si>
  <si>
    <t>X001MNNKWP</t>
  </si>
  <si>
    <t>B0761PTZY2</t>
  </si>
  <si>
    <t>ZAIAI Women's Parka Winter Coat Overcoat Long Down Jacket Outwear Beige XXL</t>
  </si>
  <si>
    <t>N9383YR048</t>
  </si>
  <si>
    <t>X001IB1ZSH</t>
  </si>
  <si>
    <t>B074CWR3FL</t>
  </si>
  <si>
    <t>Women's Laced &amp; Lace Trimmed Bras Red 48</t>
  </si>
  <si>
    <t>N87319KR5M</t>
  </si>
  <si>
    <t>X001IJW2RH</t>
  </si>
  <si>
    <t>B074FTBSZV</t>
  </si>
  <si>
    <t>ZAIAI Women's Thongs Cotton Breathable Panties Bikini Underwear (4 Pack) Pink M</t>
  </si>
  <si>
    <t>N2033YSG36</t>
  </si>
  <si>
    <t>X001IG2YGJ</t>
  </si>
  <si>
    <t>B074DVCJDR</t>
  </si>
  <si>
    <t>Women's Comfort Shape Concealing Petals Underwire Bra Silver Gray 36</t>
  </si>
  <si>
    <t>N89122KW02XL</t>
  </si>
  <si>
    <t>X001IJQ4D5</t>
  </si>
  <si>
    <t>B074FTB99W</t>
  </si>
  <si>
    <t>Women's Comfort Stretch Hipster (3 Pack) White 2XL</t>
  </si>
  <si>
    <t>N888YXS36</t>
  </si>
  <si>
    <t>X001IJJSCT</t>
  </si>
  <si>
    <t>B074FQWCTK</t>
  </si>
  <si>
    <t>ZAIAI Women's Perfectly Fit Lightly Lined Memory Touch T-Shirt Bra Apricot 36</t>
  </si>
  <si>
    <t>N87318KXGHXL</t>
  </si>
  <si>
    <t>X001IJWZ8D</t>
  </si>
  <si>
    <t>B074FRG96Y</t>
  </si>
  <si>
    <t>ZAIAI Women Sexy Cotton Thongs Intimates Briefs Tangas Ladies Panties(6 Pack) Watermelon Red XL</t>
  </si>
  <si>
    <t>N039YTHS36</t>
  </si>
  <si>
    <t>X001J0U47Z</t>
  </si>
  <si>
    <t>B074JTR9T4</t>
  </si>
  <si>
    <t>ZAIAI Women Bras Size Sports Bra Pink 36</t>
  </si>
  <si>
    <t>N531YQL40</t>
  </si>
  <si>
    <t>X001J0VN4N</t>
  </si>
  <si>
    <t>B074JZ1THP</t>
  </si>
  <si>
    <t>Women Bras Black Strappy BraLight Blue 40</t>
  </si>
  <si>
    <t>NK-XUHM001-K0-M</t>
  </si>
  <si>
    <t>X001O5ZFHT</t>
  </si>
  <si>
    <t>B078WQY3NM</t>
  </si>
  <si>
    <t>ZAIAI Boyshort Panties Women Sexy Lace Fun Underwear Briefs Ladies Knickers Womens Triangle Thong Black M</t>
  </si>
  <si>
    <t>N2082YQJ36</t>
  </si>
  <si>
    <t>X001IFVUT7</t>
  </si>
  <si>
    <t>B074DVY5J8</t>
  </si>
  <si>
    <t>Women's Comfort Revolution Front-Close Shaping Underwire Bra Light Orange 36</t>
  </si>
  <si>
    <t>NY-B15021-W0-XL</t>
  </si>
  <si>
    <t>X001NYRUJR</t>
  </si>
  <si>
    <t>B078NNZ9M6</t>
  </si>
  <si>
    <t>ZAIAI Women's Lace Bralette Wireless Band Lace Bra White XL</t>
  </si>
  <si>
    <t>NY-B15021-PI-L</t>
  </si>
  <si>
    <t>X001NZ9WQF</t>
  </si>
  <si>
    <t>B078NNYW4V</t>
  </si>
  <si>
    <t>ZAIAI Women Super Soft Lace Bra Top Seamless Bralette Cup Wireless Bra Pink L</t>
  </si>
  <si>
    <t>0.007081 cuft</t>
  </si>
  <si>
    <t>N531YK036</t>
  </si>
  <si>
    <t>X001J1PW21</t>
  </si>
  <si>
    <t>B074K4DJKF</t>
  </si>
  <si>
    <t>Women Bras Nursing Bra Black 34</t>
  </si>
  <si>
    <t>N9932YK034</t>
  </si>
  <si>
    <t>X001IJU4NV</t>
  </si>
  <si>
    <t>B074FW623M</t>
  </si>
  <si>
    <t>Women's Secrets Body Revelations Underwire Bra Black 34</t>
  </si>
  <si>
    <t>PYJKJSR0L</t>
  </si>
  <si>
    <t>X001H3KS2F</t>
  </si>
  <si>
    <t>B073WTTKP4</t>
  </si>
  <si>
    <t>MEIAOMA Womens Faux Leather Zip Up Moto Biker Jacket With Stitching Detail(Red,M)</t>
  </si>
  <si>
    <t>1.057221 cuft</t>
  </si>
  <si>
    <t>N9383YP042</t>
  </si>
  <si>
    <t>X001IBKOR5</t>
  </si>
  <si>
    <t>B074CWSDCG</t>
  </si>
  <si>
    <t>Women's Laced &amp; Lace Trimmed Bras Purple 42</t>
  </si>
  <si>
    <t>N2033YK038</t>
  </si>
  <si>
    <t>X001IFRL4P</t>
  </si>
  <si>
    <t>B074DWGDMH</t>
  </si>
  <si>
    <t>Women's Comfort Shape Concealing Petals Underwire Bra Black 38</t>
  </si>
  <si>
    <t>N31459YJS46</t>
  </si>
  <si>
    <t>X001IBK7HR</t>
  </si>
  <si>
    <t>B074CXNWMZ</t>
  </si>
  <si>
    <t>Women's Pushup Bra Panty Set Orange 44</t>
  </si>
  <si>
    <t>N87319KXSM</t>
  </si>
  <si>
    <t>X001IJYCWZ</t>
  </si>
  <si>
    <t>B074FYGSKY</t>
  </si>
  <si>
    <t>Women's Thongs Cotton Breathable Panties Bikini Underwear (4 Pack) Apricot M</t>
  </si>
  <si>
    <t>XYBXBAF008W0L</t>
  </si>
  <si>
    <t>X001JA591L</t>
  </si>
  <si>
    <t>B071YQ9S6C</t>
  </si>
  <si>
    <t>HuXang Cloth Shirt Ladies Winosaur Funny Wine Lover Shirt (White,L)</t>
  </si>
  <si>
    <t>0.143023 cuft</t>
  </si>
  <si>
    <t>N531YK040</t>
  </si>
  <si>
    <t>X001J1S3UJ</t>
  </si>
  <si>
    <t>B074K4K838</t>
  </si>
  <si>
    <t>Women Bras On Clearance Underwire Bra Black 38</t>
  </si>
  <si>
    <t>N1709YZS46</t>
  </si>
  <si>
    <t>X001IAXB7V</t>
  </si>
  <si>
    <t>B074CS535P</t>
  </si>
  <si>
    <t>Women's 18-Hour Seamless Smoothing Bra Brown 47</t>
  </si>
  <si>
    <t>N039YXGH36</t>
  </si>
  <si>
    <t>X001J1PW1R</t>
  </si>
  <si>
    <t>B074K2GJCF</t>
  </si>
  <si>
    <t>Women Bras Comfort Perfect Sculpt Bra Strapless Watermelon Red 36</t>
  </si>
  <si>
    <t>N2257YG036</t>
  </si>
  <si>
    <t>X001IJ1AJD</t>
  </si>
  <si>
    <t>B074FL1674</t>
  </si>
  <si>
    <t>Women's No Side Effects Wire-Free Contour Bra Green 36</t>
  </si>
  <si>
    <t>0.118086 cuft</t>
  </si>
  <si>
    <t>XTHQXSA</t>
  </si>
  <si>
    <t>X001K9SHCT</t>
  </si>
  <si>
    <t>B074NXZPYK</t>
  </si>
  <si>
    <t>ZAIAI Qeauty Adhesive Bra,Push Up Drawstring Strapless Bra with Qualities for Sexy Backless Dress Apricot2 A Cup</t>
  </si>
  <si>
    <t>TTYCYH3688BLACK</t>
  </si>
  <si>
    <t>X001H9XI8Z</t>
  </si>
  <si>
    <t>B0721PYJL2</t>
  </si>
  <si>
    <t>HuXang Cloth Women's Damask Palazzo Floral Print Pants Apricot</t>
  </si>
  <si>
    <t>N9383YB040</t>
  </si>
  <si>
    <t>X001IBOJA3</t>
  </si>
  <si>
    <t>B074CWZFK3</t>
  </si>
  <si>
    <t>ZAIAI Women's Laced &amp; Lace Trimmed Bras Blue 40</t>
  </si>
  <si>
    <t>MY16055K0XL</t>
  </si>
  <si>
    <t>X001MNO74P</t>
  </si>
  <si>
    <t>B0761N3HJ3</t>
  </si>
  <si>
    <t>Womens Hooded Warm Winter Faux Fur Lined Parkas Anoraks Long Coats Black XL</t>
  </si>
  <si>
    <t>Oversize</t>
  </si>
  <si>
    <t>N888YXS42</t>
  </si>
  <si>
    <t>X001IJKV4X</t>
  </si>
  <si>
    <t>B074FVKNXW</t>
  </si>
  <si>
    <t>ZAIAI Women's Perfectly Fit Lightly Lined Memory Touch T-Shirt Bra Apricot 42</t>
  </si>
  <si>
    <t>0.18804 cuft</t>
  </si>
  <si>
    <t>N531YQL38</t>
  </si>
  <si>
    <t>X001J1PV0T</t>
  </si>
  <si>
    <t>B074JXFM38</t>
  </si>
  <si>
    <t>Women Bra Plus Size Cotton Bras Light Blue 38</t>
  </si>
  <si>
    <t>PYJKTSR0L</t>
  </si>
  <si>
    <t>X001H3KKG9</t>
  </si>
  <si>
    <t>B073WT7S1J</t>
  </si>
  <si>
    <t>MEIAOMA Womens Quilted Biker Jacket(Red,M)</t>
  </si>
  <si>
    <t>N31459YMH42</t>
  </si>
  <si>
    <t>X001IBK8ZX</t>
  </si>
  <si>
    <t>B074CXR8YG</t>
  </si>
  <si>
    <t>Women's Pushup Bra Panty Set Rose Red 40</t>
  </si>
  <si>
    <t>0.111712 cuft</t>
  </si>
  <si>
    <t>N039YG040</t>
  </si>
  <si>
    <t>X001J1PSS9</t>
  </si>
  <si>
    <t>B074JW46DX</t>
  </si>
  <si>
    <t>Womens Yoga Sport Bra Light Support Strappy Free To Be Bra Green 40</t>
  </si>
  <si>
    <t>N89118KW0XL</t>
  </si>
  <si>
    <t>X001IJWU3X</t>
  </si>
  <si>
    <t>B074FR8NL9</t>
  </si>
  <si>
    <t>Women Sexy Cotton Thongs Intimates Briefs Tangas Ladies Panties(6 Pack) White XL</t>
  </si>
  <si>
    <t>N87301KXSM</t>
  </si>
  <si>
    <t>X001IJWIXF</t>
  </si>
  <si>
    <t>B074FSXB2H</t>
  </si>
  <si>
    <t>Women's 4 Pack Heather Low-Rise Hipster Panties, Assorted Colors(4 Pack)Apricot M</t>
  </si>
  <si>
    <t>PYJKJSY0XXXL</t>
  </si>
  <si>
    <t>X001H3J6LT</t>
  </si>
  <si>
    <t>B073TWLDHK</t>
  </si>
  <si>
    <t>MEIAOMA Womens Faux Leather Zip Up Moto Biker Jacket With Stitching Detail(Yellow,XXL)</t>
  </si>
  <si>
    <t>N89122KW04XL</t>
  </si>
  <si>
    <t>X001IJXFM3</t>
  </si>
  <si>
    <t>B074FXM33R</t>
  </si>
  <si>
    <t>Women's Comfort Stretch Hipster (3 Pack) White 4XL</t>
  </si>
  <si>
    <t>N531YR036</t>
  </si>
  <si>
    <t>X001J0UEBB</t>
  </si>
  <si>
    <t>B074K53FDK</t>
  </si>
  <si>
    <t>Women Bras On Sale Nursing Bra Underwire Red 34</t>
  </si>
  <si>
    <t>N039YB038</t>
  </si>
  <si>
    <t>X001J1QFY5</t>
  </si>
  <si>
    <t>B074JX2YCX</t>
  </si>
  <si>
    <t>Womens Apparel Strappy Sports Bra Blue 38</t>
  </si>
  <si>
    <t>N158YB038</t>
  </si>
  <si>
    <t>X001IJTV2B</t>
  </si>
  <si>
    <t>B074FXCYQT</t>
  </si>
  <si>
    <t>ZAIAI Women's Embroidery Bras Set Lace Lingerie Bra Blue 38</t>
  </si>
  <si>
    <t>0.142241 cuft</t>
  </si>
  <si>
    <t>N87232KXSM</t>
  </si>
  <si>
    <t>X001IJWC9F</t>
  </si>
  <si>
    <t>B074FX3HCW</t>
  </si>
  <si>
    <t>ZAIAI Womens Cotton Thong Underwear Lace Trim Soft Sexy Lingerie Panties Set(6 Pack) Apricot M</t>
  </si>
  <si>
    <t>N583YQZ44</t>
  </si>
  <si>
    <t>X001IG370B</t>
  </si>
  <si>
    <t>B074DVY6FY</t>
  </si>
  <si>
    <t>ZAIAI Women's Embroidery Bras Set Lace Lingerie Bra Light Purple 44</t>
  </si>
  <si>
    <t>N89122KBL3XL</t>
  </si>
  <si>
    <t>X001IJQ4CB</t>
  </si>
  <si>
    <t>B074FW1DYK</t>
  </si>
  <si>
    <t>Women's Comfort Stretch Hipster (3 Pack) Sapphire 3XL</t>
  </si>
  <si>
    <t>NY-XUHM011-K0-44C</t>
  </si>
  <si>
    <t>X001O74H8Z</t>
  </si>
  <si>
    <t>B078WRLGFX</t>
  </si>
  <si>
    <t>ZAIAI Women Sexy Deep V Lace Underwire Bra Set Push Up Bra and Panties Sets Outfit Black 44C</t>
  </si>
  <si>
    <t>N3818-2YW046</t>
  </si>
  <si>
    <t>X001IC9WE5</t>
  </si>
  <si>
    <t>B074CWWB41</t>
  </si>
  <si>
    <t>ZAIAI Women's Embroidery Bras Set Lace Lingerie Bra and Panties White 46</t>
  </si>
  <si>
    <t>0.122319 cuft</t>
  </si>
  <si>
    <t>N2033YSG40</t>
  </si>
  <si>
    <t>X001IG3701</t>
  </si>
  <si>
    <t>B074DW762P</t>
  </si>
  <si>
    <t>ZAIAI Women's Comfort Shape Concealing Petals Underwire Bra Silver Gray 40</t>
  </si>
  <si>
    <t>N531YXS38</t>
  </si>
  <si>
    <t>X001J1SSS1</t>
  </si>
  <si>
    <t>B074JV1QKR</t>
  </si>
  <si>
    <t>Women Bras For Girls Apricot 36</t>
  </si>
  <si>
    <t>NY-B15016-K0-S</t>
  </si>
  <si>
    <t>X001NZ6REP</t>
  </si>
  <si>
    <t>B078NNNW7X</t>
  </si>
  <si>
    <t>Women Floral Lace Bralette Padded Breathable Sexy Racerback Lace Bra Bustier Black S</t>
  </si>
  <si>
    <t>N3818-2YW044</t>
  </si>
  <si>
    <t>X001IC9WEP</t>
  </si>
  <si>
    <t>B074CW4J9M</t>
  </si>
  <si>
    <t>ZAIAI Women's Embroidery Bras Set Lace Lingerie Bra and Panties White 44</t>
  </si>
  <si>
    <t>N31459YMH38</t>
  </si>
  <si>
    <t>X001IBKB23</t>
  </si>
  <si>
    <t>B074CWRDHL</t>
  </si>
  <si>
    <t>Women's Bra Panty Set Rose Red 36</t>
  </si>
  <si>
    <t>N029YHL36</t>
  </si>
  <si>
    <t>X001J1U6XB</t>
  </si>
  <si>
    <t>B074K1L386</t>
  </si>
  <si>
    <t>ZAIAI Women Bras Sports Sexy Bra Lake Blue 36</t>
  </si>
  <si>
    <t>N89122KXS2XL</t>
  </si>
  <si>
    <t>X001IJZSHX</t>
  </si>
  <si>
    <t>B074FXTKQH</t>
  </si>
  <si>
    <t>Women's Comfort Stretch Hipster (3 Pack) Apricot 2XL</t>
  </si>
  <si>
    <t>N89122KW03XL</t>
  </si>
  <si>
    <t>X001IJWIU3</t>
  </si>
  <si>
    <t>B074FW571Z</t>
  </si>
  <si>
    <t>Women's Comfort Stretch Hipster (3 Pack) White 3XL</t>
  </si>
  <si>
    <t>GJHNYK0</t>
  </si>
  <si>
    <t>X001IJSPZF</t>
  </si>
  <si>
    <t>B074FQSTJL</t>
  </si>
  <si>
    <t>ZAIAI Women Sexy Lace Dress G-string Lingerie Sheer Babydoll Sleepwear Nightdress Robe Black2</t>
  </si>
  <si>
    <t>N583YQZ38</t>
  </si>
  <si>
    <t>X001IIUP2H</t>
  </si>
  <si>
    <t>B074FJ37K7</t>
  </si>
  <si>
    <t>Women's Embroidery Bras Set Lace Lingerie Bra Light Purple 38</t>
  </si>
  <si>
    <t>N2047YK034</t>
  </si>
  <si>
    <t>X001IG0O2Z</t>
  </si>
  <si>
    <t>B074DW274J</t>
  </si>
  <si>
    <t>ZAIAI Women's Cloud Wire-Free Contour Bra Black 34</t>
  </si>
  <si>
    <t>NY-XUHM011-K0-42C</t>
  </si>
  <si>
    <t>X001O6JJ57</t>
  </si>
  <si>
    <t>B078WQV8SF</t>
  </si>
  <si>
    <t>ZAIAI Women Sexy Deep V Lace Underwire Bra Set Push Up Bra and Panties Sets Outfit Black 42C</t>
  </si>
  <si>
    <t>N2082YQLS34</t>
  </si>
  <si>
    <t>X001IG0O39</t>
  </si>
  <si>
    <t>B074DW1MXR</t>
  </si>
  <si>
    <t>Women's Comfort Revolution Front-Close Shaping Underwire Bra Light Blue 34</t>
  </si>
  <si>
    <t>N531YR034</t>
  </si>
  <si>
    <t>X001J1PV1D</t>
  </si>
  <si>
    <t>B074K3VJ4G</t>
  </si>
  <si>
    <t>Sleep Bras For Women Free Bra Red 34</t>
  </si>
  <si>
    <t>N9383YG044</t>
  </si>
  <si>
    <t>X001IBOHN7</t>
  </si>
  <si>
    <t>B074CV3L2T</t>
  </si>
  <si>
    <t>Women's Laced &amp; Lace Trimmed Bras Green 44</t>
  </si>
  <si>
    <t>N31459YP044</t>
  </si>
  <si>
    <t>X001IBKB1T</t>
  </si>
  <si>
    <t>B074CXP24Y</t>
  </si>
  <si>
    <t>Women's Bra Panty Set Bras Purple 42</t>
  </si>
  <si>
    <t>N89122KMH3XL</t>
  </si>
  <si>
    <t>X001IJW9TN</t>
  </si>
  <si>
    <t>B074FT1X4P</t>
  </si>
  <si>
    <t>ZAIAI Women's Comfort Stretch Hipster (3 Pack) Rose Red 3XL</t>
  </si>
  <si>
    <t>N531YR040</t>
  </si>
  <si>
    <t>X001J1S3UT</t>
  </si>
  <si>
    <t>B074JY1RXB</t>
  </si>
  <si>
    <t>Women Bras Underwire Shape Bra Red 38</t>
  </si>
  <si>
    <t>XTLAK0B</t>
  </si>
  <si>
    <t>X001K9TDYF</t>
  </si>
  <si>
    <t>B074NQW76F</t>
  </si>
  <si>
    <t>ZAIAI LALABRA Women's Strapless Bra Self Adhesive Silicone Push Up with Drawstring Black1 B Cup</t>
  </si>
  <si>
    <t>N31459YB044</t>
  </si>
  <si>
    <t>X001IBMLQR</t>
  </si>
  <si>
    <t>B074CX9229</t>
  </si>
  <si>
    <t>Women's Laced &amp; Lace Sexy Trimmed Bras (40, Blue)</t>
  </si>
  <si>
    <t>N2716YHL38</t>
  </si>
  <si>
    <t>X001JBEP79</t>
  </si>
  <si>
    <t>B074QQ5S79</t>
  </si>
  <si>
    <t>ZAIAI Women Bras and Panties Sexy Bra Lake Blue 38</t>
  </si>
  <si>
    <t>Create removal order</t>
  </si>
  <si>
    <t>N89122KMH4XL</t>
  </si>
  <si>
    <t>X001IJW9T3</t>
  </si>
  <si>
    <t>B074FVCMHJ</t>
  </si>
  <si>
    <t>ZAIAI Women's Comfort Stretch Hipster (3 Pack) Rose Red 4XL</t>
  </si>
  <si>
    <t>NY-XUHM463-P0-M</t>
  </si>
  <si>
    <t>X001QDXPXZ</t>
  </si>
  <si>
    <t>B07BKRPH4T</t>
  </si>
  <si>
    <t>ZAIAI Women's Lace Bralette Wireless Band Lace Bra Light Purple M</t>
  </si>
  <si>
    <t>NY-B15021-B0-S</t>
  </si>
  <si>
    <t>X001NYRN17</t>
  </si>
  <si>
    <t>B078NQ2LH1</t>
  </si>
  <si>
    <t>ZAIAI Women's Lace Bralette Wireless Band Lace Bra Blue S</t>
  </si>
  <si>
    <t>MY71115ZQXXL</t>
  </si>
  <si>
    <t>X001MNOAW9</t>
  </si>
  <si>
    <t>B0761MLYTQ</t>
  </si>
  <si>
    <t>ZAIAI Women's Quilted Puffer Jacket Coat with Faux Fur Trimmed Hood Navy XL</t>
  </si>
  <si>
    <t>NY-XUHM011-K0-36C</t>
  </si>
  <si>
    <t>X001O5ZFHJ</t>
  </si>
  <si>
    <t>B078WQVSNV</t>
  </si>
  <si>
    <t>ZAIAI Smart Sexy Women's Signature Lace Unlined Underwire Bra Black 36C</t>
  </si>
  <si>
    <t>N87318KXGHM</t>
  </si>
  <si>
    <t>X001IJW9TD</t>
  </si>
  <si>
    <t>B074FWYPHZ</t>
  </si>
  <si>
    <t>Women Sexy Cotton Thongs Intimates Briefs Tangas Ladies Panties(6 Pack) Watermelon Red M</t>
  </si>
  <si>
    <t>NY-XUHM463-K0-L</t>
  </si>
  <si>
    <t>X001QAAXLP</t>
  </si>
  <si>
    <t>B07BKQTYFV</t>
  </si>
  <si>
    <t>N531YXS36</t>
  </si>
  <si>
    <t>X001J1QFYP</t>
  </si>
  <si>
    <t>B074JXZYR5</t>
  </si>
  <si>
    <t>Bras For Women No Underwire Apricot 34</t>
  </si>
  <si>
    <t>N2716YR038</t>
  </si>
  <si>
    <t>X001JBEAS3</t>
  </si>
  <si>
    <t>B074QG3P8G</t>
  </si>
  <si>
    <t>Womens Yoga Shefit Sports Bra Red 38</t>
  </si>
  <si>
    <t>N3818-2YW040</t>
  </si>
  <si>
    <t>X001IBMMHF</t>
  </si>
  <si>
    <t>B074CW3JWV</t>
  </si>
  <si>
    <t>ZAIAI Women's Embroidery Bras Set Lace Lingerie Bra and Panties White 40</t>
  </si>
  <si>
    <t>NY-XUHM463-P0-XL</t>
  </si>
  <si>
    <t>X001QDWYMD</t>
  </si>
  <si>
    <t>B07BKQDRB2</t>
  </si>
  <si>
    <t>ZAIAI Women's Lace Bralette Wireless Band Lace Bra Light Purple XL</t>
  </si>
  <si>
    <t>MY16055ZQXXL</t>
  </si>
  <si>
    <t>X001MNNKVV</t>
  </si>
  <si>
    <t>B0761NGYTK</t>
  </si>
  <si>
    <t>Womens Hooded Warm Coats Parkas With Fax Fur Jackets Navy XXL</t>
  </si>
  <si>
    <t>MY71115ZQS</t>
  </si>
  <si>
    <t>X001MNQ49V</t>
  </si>
  <si>
    <t>B0761R6ZG2</t>
  </si>
  <si>
    <t>ZAIAI Women's Quilted Puffer Jacket Coat with Faux Fur Trimmed Hood Navy XS</t>
  </si>
  <si>
    <t>N039YXGH38</t>
  </si>
  <si>
    <t>X001J1PSST</t>
  </si>
  <si>
    <t>B074JZ42X6</t>
  </si>
  <si>
    <t>ZAIAI Women Bras Maidenform Sexy Bra Watermelon Red 38</t>
  </si>
  <si>
    <t>NK-XUHM001-K0-L</t>
  </si>
  <si>
    <t>X001O6K0UP</t>
  </si>
  <si>
    <t>B078WQCTTM</t>
  </si>
  <si>
    <t>ZAIAI Boyshort Panties Women Sexy Lace Fun Underwear Briefs Ladies Knickers Womens Triangle Thong Black L</t>
  </si>
  <si>
    <t>NY-B15021-PI-M</t>
  </si>
  <si>
    <t>X001NZAPTN</t>
  </si>
  <si>
    <t>B078NQW8Y6</t>
  </si>
  <si>
    <t>ZAIAI Women Super Soft Lace Bra Top Seamless Bralette Cup Wireless Bra Pink M</t>
  </si>
  <si>
    <t>0.078022 cuft</t>
  </si>
  <si>
    <t>MY71115ZQM</t>
  </si>
  <si>
    <t>X001MNP14Z</t>
  </si>
  <si>
    <t>B0761MXCJB</t>
  </si>
  <si>
    <t>ZAIAI Women's Quilted Puffer Jacket Coat with Faux Fur Trimmed Hood Navy S</t>
  </si>
  <si>
    <t>N9383YP040</t>
  </si>
  <si>
    <t>X001IBOIO5</t>
  </si>
  <si>
    <t>B074CWJNRX</t>
  </si>
  <si>
    <t>ZAIAI Women's Laced &amp; Lace Trimmed Bras Purple 40</t>
  </si>
  <si>
    <t>NY-B15021-K0-M</t>
  </si>
  <si>
    <t>X001NYRMO5</t>
  </si>
  <si>
    <t>B078NNWT42</t>
  </si>
  <si>
    <t>ZAIAI Women Super Soft Lace Bra Top Seamless Bralette Cup Wireless Bra Black M</t>
  </si>
  <si>
    <t>N2033YK036</t>
  </si>
  <si>
    <t>X001IG8EKT</t>
  </si>
  <si>
    <t>B074DVZPS8</t>
  </si>
  <si>
    <t>Women's Comfort Shape Concealing Petals Underwire Bra Black 36</t>
  </si>
  <si>
    <t>0.093699 cuft</t>
  </si>
  <si>
    <t>MY71115MSM</t>
  </si>
  <si>
    <t>X001MNB5VD</t>
  </si>
  <si>
    <t>B0761PV952</t>
  </si>
  <si>
    <t>ZAIAI Women's Coat With Fur Hood With 90% Down Parka Puffer Jacket Beige M</t>
  </si>
  <si>
    <t>MY71115K0M</t>
  </si>
  <si>
    <t>X001MNQ491</t>
  </si>
  <si>
    <t>B0761NNDWM</t>
  </si>
  <si>
    <t>ZAIAI Women's Coat with Fur Hood with 90% Down Parka Puffer Jacket Black S</t>
  </si>
  <si>
    <t>MY71107MSXL</t>
  </si>
  <si>
    <t>X001MNO43J</t>
  </si>
  <si>
    <t>B0761NNM84</t>
  </si>
  <si>
    <t>ZAIAI Women's Parka Winter Coat Overcoat Long Down Jacket Outwear Beige XL</t>
  </si>
  <si>
    <t>MY71115MSXXL</t>
  </si>
  <si>
    <t>X001MNQ49B</t>
  </si>
  <si>
    <t>B0761N46BN</t>
  </si>
  <si>
    <t>ZAIAI Women's Coat with Fur Hood with 90% Down Parka Puffer Jacket Beige XL</t>
  </si>
  <si>
    <t>XTHQK0C</t>
  </si>
  <si>
    <t>X001K9OT03</t>
  </si>
  <si>
    <t>B074NXL8BJ</t>
  </si>
  <si>
    <t>ZAIAI Qeauty Adhesive Bra,Push Up Drawstring Strapless Bra with Qualities for Sexy Backless Dress Black2 C Cup</t>
  </si>
  <si>
    <t>N9383YXGH48</t>
  </si>
  <si>
    <t>X001IBK7P9</t>
  </si>
  <si>
    <t>B074CX4VVP</t>
  </si>
  <si>
    <t>ZAIAI Women's Laced &amp; Lace Trimmed Bras Watermelon Red 48</t>
  </si>
  <si>
    <t>NY-XUHM001-K0-44C</t>
  </si>
  <si>
    <t>X001O6901P</t>
  </si>
  <si>
    <t>B078WRDL9P</t>
  </si>
  <si>
    <t>ZAIAI Women Sexy Deep V Lace Underwire Bras Set Push Up Bra and Panties Sets Outfit Black 44C</t>
  </si>
  <si>
    <t>NK-XUHM001-K0-XL</t>
  </si>
  <si>
    <t>X001O74JGZ</t>
  </si>
  <si>
    <t>B078WPYL96</t>
  </si>
  <si>
    <t>ZAIAI Boyshort Panties Women Sexy Lace Fun Underwear Briefs Ladies Knickers Womens Triangle Thong Black XL</t>
  </si>
  <si>
    <t>N9383YMH40</t>
  </si>
  <si>
    <t>X001IBKORF</t>
  </si>
  <si>
    <t>B074CXHT3T</t>
  </si>
  <si>
    <t>ZAIAI Women's Laced &amp; Lace Trimmed Bras Rose Red 40</t>
  </si>
  <si>
    <t>N2047YK032</t>
  </si>
  <si>
    <t>X001IFRL7H</t>
  </si>
  <si>
    <t>B074DVVJND</t>
  </si>
  <si>
    <t>Women's Cloud Wire-Free Contour Bra Black 32</t>
  </si>
  <si>
    <t>NY-XUHM011-K0-40C</t>
  </si>
  <si>
    <t>X001O5ZFDD</t>
  </si>
  <si>
    <t>B078WQMW23</t>
  </si>
  <si>
    <t>ZAIAI Smart Sexy Women's Signature Lace Unlined Underwire Bra Black 40C</t>
  </si>
  <si>
    <t>N583YQZ40</t>
  </si>
  <si>
    <t>X001IG2YGT</t>
  </si>
  <si>
    <t>B074DW168F</t>
  </si>
  <si>
    <t>Women's Embroidery Bras Set Lace Lingerie Bra Light Purple 40</t>
  </si>
  <si>
    <t>NY-XUHM001-K0-38C</t>
  </si>
  <si>
    <t>X001O6JJ4X</t>
  </si>
  <si>
    <t>B078WQN4YQ</t>
  </si>
  <si>
    <t>ZAIAI Women Sexy Deep V Lace Underwire Bra Set Push Up Bra Outfit Apricot Black 38C</t>
  </si>
  <si>
    <t>N2082YQJ34</t>
  </si>
  <si>
    <t>X001IG2KH7</t>
  </si>
  <si>
    <t>B074DW5ZSD</t>
  </si>
  <si>
    <t>ZAIAI Women's Comfort Revolution Front-Close Shaping Underwire Bra Light Orange 34</t>
  </si>
  <si>
    <t>N89122KK03XL</t>
  </si>
  <si>
    <t>X001IJYCVV</t>
  </si>
  <si>
    <t>B074FYL2WF</t>
  </si>
  <si>
    <t>ZAIAI Women's Comfort Stretch Hipster (3 Pack) Black 3XL</t>
  </si>
  <si>
    <t>PYJKDKK0XXXL</t>
  </si>
  <si>
    <t>X001H3KROJ</t>
  </si>
  <si>
    <t>B073WBR2D4</t>
  </si>
  <si>
    <t>MEIAOMA Womens Faux Leather Zipper Moto Biker Bomber Jacket(Black,XXL)</t>
  </si>
  <si>
    <t>XTHQK0D</t>
  </si>
  <si>
    <t>X001K9OSUT</t>
  </si>
  <si>
    <t>B074P1H1SL</t>
  </si>
  <si>
    <t>ZAIAI Qeauty Adhesive Bra,Push Up Drawstring Strapless Bra with Qualities for Sexy Backless Dress Black2 D Cup</t>
  </si>
  <si>
    <t>MY16055MSS</t>
  </si>
  <si>
    <t>X001MNO74F</t>
  </si>
  <si>
    <t>B0761Q9VPH</t>
  </si>
  <si>
    <t>ZAIAI Womens Wool Jacket Coat Outwear Parka Overcoat Beige S</t>
  </si>
  <si>
    <t>N9383YXGH46</t>
  </si>
  <si>
    <t>X001IBK7OZ</t>
  </si>
  <si>
    <t>B074CWLV9M</t>
  </si>
  <si>
    <t>Women's Laced &amp; Lace Trimmed Bras Watermelon Red 46</t>
  </si>
  <si>
    <t>NY-B15016-W0-S</t>
  </si>
  <si>
    <t>X001NZ8RR5</t>
  </si>
  <si>
    <t>B078NQ98JD</t>
  </si>
  <si>
    <t>ZAIAI Women's Microfiber Longline Lace Bralette White S</t>
  </si>
  <si>
    <t>XTHQK0A</t>
  </si>
  <si>
    <t>X001K9SHBZ</t>
  </si>
  <si>
    <t>B074NYX45B</t>
  </si>
  <si>
    <t>ZAIAI Qeauty Adhesive Bra,Push Up Drawstring Strapless Bra with Qualities for Sexy Backless Dress Black2 A Cup</t>
  </si>
  <si>
    <t>PYJKJSK0XXXL</t>
  </si>
  <si>
    <t>X001H3J6Q9</t>
  </si>
  <si>
    <t>B073WTQ7YC</t>
  </si>
  <si>
    <t>MEIAOMA Womens Faux Leather Zip Up Moto Biker Jacket With Stitching Detail(Black,XXL)</t>
  </si>
  <si>
    <t>N1709YZS44</t>
  </si>
  <si>
    <t>X001IAWN7Z</t>
  </si>
  <si>
    <t>B074CSPJVW</t>
  </si>
  <si>
    <t>ZAIAI Women's 18-Hour Seamless Smoothing Bra Brown 46</t>
  </si>
  <si>
    <t>N89119KK0L</t>
  </si>
  <si>
    <t>X001IJX479</t>
  </si>
  <si>
    <t>B074FT665V</t>
  </si>
  <si>
    <t>ZAIAI Women Sexy Cotton Thongs Intimates Briefs Tangas Ladies Panties(6 Pack) Black L</t>
  </si>
  <si>
    <t>NY-XUHM001-K0-40C</t>
  </si>
  <si>
    <t>X001O6JVAZ</t>
  </si>
  <si>
    <t>B078WQ3MJ9</t>
  </si>
  <si>
    <t>ZAIAI Women Sexy Deep V Lace Underwire Bra Set Push Up Bra and Panties Sets Outfit Black 40C</t>
  </si>
  <si>
    <t>0.036948 cuft</t>
  </si>
  <si>
    <t>JBL-QFFMMHL</t>
  </si>
  <si>
    <t>X001KB9FIH</t>
  </si>
  <si>
    <t>B073F2HG9P</t>
  </si>
  <si>
    <t>HuXang Cloth Womens Fold Over Waist Solid Ruffled Flare Palazzo Pants Capris(Rose Red,L)</t>
  </si>
  <si>
    <t>NY-B15021-K0-S</t>
  </si>
  <si>
    <t>X001NZD79D</t>
  </si>
  <si>
    <t>B078NNZQ5Y</t>
  </si>
  <si>
    <t>ZAIAI Women Super Soft Lace Bra Top Seamless Bralette Cup Wireless Bra Black S</t>
  </si>
  <si>
    <t>NY-B15021-K0-XL</t>
  </si>
  <si>
    <t>X001NZ9SOV</t>
  </si>
  <si>
    <t>B078NPBXD2</t>
  </si>
  <si>
    <t>XTHQK0B</t>
  </si>
  <si>
    <t>X001K9U2JP</t>
  </si>
  <si>
    <t>B074NWMYV7</t>
  </si>
  <si>
    <t>Qeauty Adhesive Bra,Push Up Drawstring Strapless Bra with Qualities for Sexy Backless Dress Black2 B Cup</t>
  </si>
  <si>
    <t>TTYCMZFCX1</t>
  </si>
  <si>
    <t>X001H8LIF1</t>
  </si>
  <si>
    <t>B072N2WZ5J</t>
  </si>
  <si>
    <t>HuXang Cloth Womens Elastic Waist Cotton Linen Loose Casual Wide Leg Palazzo Pants White</t>
  </si>
  <si>
    <t>0.090762 cuft</t>
  </si>
  <si>
    <t>NY-XUHM011-K0-38C</t>
  </si>
  <si>
    <t>X001O6JVAP</t>
  </si>
  <si>
    <t>B078WRMSBV</t>
  </si>
  <si>
    <t>ZAIAI Smart Sexy Women's Signature Lace Unlined Underwire Bra Black 38C</t>
  </si>
  <si>
    <t>N2716YMH36</t>
  </si>
  <si>
    <t>X001JBF9AV</t>
  </si>
  <si>
    <t>B074QFDH8R</t>
  </si>
  <si>
    <t>ZAIAI Sports Bras For Women Plus Size Rose Red 36</t>
  </si>
  <si>
    <t>N9383YR040</t>
  </si>
  <si>
    <t>X001IBK7VN</t>
  </si>
  <si>
    <t>B074CX22LX</t>
  </si>
  <si>
    <t>ZAIAI Women's Laced &amp; Lace Trimmed Bras Red 40</t>
  </si>
  <si>
    <t>N2033YK040</t>
  </si>
  <si>
    <t>X001IFRL4Z</t>
  </si>
  <si>
    <t>B074DWBXBD</t>
  </si>
  <si>
    <t>ZAIAI Women's Comfort Shape Concealing Petals Underwire Bra Black 40</t>
  </si>
  <si>
    <t>PYJKDKR0L</t>
  </si>
  <si>
    <t>X001H3KKFF</t>
  </si>
  <si>
    <t>B073WB3TLC</t>
  </si>
  <si>
    <t>MEIAOMA Womens Faux Leather Zipper Moto Biker Bomber Jacket(Red,M)</t>
  </si>
  <si>
    <t>N9932YXS38</t>
  </si>
  <si>
    <t>X001IJLLZ1</t>
  </si>
  <si>
    <t>B074FW6SKT</t>
  </si>
  <si>
    <t>Women's Secrets Body Revelations Underwire Bra Apricot 38</t>
  </si>
  <si>
    <t>0.078635 cuft</t>
  </si>
  <si>
    <t>N1709YZS48</t>
  </si>
  <si>
    <t>X001IBI5AX</t>
  </si>
  <si>
    <t>B074CSCRF6</t>
  </si>
  <si>
    <t>ZAIAI Women's 18-Hour Seamless Smoothing Bra Brown 48</t>
  </si>
  <si>
    <t>N89119KBLL</t>
  </si>
  <si>
    <t>X001IJXFKZ</t>
  </si>
  <si>
    <t>B074FT3DCL</t>
  </si>
  <si>
    <t>ZAIAI Women Sexy Cotton Thongs Intimates Briefs Tangas Ladies Panties(6 Pack) Sapphire L</t>
  </si>
  <si>
    <t>SPHNYK0</t>
  </si>
  <si>
    <t>X001IJSTYH</t>
  </si>
  <si>
    <t>B074FP8V7K</t>
  </si>
  <si>
    <t>ZAIAI Women's Lace Kimono Robe Babydoll Lingerie Mesh Nightgown Black3</t>
  </si>
  <si>
    <t>0.038507 cuft</t>
  </si>
  <si>
    <t>NY-XUHM005-GA-S</t>
  </si>
  <si>
    <t>X001QDXG9D</t>
  </si>
  <si>
    <t>B07BKWBM9B</t>
  </si>
  <si>
    <t>ZAIAI Women's Lace Bralette Wireless Band Lace Bra Dark Green S</t>
  </si>
  <si>
    <t>NY-XUHM463-K0-M</t>
  </si>
  <si>
    <t>X001QDXSJV</t>
  </si>
  <si>
    <t>B07BKVPJ6Q</t>
  </si>
  <si>
    <t>Women Super Soft Lace Bra Top Seamless Bralette Cup Wireless Bra Black M</t>
  </si>
  <si>
    <t>N2716YMH34</t>
  </si>
  <si>
    <t>X001JBEDI5</t>
  </si>
  <si>
    <t>B074QGD61W</t>
  </si>
  <si>
    <t>ZAIAI Womens Sports Bra Small Lightly Padded Rose Red 34</t>
  </si>
  <si>
    <t>N9383YB042</t>
  </si>
  <si>
    <t>X001IBN2SX</t>
  </si>
  <si>
    <t>B074CWTQW9</t>
  </si>
  <si>
    <t>ZAIAI Women's Laced &amp; Lace Trimmed Bras Blue 42</t>
  </si>
  <si>
    <t>N3818-2YW048</t>
  </si>
  <si>
    <t>X001IBLMNZ</t>
  </si>
  <si>
    <t>B074CWG2B2</t>
  </si>
  <si>
    <t>ZAIAI Women's Embroidery Bras Set Lace Lingerie Bra and Panties White 48</t>
  </si>
  <si>
    <t>N888YK036</t>
  </si>
  <si>
    <t>X001IJKV57</t>
  </si>
  <si>
    <t>B074FZKWPJ</t>
  </si>
  <si>
    <t>ZAIAI Women's Perfectly Fit Lightly Lined Memory Touch T-Shirt Bra Black 36</t>
  </si>
  <si>
    <t>N87318KR5L</t>
  </si>
  <si>
    <t>X001IJWU1P</t>
  </si>
  <si>
    <t>B074FSVZ5H</t>
  </si>
  <si>
    <t>Women Sexy Cotton Thongs Intimates Briefs Tangas Ladies Panties(6 Pack) Pink L</t>
  </si>
  <si>
    <t>MY71107MSS</t>
  </si>
  <si>
    <t>X001MNP4TH</t>
  </si>
  <si>
    <t>B0761NM3SZ</t>
  </si>
  <si>
    <t>ZAIAI Women's Parka Winter Coat Overcoat Long Down Jacket Outwear Beige S</t>
  </si>
  <si>
    <t>TTYCMZFCX2</t>
  </si>
  <si>
    <t>X001H8L6PX</t>
  </si>
  <si>
    <t>B072KH5Y75</t>
  </si>
  <si>
    <t>HuXang Cloth Womens Elastic Waist Cotton Linen Loose Casual Wide Leg Palazzo Pants Black</t>
  </si>
  <si>
    <t>N9383YXGH40</t>
  </si>
  <si>
    <t>X001IBV14Z</t>
  </si>
  <si>
    <t>B074CWN2HB</t>
  </si>
  <si>
    <t>ZAIAI Women's Laced &amp; Lace Trimmed Bras Watermelon Red 40</t>
  </si>
  <si>
    <t>N89119KR5L</t>
  </si>
  <si>
    <t>X001IJWC5T</t>
  </si>
  <si>
    <t>B074FYMTFF</t>
  </si>
  <si>
    <t>ZAIAI Women Sexy Cotton Thongs Intimates Briefs Tangas Ladies Panties(6 Pack) Pink L</t>
  </si>
  <si>
    <t>N87301KMLSM</t>
  </si>
  <si>
    <t>X001IJYCZR</t>
  </si>
  <si>
    <t>B074FVVHPR</t>
  </si>
  <si>
    <t>Women's 4 Pack Heather Low-Rise Hipster Panties, Assorted Colors(4 Pack)Dark Green M</t>
  </si>
  <si>
    <t>N029YMH40</t>
  </si>
  <si>
    <t>X001J1PV0J</t>
  </si>
  <si>
    <t>B074JX2YCN</t>
  </si>
  <si>
    <t>ZAIAI Women Brassiere Sports Bra Yoga Bralettes Rose Red 40</t>
  </si>
  <si>
    <t>N9932YR538</t>
  </si>
  <si>
    <t>X001IJTOB9</t>
  </si>
  <si>
    <t>B074FTPHX1</t>
  </si>
  <si>
    <t>ZAIAI Women's Secrets Body Revelations Underwire Bra Pink 38</t>
  </si>
  <si>
    <t>PYJKJSB0XL</t>
  </si>
  <si>
    <t>X001H3I3S1</t>
  </si>
  <si>
    <t>B073WTW1SS</t>
  </si>
  <si>
    <t>MEIAOMA Womens Faux Leather Zip Up Moto Biker Jacket With Stitching Detail(Blue,L)</t>
  </si>
  <si>
    <t>N87309KW0L</t>
  </si>
  <si>
    <t>X001IJX06T</t>
  </si>
  <si>
    <t>B074FTYZMD</t>
  </si>
  <si>
    <t>ZAIAI Women's Invisible Seamless Bikini Underwear Half Back Coverage Panties(6 Pack) White L</t>
  </si>
  <si>
    <t>0.03053 cuft</t>
  </si>
  <si>
    <t>N039YG038</t>
  </si>
  <si>
    <t>X001J0U47P</t>
  </si>
  <si>
    <t>B074JW9ZRS</t>
  </si>
  <si>
    <t>ZAIAI Women Bras Green Bras For Women Green 38</t>
  </si>
  <si>
    <t>N87301KZHSL</t>
  </si>
  <si>
    <t>X001IJWZBP</t>
  </si>
  <si>
    <t>B074FXLSHW</t>
  </si>
  <si>
    <t>Women's 4 Pack Heather Low-Rise Hipster Panties, Assorted Colors(4 Pack)Red L</t>
  </si>
  <si>
    <t>N029YHL40</t>
  </si>
  <si>
    <t>X001J1QFXB</t>
  </si>
  <si>
    <t>B074JW5XZ4</t>
  </si>
  <si>
    <t>Women Bras Sports Bra Lake Blue 40</t>
  </si>
  <si>
    <t>NY-B15021-B0-L</t>
  </si>
  <si>
    <t>X001NZ7PIR</t>
  </si>
  <si>
    <t>B078NQZYP7</t>
  </si>
  <si>
    <t>ZAIAI Women's Lace Bralette Wireless Band Lace Bra Blue L</t>
  </si>
  <si>
    <t>NY-B15016-K0-M</t>
  </si>
  <si>
    <t>X001NZD793</t>
  </si>
  <si>
    <t>B078NN9LW4</t>
  </si>
  <si>
    <t>ZAIAI Women Floral Lace Bralette Padded Breathable Sexy Racerback Lace Bra Bustier Black M</t>
  </si>
  <si>
    <t>N87318KXSXL</t>
  </si>
  <si>
    <t>X001IJW2NL</t>
  </si>
  <si>
    <t>B074FX6ZGT</t>
  </si>
  <si>
    <t>Women Sexy Cotton Thongs Intimates Briefs Tangas Ladies Panties(6 Pack) Apricot XL</t>
  </si>
  <si>
    <t>MY16055MSXXL</t>
  </si>
  <si>
    <t>X001MNO74Z</t>
  </si>
  <si>
    <t>B0761QW2JK</t>
  </si>
  <si>
    <t>ZAIAI Womens Wool Jacket Coat Outwear Parka Overcoat Beige XXL</t>
  </si>
  <si>
    <t>N029YMH36</t>
  </si>
  <si>
    <t>X001J1S5BB</t>
  </si>
  <si>
    <t>B074K5FMRM</t>
  </si>
  <si>
    <t>ZAIAI Women Bras Sports Bras For Women Rose Red 36</t>
  </si>
  <si>
    <t>N87301KSGXL</t>
  </si>
  <si>
    <t>X001IJWIX5</t>
  </si>
  <si>
    <t>B074FWRY86</t>
  </si>
  <si>
    <t>Women's 4 Pack Heather Low-Rise Hipster Panties, Assorted Colors(4 Pack)Silver Gray XL</t>
  </si>
  <si>
    <t>DDBNYW0</t>
  </si>
  <si>
    <t>X001IJSTY7</t>
  </si>
  <si>
    <t>B074FPYB9N</t>
  </si>
  <si>
    <t>ZAIAI Women's Florence Halter Dress with Garter and Stockings White</t>
  </si>
  <si>
    <t>0.051431 cuft</t>
  </si>
  <si>
    <t>MY16055ZQL</t>
  </si>
  <si>
    <t>X001MNO4XT</t>
  </si>
  <si>
    <t>B0761PXTK8</t>
  </si>
  <si>
    <t>ZAIAI Womens Hooded Warm Coats Parkas With Fax Fur Jackets Navy L</t>
  </si>
  <si>
    <t>MY71115ZQL</t>
  </si>
  <si>
    <t>X001MNB5ZT</t>
  </si>
  <si>
    <t>B0761S2M63</t>
  </si>
  <si>
    <t>ZAIAI Women's Quilted Puffer Jacket Coat with Faux Fur Trimmed Hood Navy M</t>
  </si>
  <si>
    <t>PYJKTSKFL</t>
  </si>
  <si>
    <t>X001H3KKGT</t>
  </si>
  <si>
    <t>B073WTZ549</t>
  </si>
  <si>
    <t>MEIAOMA Womens Quilted Biker Jacket(Coffee,M)</t>
  </si>
  <si>
    <t>N888YK042</t>
  </si>
  <si>
    <t>X001IJLLZB</t>
  </si>
  <si>
    <t>B074FSCZT2</t>
  </si>
  <si>
    <t>Women's Perfectly Fit Lightly Lined Memory Touch T-Shirt Bra Black 42</t>
  </si>
  <si>
    <t>0.192774 cuft</t>
  </si>
  <si>
    <t>N2033YK042</t>
  </si>
  <si>
    <t>X001IG8EJZ</t>
  </si>
  <si>
    <t>B074DVVVVP</t>
  </si>
  <si>
    <t>Women's Comfort Shape Concealing Petals Underwire Bra Black 42</t>
  </si>
  <si>
    <t>NY-XUHM005-GA-M</t>
  </si>
  <si>
    <t>X001QDXAHV</t>
  </si>
  <si>
    <t>B07BKTCPPS</t>
  </si>
  <si>
    <t>ZAIAI Women's Lace Bralette Wireless Band Lace Bra Dark Green M</t>
  </si>
  <si>
    <t>NY-B15021-PI-XL</t>
  </si>
  <si>
    <t>X001NZALXD</t>
  </si>
  <si>
    <t>B078NNZWD6</t>
  </si>
  <si>
    <t>ZAIAI Women Super Soft Lace Bra Top Seamless Bralette Cup Wireless Bra Pink XL</t>
  </si>
  <si>
    <t>N2257YK038</t>
  </si>
  <si>
    <t>X001IG2KGN</t>
  </si>
  <si>
    <t>B074DW6NQD</t>
  </si>
  <si>
    <t>ZAIAI Women's No Side Effects Wire-Free Contour Bra Black 38</t>
  </si>
  <si>
    <t>MY71107ZQS</t>
  </si>
  <si>
    <t>X001MNOXKX</t>
  </si>
  <si>
    <t>B0761N286T</t>
  </si>
  <si>
    <t>ZAIAI Women's Parka Winter Coat Overcoat Long Down Jacket Outwear Navy S</t>
  </si>
  <si>
    <t>JBL-QFFMR5XXL</t>
  </si>
  <si>
    <t>X001KB8TT3</t>
  </si>
  <si>
    <t>B073F4G8B1</t>
  </si>
  <si>
    <t>HuXang Cloth Womens Fold Over Waist Solid Ruffled Flare Palazzo Pants Capris(Pink,XXL)</t>
  </si>
  <si>
    <t>0.13091 cuft</t>
  </si>
  <si>
    <t>N89122KHL4XL</t>
  </si>
  <si>
    <t>X001IJXFLJ</t>
  </si>
  <si>
    <t>B074FW8FGF</t>
  </si>
  <si>
    <t>Women's Comfort Stretch Hipster (3 Pack) Lake Blue 4XL</t>
  </si>
  <si>
    <t>N31459YB042</t>
  </si>
  <si>
    <t>X001IBK7HH</t>
  </si>
  <si>
    <t>B074CX8YMH</t>
  </si>
  <si>
    <t>Panty And Bra Sets For Women Blue 40</t>
  </si>
  <si>
    <t>0.135149 cuft</t>
  </si>
  <si>
    <t>N039YR038</t>
  </si>
  <si>
    <t>X001J0UEBV</t>
  </si>
  <si>
    <t>B074K3YM47</t>
  </si>
  <si>
    <t>Women Bras On Sale Plus Size Every Day Sports Bra Red 38</t>
  </si>
  <si>
    <t>N029YE040</t>
  </si>
  <si>
    <t>X001J0U48J</t>
  </si>
  <si>
    <t>B074JV7QWX</t>
  </si>
  <si>
    <t>ZAIAI Women Bras 40D Sports Cup Bra Yoga Bra Gray 40</t>
  </si>
  <si>
    <t>N9383YB044</t>
  </si>
  <si>
    <t>X001IBUR7R</t>
  </si>
  <si>
    <t>B074CWMB5Z</t>
  </si>
  <si>
    <t>ZAIAI Women's Laced &amp; Lace Trimmed Bras Blue 44</t>
  </si>
  <si>
    <t>N9383YG038</t>
  </si>
  <si>
    <t>X001IBUR77</t>
  </si>
  <si>
    <t>B074CWQJVH</t>
  </si>
  <si>
    <t>Women's Laced &amp; Lace Trimmed Bras Green 38</t>
  </si>
  <si>
    <t>N89119KXSL</t>
  </si>
  <si>
    <t>X001IJW9ST</t>
  </si>
  <si>
    <t>B074FWJYDS</t>
  </si>
  <si>
    <t>Women Sexy Cotton Thongs Intimates Briefs Tangas Ladies Panties(6 Pack) Apricot L</t>
  </si>
  <si>
    <t>MY71107MSL</t>
  </si>
  <si>
    <t>X001MNP4M9</t>
  </si>
  <si>
    <t>B0761P4LKC</t>
  </si>
  <si>
    <t>ZAIAI Women's Parka Winter Coat Overcoat Long Down Jacket Outwear Beige L</t>
  </si>
  <si>
    <t>MY16055ZQS</t>
  </si>
  <si>
    <t>X001MNQ49L</t>
  </si>
  <si>
    <t>B0761PL2N2</t>
  </si>
  <si>
    <t>Womens Hooded Warm Coats Parkas With Fax Fur Jackets Navy S</t>
  </si>
  <si>
    <t>MY71115MSL</t>
  </si>
  <si>
    <t>X001MNO65Z</t>
  </si>
  <si>
    <t>B0761NFTQC</t>
  </si>
  <si>
    <t>ZAIAI Women's Coat with Fur Hood with 90% Down Parka Puffer Jacket Beige M</t>
  </si>
  <si>
    <t>N9383YB046</t>
  </si>
  <si>
    <t>X001IBLMUN</t>
  </si>
  <si>
    <t>B074CX2BPL</t>
  </si>
  <si>
    <t>ZAIAI Women's Laced &amp; Lace Trimmed Bras Blue 46</t>
  </si>
  <si>
    <t>N9383YMH48</t>
  </si>
  <si>
    <t>X001IBOINV</t>
  </si>
  <si>
    <t>B074CWZG9L</t>
  </si>
  <si>
    <t>Women's Laced &amp; Lace Trimmed Bras Rose Red 48</t>
  </si>
  <si>
    <t>N158YR038</t>
  </si>
  <si>
    <t>X001IJIYKV</t>
  </si>
  <si>
    <t>B074FSXVNK</t>
  </si>
  <si>
    <t>ZAIAI Women's Embroidery Bras Set Lace Lingerie Bra Red 38</t>
  </si>
  <si>
    <t>0.162716 cuft</t>
  </si>
  <si>
    <t>NY-XUHM463-P0-L</t>
  </si>
  <si>
    <t>X001QDWYMN</t>
  </si>
  <si>
    <t>B07BKRLXJK</t>
  </si>
  <si>
    <t>ZAIAI Women's Lace Bralette Wireless Band Lace Bra Light Purple L</t>
  </si>
  <si>
    <t>0.120897 cuft</t>
  </si>
  <si>
    <t>N531YB036</t>
  </si>
  <si>
    <t>X001J0VN5H</t>
  </si>
  <si>
    <t>B074JVMQRW</t>
  </si>
  <si>
    <t>Women Bras Cotton Underwire Bra Blue 36</t>
  </si>
  <si>
    <t>N1709YR048</t>
  </si>
  <si>
    <t>X001IBJMQT</t>
  </si>
  <si>
    <t>B074CSF1MY</t>
  </si>
  <si>
    <t>ZAIAI Women's 18-Hour Seamless Smoothing Bra Red 48</t>
  </si>
  <si>
    <t>N2257YR538</t>
  </si>
  <si>
    <t>X001IFVUTH</t>
  </si>
  <si>
    <t>B074DV7WDZ</t>
  </si>
  <si>
    <t>Women's No Side Effects Wire-Free Contour Bra Pink 38</t>
  </si>
  <si>
    <t>N87309KW0M</t>
  </si>
  <si>
    <t>X001IJX073</t>
  </si>
  <si>
    <t>B074FTCGDW</t>
  </si>
  <si>
    <t>Women's Invisible Seamless Bikini Underwear Half Back Coverage Panties(6 Pack) White M</t>
  </si>
  <si>
    <t>NY-XUHM333-HS-L</t>
  </si>
  <si>
    <t>X001PJZTCP</t>
  </si>
  <si>
    <t>B07B3V3G8H</t>
  </si>
  <si>
    <t>ZAIAI Women's Comfort Revolution Shaping Wire-Free Bra Pack of 3 White/Rose/Purple Melange L</t>
  </si>
  <si>
    <t>N2082YK034</t>
  </si>
  <si>
    <t>X001IFVUNX</t>
  </si>
  <si>
    <t>B074DWLT99</t>
  </si>
  <si>
    <t>ZAIAI Women's Comfort Revolution Front-Close Shaping Underwire Bra Black 34</t>
  </si>
  <si>
    <t>N87301KK0XL</t>
  </si>
  <si>
    <t>X001IJW2RR</t>
  </si>
  <si>
    <t>B074FVZ2LG</t>
  </si>
  <si>
    <t>ZAIAI Women's Thongs Cotton Breathable Panties Bikini Underwear(4 Pack) Black XL</t>
  </si>
  <si>
    <t>N87301KW0L</t>
  </si>
  <si>
    <t>X001IJX4AL</t>
  </si>
  <si>
    <t>B074FVYSML</t>
  </si>
  <si>
    <t>Women's 4 Pack Heather Low-Rise Hipster Panties, Assorted Colors(4 Pack)White L</t>
  </si>
  <si>
    <t>N2716YYGL36</t>
  </si>
  <si>
    <t>X001JBF0O1</t>
  </si>
  <si>
    <t>B074QDSYXY</t>
  </si>
  <si>
    <t>ZAIAI Womens Yoga Strappy Sports Bra Green 36</t>
  </si>
  <si>
    <t>N2257YSG36</t>
  </si>
  <si>
    <t>X001IG370L</t>
  </si>
  <si>
    <t>B074DVZ847</t>
  </si>
  <si>
    <t>ZAIAI Women's No Side Effects Wire-Free Contour Bra Silver Gray 36</t>
  </si>
  <si>
    <t>N9383YB048</t>
  </si>
  <si>
    <t>X001IBK7PJ</t>
  </si>
  <si>
    <t>B074CWZRZ9</t>
  </si>
  <si>
    <t>ZAIAI Women's Laced &amp; Lace Trimmed Bras Blue 48</t>
  </si>
  <si>
    <t>N31459YB040</t>
  </si>
  <si>
    <t>X001IBK7I1</t>
  </si>
  <si>
    <t>B074CXLQVY</t>
  </si>
  <si>
    <t>Women's Panty Bra Push Up Blue 38</t>
  </si>
  <si>
    <t>MY71107ZQM</t>
  </si>
  <si>
    <t>X001MNNO85</t>
  </si>
  <si>
    <t>B0761P4LK2</t>
  </si>
  <si>
    <t>ZAIAI Women's Parka Winter Coat Overcoat Long Down Jacket Outwear Navy M</t>
  </si>
  <si>
    <t>1.013087 cuft</t>
  </si>
  <si>
    <t>MY71115MSXL</t>
  </si>
  <si>
    <t>X001MNP14F</t>
  </si>
  <si>
    <t>B0761PWB12</t>
  </si>
  <si>
    <t>ZAIAI Women's Coat with Fur Hood with 90% Down Parka Puffer Jacket Beige L</t>
  </si>
  <si>
    <t>N531YXS40</t>
  </si>
  <si>
    <t>X001J1U6XL</t>
  </si>
  <si>
    <t>B074JV1QKT</t>
  </si>
  <si>
    <t>Women Brassiere Underwire Bra Apricot 40</t>
  </si>
  <si>
    <t>N31459YMH46</t>
  </si>
  <si>
    <t>X001IBO42V</t>
  </si>
  <si>
    <t>B074CX73CM</t>
  </si>
  <si>
    <t>Bras For Women Panties Rose Red 44</t>
  </si>
  <si>
    <t>N89119KMHL</t>
  </si>
  <si>
    <t>X001IJWIUD</t>
  </si>
  <si>
    <t>B074FSW752</t>
  </si>
  <si>
    <t>Women Sexy Cotton Thongs Intimates Briefs Tangas Ladies Panties(6 Pack) Rose Red L</t>
  </si>
  <si>
    <t>NY-B15016-W0-M</t>
  </si>
  <si>
    <t>X001NZ9HHJ</t>
  </si>
  <si>
    <t>B078NN9RD2</t>
  </si>
  <si>
    <t>ZAIAI Women's Microfiber Longline Lace Bralette White M</t>
  </si>
  <si>
    <t>NY-XUHM001-K0-42C</t>
  </si>
  <si>
    <t>X001O6906Z</t>
  </si>
  <si>
    <t>B078WR4F43</t>
  </si>
  <si>
    <t>MY71115ZQXL</t>
  </si>
  <si>
    <t>X001MNP4U1</t>
  </si>
  <si>
    <t>B0761PBXCV</t>
  </si>
  <si>
    <t>ZAIAI Women's Quilted Puffer Jacket Coat with Faux Fur Trimmed Hood Navy L</t>
  </si>
  <si>
    <t>0.781366 cuft</t>
  </si>
  <si>
    <t>PYJKJSK0XL</t>
  </si>
  <si>
    <t>X001H3J6PP</t>
  </si>
  <si>
    <t>B073WV1KVP</t>
  </si>
  <si>
    <t>MEIAOMA Womens Faux Leather Zip Up Moto Biker Jacket With Stitching Detail(Black,L)</t>
  </si>
  <si>
    <t>MY16055K0S</t>
  </si>
  <si>
    <t>X001MNB5TF</t>
  </si>
  <si>
    <t>B0761S8TXR</t>
  </si>
  <si>
    <t>ZAIAI Womens Hooded Warm Winter Faux Fur Lined Parkas Anoraks Long Coats Black S</t>
  </si>
  <si>
    <t>N9383YMH44</t>
  </si>
  <si>
    <t>X001IBOJ9T</t>
  </si>
  <si>
    <t>B074CWBNL1</t>
  </si>
  <si>
    <t>ZAIAI Women's Laced &amp; Lace Trimmed Bras Rose Red 44</t>
  </si>
  <si>
    <t>N029YE038</t>
  </si>
  <si>
    <t>X001J1SSRR</t>
  </si>
  <si>
    <t>B074JWL4F2</t>
  </si>
  <si>
    <t>Women Bras Plus Size Front Hook Sports Bra For Women Gray 38</t>
  </si>
  <si>
    <t>N1709YR042</t>
  </si>
  <si>
    <t>X001IB38E1</t>
  </si>
  <si>
    <t>B074CZ4S1V</t>
  </si>
  <si>
    <t>Women's 18-Hour Seamless Smoothing Bra Red 42</t>
  </si>
  <si>
    <t>N31459YJS42</t>
  </si>
  <si>
    <t>X001IBKBUF</t>
  </si>
  <si>
    <t>B074CX7NWQ</t>
  </si>
  <si>
    <t>Women s Laced  and  Lace Sexy Trimmed Bra Set  Orange/Black  42/95</t>
  </si>
  <si>
    <t>N9932YK038</t>
  </si>
  <si>
    <t>X001IJIYKL</t>
  </si>
  <si>
    <t>B074FTZ9P4</t>
  </si>
  <si>
    <t>ZAIAI Women's Secrets Body Revelations Underwire Bra Black 38</t>
  </si>
  <si>
    <t>JBL-QFFMR5XL</t>
  </si>
  <si>
    <t>X001KB83ET</t>
  </si>
  <si>
    <t>B073F1HX4C</t>
  </si>
  <si>
    <t>HuXang Cloth Womens Fold Over Waist Solid Ruffled Flare Palazzo Pants Capris(Pink,XL)</t>
  </si>
  <si>
    <t>0.132361 cuft</t>
  </si>
  <si>
    <t>TTCX36851</t>
  </si>
  <si>
    <t>X001GZQMQ5</t>
  </si>
  <si>
    <t>B072RD6VF2</t>
  </si>
  <si>
    <t>HuXang Cloth Women's Casual Loose Fit Layers Wide Leg Pants Red</t>
  </si>
  <si>
    <t>JBL-QFFMR5S</t>
  </si>
  <si>
    <t>X001KBA595</t>
  </si>
  <si>
    <t>B073F1L1DN</t>
  </si>
  <si>
    <t>HuXang Cloth Womens Fold Over Waist Solid Ruffled Flare Palazzo Pants Capris(Pink,S)</t>
  </si>
  <si>
    <t>0.139448 cuft</t>
  </si>
  <si>
    <t>N89122KHL2XL</t>
  </si>
  <si>
    <t>X001IJWC5J</t>
  </si>
  <si>
    <t>B074FWRNDY</t>
  </si>
  <si>
    <t>ZAIAI Women's Comfort Stretch Hipster (3 Pack) Lake Blue 2XL</t>
  </si>
  <si>
    <t>N89122KHL3XL</t>
  </si>
  <si>
    <t>X001IJQ4CL</t>
  </si>
  <si>
    <t>B074FVVYW2</t>
  </si>
  <si>
    <t>Women's Comfort Stretch Hipster (3 Pack) Lake Blue 3XL</t>
  </si>
  <si>
    <t>N029YE036</t>
  </si>
  <si>
    <t>X001J1S3V3</t>
  </si>
  <si>
    <t>B074JWL6PF</t>
  </si>
  <si>
    <t>Women Bras Wireless Sports Bra Yoga Tops Activewear Workout For Women Gray 36</t>
  </si>
  <si>
    <t>N039YR040</t>
  </si>
  <si>
    <t>X001J1PW17</t>
  </si>
  <si>
    <t>B074K4GLGJ</t>
  </si>
  <si>
    <t>ZAIAI Women Bras Comfor Straps Sports Bra Red 40</t>
  </si>
  <si>
    <t>N9383YR038</t>
  </si>
  <si>
    <t>X001IBV159</t>
  </si>
  <si>
    <t>B074CWSQFG</t>
  </si>
  <si>
    <t>Women's Laced &amp; Lace Trimmed Bras Red 38</t>
  </si>
  <si>
    <t>NY-B15016-Y0-M</t>
  </si>
  <si>
    <t>X001NZBOLB</t>
  </si>
  <si>
    <t>B078NQWBSV</t>
  </si>
  <si>
    <t>Women's Microfiber Longline Lace Bralette Yellow M</t>
  </si>
  <si>
    <t>N158YK038</t>
  </si>
  <si>
    <t>X001IJLO5N</t>
  </si>
  <si>
    <t>B074FVRK4X</t>
  </si>
  <si>
    <t>Women's Embroidery Bras Set Lace Lingerie Bra Black 38</t>
  </si>
  <si>
    <t>0.160896 cuft</t>
  </si>
  <si>
    <t>N87318KHLL</t>
  </si>
  <si>
    <t>X001IJWZ83</t>
  </si>
  <si>
    <t>B074FSYM6B</t>
  </si>
  <si>
    <t>Women Sexy Cotton Thongs Intimates Briefs Tangas Ladies Panties(6 Pack) Lake Blue L</t>
  </si>
  <si>
    <t>N31459YMH44</t>
  </si>
  <si>
    <t>X001IBO43F</t>
  </si>
  <si>
    <t>B074CXK4TV</t>
  </si>
  <si>
    <t>Panty And Bra Sets For Women Rose Red 42</t>
  </si>
  <si>
    <t>N89122KK04XL</t>
  </si>
  <si>
    <t>X001IJYCWP</t>
  </si>
  <si>
    <t>B074FWT3JN</t>
  </si>
  <si>
    <t>Women's Comfort Stretch Hipster (3 Pack) Black 4XL</t>
  </si>
  <si>
    <t>MY16055K0M</t>
  </si>
  <si>
    <t>X001MNP4LZ</t>
  </si>
  <si>
    <t>B0761QBHM9</t>
  </si>
  <si>
    <t>ZAIAI Womens Hooded Warm Winter Faux Fur Lined Parkas Anoraks Long Coats Black M</t>
  </si>
  <si>
    <t>N888YR540</t>
  </si>
  <si>
    <t>X001IJLLYR</t>
  </si>
  <si>
    <t>B074FX3ZFZ</t>
  </si>
  <si>
    <t>Women's Perfectly Fit Lightly Lined Memory Touch T-Shirt Bra Pink 40</t>
  </si>
  <si>
    <t>N9383YG046</t>
  </si>
  <si>
    <t>X001IBOHMX</t>
  </si>
  <si>
    <t>B074CX6ML1</t>
  </si>
  <si>
    <t>ZAIAI Women's Laced &amp; Lace Trimmed Bras Green 46</t>
  </si>
  <si>
    <t>N9383YP044</t>
  </si>
  <si>
    <t>X001IB1ZT1</t>
  </si>
  <si>
    <t>B074CWR4ZR</t>
  </si>
  <si>
    <t>Women's Laced &amp; Lace Trimmed Bras Purple 44</t>
  </si>
  <si>
    <t>NY-XUHM002-K0-S</t>
  </si>
  <si>
    <t>X001QDY5P7</t>
  </si>
  <si>
    <t>B07BKNH45J</t>
  </si>
  <si>
    <t>ZAIAI Women's Microfiber Longline Lace Bralette Black S</t>
  </si>
  <si>
    <t>NY-XUHM463-P0-S</t>
  </si>
  <si>
    <t>X001QBFEYZ</t>
  </si>
  <si>
    <t>B07BKPX8X2</t>
  </si>
  <si>
    <t>Women's Lace Bralette Wireless Band Lace Bra Light Purple S</t>
  </si>
  <si>
    <t>N2716YYGL34</t>
  </si>
  <si>
    <t>X001JBFK9L</t>
  </si>
  <si>
    <t>B074QCGCJC</t>
  </si>
  <si>
    <t>Sports Bras For Teens Seamless Nursing Bra Green 34</t>
  </si>
  <si>
    <t>PYJKTSK0L</t>
  </si>
  <si>
    <t>X001H3KS3T</t>
  </si>
  <si>
    <t>B073WV5CCK</t>
  </si>
  <si>
    <t>MEIAOMA Womens Quilted Biker Jacket(Black,M)</t>
  </si>
  <si>
    <t>0.776312 cuft</t>
  </si>
  <si>
    <t>N531YQL36</t>
  </si>
  <si>
    <t>X001J1PW2B</t>
  </si>
  <si>
    <t>B074JXQX4Z</t>
  </si>
  <si>
    <t>Women Bras 36B Invisible Bra Light Blue 36</t>
  </si>
  <si>
    <t>XTLAK0A</t>
  </si>
  <si>
    <t>X001K9TDZT</t>
  </si>
  <si>
    <t>B074P2RFBZ</t>
  </si>
  <si>
    <t>ZAIAI LALABRA Women's Strapless Bra Self Adhesive Silicone Push Up with Drawstring Black1 A Cup</t>
  </si>
  <si>
    <t>NY-B15021-PI-S</t>
  </si>
  <si>
    <t>X001NZ9WQ5</t>
  </si>
  <si>
    <t>B078NGPQK3</t>
  </si>
  <si>
    <t>ZAIAI Women Super Soft Lace Bra Top Seamless Bralette Cup Wireless Bra Pink S</t>
  </si>
  <si>
    <t>TTYCMZFCX3</t>
  </si>
  <si>
    <t>X001H8KYVF</t>
  </si>
  <si>
    <t>B071K8MVBL</t>
  </si>
  <si>
    <t>HuXang Cloth Womens Elastic Waist Cotton Linen Loose Casual Wide Leg Palazzo Pants Blue</t>
  </si>
  <si>
    <t>MY71115MSS</t>
  </si>
  <si>
    <t>X001MNOAVF</t>
  </si>
  <si>
    <t>B0761NHB1Y</t>
  </si>
  <si>
    <t>ZAIAI Women's Coat with Fur Hood with 90% Down Parka Puffer Jacket Beige XS</t>
  </si>
  <si>
    <t>N2047YXS32</t>
  </si>
  <si>
    <t>X001IFRKVT</t>
  </si>
  <si>
    <t>B074DVQP6Q</t>
  </si>
  <si>
    <t>ZAIAI Women's Cloud Wire-Free Contour Bra Apricot 32</t>
  </si>
  <si>
    <t>N2716YHL36</t>
  </si>
  <si>
    <t>X001JBFXMF</t>
  </si>
  <si>
    <t>B074Q9CTNJ</t>
  </si>
  <si>
    <t>Sports Bras For Women Padded Sports Bra Lake Blue 36</t>
  </si>
  <si>
    <t>NY-B15021-B0-M</t>
  </si>
  <si>
    <t>X001NZEKET</t>
  </si>
  <si>
    <t>B078NQ6C6H</t>
  </si>
  <si>
    <t>ZAIAI Women's Lace Bralette Wireless Band Lace Bra Blue M</t>
  </si>
  <si>
    <t>PYJKDKY0M</t>
  </si>
  <si>
    <t>X001H3I3KT</t>
  </si>
  <si>
    <t>B073W69WZK</t>
  </si>
  <si>
    <t>MEIAOMA Womens Faux Leather Zipper Moto Biker Bomber Jacket(Yellow,S)</t>
  </si>
  <si>
    <t>N9383YMH46</t>
  </si>
  <si>
    <t>X001IBV14P</t>
  </si>
  <si>
    <t>B074CX95R8</t>
  </si>
  <si>
    <t>ZAIAI Women's Laced &amp; Lace Trimmed Bras Rose Red 46</t>
  </si>
  <si>
    <t>N89122KXS4XL</t>
  </si>
  <si>
    <t>X001IJX46F</t>
  </si>
  <si>
    <t>B074FXVQD5</t>
  </si>
  <si>
    <t>Women's Comfort Stretch Hipster (3 Pack) Apricot 4XL</t>
  </si>
  <si>
    <t>N31459YMH48</t>
  </si>
  <si>
    <t>X001IBKBFF</t>
  </si>
  <si>
    <t>B074CXPPQM</t>
  </si>
  <si>
    <t>Women's Bras Panties Rose Red 46</t>
  </si>
  <si>
    <t>N2082YK038</t>
  </si>
  <si>
    <t>X001IFRL77</t>
  </si>
  <si>
    <t>B074DWFV62</t>
  </si>
  <si>
    <t>Women's Comfort Revolution Front-Close Shaping Underwire Bra Black 38</t>
  </si>
  <si>
    <t>N9383YR042</t>
  </si>
  <si>
    <t>X001IB1ZSR</t>
  </si>
  <si>
    <t>B074CWTBK6</t>
  </si>
  <si>
    <t>ZAIAI Women's Laced &amp; Lace Trimmed Bras Red 42</t>
  </si>
  <si>
    <t>XYBXBAF008W0XL</t>
  </si>
  <si>
    <t>X001JA591B</t>
  </si>
  <si>
    <t>B0722LHQ3T</t>
  </si>
  <si>
    <t>HuXang Cloth Shirt Ladies Winosaur Funny Wine Lover Shirt (White,XL)</t>
  </si>
  <si>
    <t>HLYHMYSG</t>
  </si>
  <si>
    <t>X001MNOG87</t>
  </si>
  <si>
    <t>B0761NFQMT</t>
  </si>
  <si>
    <t>ZAIAI Women's Anorak Parka Coat Silver Gray</t>
  </si>
  <si>
    <t>NY-XUHM002-PI-L</t>
  </si>
  <si>
    <t>X001QDWUBX</t>
  </si>
  <si>
    <t>B07BKR7DCG</t>
  </si>
  <si>
    <t>Women's Microfiber Longline Lace Bralette Pink L</t>
  </si>
  <si>
    <t>0.052842 cuft</t>
  </si>
  <si>
    <t>N531YK038</t>
  </si>
  <si>
    <t>X001J1SSSL</t>
  </si>
  <si>
    <t>B074JYYM5F</t>
  </si>
  <si>
    <t>Women Bras On Sale 38b Nursing Bra Black 38</t>
  </si>
  <si>
    <t>N039YTHS38</t>
  </si>
  <si>
    <t>X001J1PV1N</t>
  </si>
  <si>
    <t>B074K3MSFD</t>
  </si>
  <si>
    <t>ZAIAI Women Bras On Sale 38A Bras For Women Pink 38</t>
  </si>
  <si>
    <t>N9383YXGH38</t>
  </si>
  <si>
    <t>X001IBN2SN</t>
  </si>
  <si>
    <t>B074CX1PRD</t>
  </si>
  <si>
    <t>ZAIAI Women's Laced &amp; Lace Trimmed Bras Watermelon Red 38</t>
  </si>
  <si>
    <t>N9932YR036</t>
  </si>
  <si>
    <t>X001IJU4O5</t>
  </si>
  <si>
    <t>B074FX1CXN</t>
  </si>
  <si>
    <t>Women's Secrets Body Revelations Underwire Bra Red 36</t>
  </si>
  <si>
    <t>XTHQXSD</t>
  </si>
  <si>
    <t>X001K9T0VL</t>
  </si>
  <si>
    <t>B074NQW8FF</t>
  </si>
  <si>
    <t>ZAIAI Qeauty Adhesive Bra,Push Up Drawstring Strapless Bra with Qualities for Sexy Backless Dress Apricot2 D Cup</t>
  </si>
  <si>
    <t>PYJKJSK0L</t>
  </si>
  <si>
    <t>X001H3JMVX</t>
  </si>
  <si>
    <t>B073WTPJLR</t>
  </si>
  <si>
    <t>MEIAOMA Womens Faux Leather Zip Up Moto Biker Jacket With Stitching Detail(Black,M)</t>
  </si>
  <si>
    <t>NK-XUHM001-K0-XXL</t>
  </si>
  <si>
    <t>X001O74LVD</t>
  </si>
  <si>
    <t>B078WQHD98</t>
  </si>
  <si>
    <t>ZAIAI Boyshort Panties Women Sexy Lace Fun Underwear Briefs Ladies Knickers Womens Triangle Thong Black XXL</t>
  </si>
  <si>
    <t>N3818-2YW038</t>
  </si>
  <si>
    <t>X001IBTNA9</t>
  </si>
  <si>
    <t>B074CW3HDD</t>
  </si>
  <si>
    <t>ZAIAI Women's Embroidery Bras Set Lace Lingerie Bra and Panties White 38</t>
  </si>
  <si>
    <t>JBL-QFFMR5M</t>
  </si>
  <si>
    <t>X001KB9KPP</t>
  </si>
  <si>
    <t>B073F2QMQK</t>
  </si>
  <si>
    <t>HuXang Cloth Womens Fold Over Waist Solid Ruffled Flare Palazzo Pants Capris(Pink,M)</t>
  </si>
  <si>
    <t>0.115441 cuft</t>
  </si>
  <si>
    <t>N89119KXSM</t>
  </si>
  <si>
    <t>X001IJZSI7</t>
  </si>
  <si>
    <t>B074FSGM8N</t>
  </si>
  <si>
    <t>ZAIAI Women Sexy Cotton Thongs Intimates Briefs Tangas Ladies Panties(6 Pack) Apricot M</t>
  </si>
  <si>
    <t>NY-B15016-K0-L</t>
  </si>
  <si>
    <t>X001NYRN0X</t>
  </si>
  <si>
    <t>B078NQ9D6V</t>
  </si>
  <si>
    <t>ZAIAI Women Floral Lace Bralette Padded Breathable Sexy Racerback Lace Bra Bustier Black L</t>
  </si>
  <si>
    <t>N039YB040</t>
  </si>
  <si>
    <t>X001J1S5A7</t>
  </si>
  <si>
    <t>B074JTW9NR</t>
  </si>
  <si>
    <t>ZAIAI Bras For Women Push Up Sports Bra Blue 40</t>
  </si>
  <si>
    <t>MY16055K0L</t>
  </si>
  <si>
    <t>X001MNO43T</t>
  </si>
  <si>
    <t>B0761V7L2R</t>
  </si>
  <si>
    <t>ZAIAI Womens Hooded Warm Winter Faux Fur Lined Parkas Anoraks Long Coats Black L</t>
  </si>
  <si>
    <t>MY71107K0L</t>
  </si>
  <si>
    <t>X001MNNKVL</t>
  </si>
  <si>
    <t>B0761PSPTJ</t>
  </si>
  <si>
    <t>ZAIAI Women's Parkas Anoraks Long Coats with Removable Faux Fur Trim Hood Black L</t>
  </si>
  <si>
    <t>1.146339 cuft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</si>
  <si>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</si>
  <si>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</si>
  <si>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</si>
  <si>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</si>
  <si>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</si>
  <si>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</si>
  <si>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</si>
  <si>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</si>
  <si>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</si>
  <si>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</si>
  <si>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</si>
  <si>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</si>
  <si>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</si>
  <si>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</si>
  <si>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JBL-QFFMMHS</t>
  </si>
  <si>
    <t>X001KB85Y7</t>
  </si>
  <si>
    <t>B073F35WHV</t>
  </si>
  <si>
    <t>HuXang Cloth Womens Fold Over Waist Solid Ruffled Flare Palazzo Pants Capris(Rose Red,S)</t>
  </si>
  <si>
    <t>JBL-QFFMMHXXL</t>
  </si>
  <si>
    <t>X001KB837B</t>
  </si>
  <si>
    <t>B073F3JBY6</t>
  </si>
  <si>
    <t>HuXang Cloth Womens Fold Over Waist Solid Ruffled Flare Palazzo Pants Capris(Rose Red,XXL)</t>
  </si>
  <si>
    <t>JBL-QFFMR5L</t>
  </si>
  <si>
    <t>X001KB8619</t>
  </si>
  <si>
    <t>B073F29B28</t>
  </si>
  <si>
    <t>HuXang Cloth Womens Fold Over Waist Solid Ruffled Flare Palazzo Pants Capris(Pink,L)</t>
  </si>
  <si>
    <t>KTKJFKMZFB0M</t>
  </si>
  <si>
    <t>X001SJTUKJ</t>
  </si>
  <si>
    <t>B071JYNC36</t>
  </si>
  <si>
    <t>Unknown</t>
  </si>
  <si>
    <t>KTKW0TW0L</t>
  </si>
  <si>
    <t>X001KB9KPF</t>
  </si>
  <si>
    <t>B072K4S27N</t>
  </si>
  <si>
    <t>KTKXKB0</t>
  </si>
  <si>
    <t>B0725CDCCN</t>
  </si>
  <si>
    <t>KTKXKB0L</t>
  </si>
  <si>
    <t>X001H7GZUZ</t>
  </si>
  <si>
    <t>B073XM44QG</t>
  </si>
  <si>
    <t>HuXang Cloth Women's Plus Size Casual Pant Suits Cropped Wide Pants(Black,L)</t>
  </si>
  <si>
    <t>KTKXKG0</t>
  </si>
  <si>
    <t>B071VFYY2V</t>
  </si>
  <si>
    <t>KTKXKG0L</t>
  </si>
  <si>
    <t>X001H7IYZ9</t>
  </si>
  <si>
    <t>B073XLK4G5</t>
  </si>
  <si>
    <t>HuXang Cloth Women's Plus Size Casual Pant Suits Cropped Palazzo Pants(Grey,L)</t>
  </si>
  <si>
    <t>KTKXKW0</t>
  </si>
  <si>
    <t>B0716LH9B7</t>
  </si>
  <si>
    <t>MY16055ZQXL</t>
  </si>
  <si>
    <t>X001MNB5T5</t>
  </si>
  <si>
    <t>B0761RRL7M</t>
  </si>
  <si>
    <t>ZAIAI Womens Hooded Warm Coats Parkas With Fax Fur Jackets Navy XL</t>
  </si>
  <si>
    <t>MY71107K0XL</t>
  </si>
  <si>
    <t>X001MNP15J</t>
  </si>
  <si>
    <t>B0761PVQYZ</t>
  </si>
  <si>
    <t>ZAIAI Women's Parkas Anoraks Long Coats with Removable Faux Fur Trim Hood Black XL</t>
  </si>
  <si>
    <t>MY71107K0XXL</t>
  </si>
  <si>
    <t>X001MNO1X7</t>
  </si>
  <si>
    <t>B0761NLN4R</t>
  </si>
  <si>
    <t>ZAIAI Women's Parkas Anoraks Long Coats with Removable Faux Fur Trim Hood Black XXL</t>
  </si>
  <si>
    <t>MY71107ZQL</t>
  </si>
  <si>
    <t>X001MNO4TX</t>
  </si>
  <si>
    <t>B0761NJH9L</t>
  </si>
  <si>
    <t>ZAIAI Women's Parka Winter Coat Overcoat Long Down Jacket Outwear Navy L</t>
  </si>
  <si>
    <t>MY71107ZQXL</t>
  </si>
  <si>
    <t>X001MNPJ0B</t>
  </si>
  <si>
    <t>B0761NG4W8</t>
  </si>
  <si>
    <t>ZAIAI Women's Parka Winter Coat Overcoat Long Down Jacket Outwear Navy XL</t>
  </si>
  <si>
    <t>MY71107ZQXXL</t>
  </si>
  <si>
    <t>X001MNP14P</t>
  </si>
  <si>
    <t>B0761PV7ZS</t>
  </si>
  <si>
    <t>ZAIAI Women's Parka Winter Coat Overcoat Long Down Jacket Outwear Navy XXL</t>
  </si>
  <si>
    <t>N2033YSG42</t>
  </si>
  <si>
    <t>X001IFRL7R</t>
  </si>
  <si>
    <t>B074DW59FV</t>
  </si>
  <si>
    <t>ZAIAI Women's Comfort Shape Concealing Petals Underwire Bra Silver Gray 42</t>
  </si>
  <si>
    <t>N2047YXS36</t>
  </si>
  <si>
    <t>X001IFZUTN</t>
  </si>
  <si>
    <t>B074DW3W5X</t>
  </si>
  <si>
    <t>Women's Cloud Wire-Free Contour Bra Apricot 36</t>
  </si>
  <si>
    <t>N2082YK036</t>
  </si>
  <si>
    <t>X001IG0O3J</t>
  </si>
  <si>
    <t>B074DVQ243</t>
  </si>
  <si>
    <t>ZAIAI Women's Comfort Revolution Front-Close Shaping Underwire Bra Black 36</t>
  </si>
  <si>
    <t>N2082YQLS38</t>
  </si>
  <si>
    <t>X001IFRKWX</t>
  </si>
  <si>
    <t>B074DWNCM6</t>
  </si>
  <si>
    <t>ZAIAI Women's Comfort Revolution Front-Close Shaping Underwire Bra Light Blue 38</t>
  </si>
  <si>
    <t>N2257YK034</t>
  </si>
  <si>
    <t>X001IFRKVJ</t>
  </si>
  <si>
    <t>B074DVLRRB</t>
  </si>
  <si>
    <t>ZAIAI Women's No Side Effects Wire-Free Contour Bra Black 34</t>
  </si>
  <si>
    <t>N31459YLL48</t>
  </si>
  <si>
    <t>X001IBK907</t>
  </si>
  <si>
    <t>B074CXBB31</t>
  </si>
  <si>
    <t>ZAIAI Women's Bra Panty Set Bras Bright Green 46</t>
  </si>
  <si>
    <t>N31459YP046</t>
  </si>
  <si>
    <t>X001IBKBBT</t>
  </si>
  <si>
    <t>B074CXNBPV</t>
  </si>
  <si>
    <t>Women's Pushup Bra Panty Set Purple 44</t>
  </si>
  <si>
    <t>N31459YP048</t>
  </si>
  <si>
    <t>X001IBNKQR</t>
  </si>
  <si>
    <t>B074CWTLXY</t>
  </si>
  <si>
    <t>Women's Panty And Bra Set Purple 46</t>
  </si>
  <si>
    <t>N31459YR044</t>
  </si>
  <si>
    <t>X001IBKB1J</t>
  </si>
  <si>
    <t>B074CXMS2N</t>
  </si>
  <si>
    <t>Women s Laced  and  Lace Sexy Trimmed Bra Set  Red/Black  44/100</t>
  </si>
  <si>
    <t>N86162KY0</t>
  </si>
  <si>
    <t>X001IJWIVH</t>
  </si>
  <si>
    <t>B074FXCCGK</t>
  </si>
  <si>
    <t>N87232KP0XL</t>
  </si>
  <si>
    <t>X001IJWU4H</t>
  </si>
  <si>
    <t>B074FS9DHG</t>
  </si>
  <si>
    <t>N87301KSGL</t>
  </si>
  <si>
    <t>X001IJYE8R</t>
  </si>
  <si>
    <t>B074FWZFVP</t>
  </si>
  <si>
    <t>N87319KXSL</t>
  </si>
  <si>
    <t>X001IJWU3D</t>
  </si>
  <si>
    <t>B074FSD3R1</t>
  </si>
  <si>
    <t>N888YK040</t>
  </si>
  <si>
    <t>X001IJJSD3</t>
  </si>
  <si>
    <t>B074FTJ6WL</t>
  </si>
  <si>
    <t>Women's Perfectly Fit Lightly Lined Memory Touch T-Shirt Bra Black 40</t>
  </si>
  <si>
    <t>N888YXS40</t>
  </si>
  <si>
    <t>X001IJTV21</t>
  </si>
  <si>
    <t>B074FT4GVL</t>
  </si>
  <si>
    <t>Women's Perfectly Fit Lightly Lined Memory Touch T-Shirt Bra Apricot 40</t>
  </si>
  <si>
    <t>N89103KHLXL</t>
  </si>
  <si>
    <t>X001IJYE7D</t>
  </si>
  <si>
    <t>B074FNZXKK</t>
  </si>
  <si>
    <t>N89103KW0XL</t>
  </si>
  <si>
    <t>X001IJWC8L</t>
  </si>
  <si>
    <t>B074FXS3XL</t>
  </si>
  <si>
    <t>N89118KMLSXL</t>
  </si>
  <si>
    <t>X001IJYCXJ</t>
  </si>
  <si>
    <t>B074FYXKCH</t>
  </si>
  <si>
    <t>N89119KR5M</t>
  </si>
  <si>
    <t>X001IJYCWF</t>
  </si>
  <si>
    <t>B074FWHSLT</t>
  </si>
  <si>
    <t>N9383YP038</t>
  </si>
  <si>
    <t>X001IBOJAD</t>
  </si>
  <si>
    <t>B074CXDX58</t>
  </si>
  <si>
    <t>Women's Laced &amp; Lace Trimmed Bras Purple 38</t>
  </si>
  <si>
    <t>NC11YXS42</t>
  </si>
  <si>
    <t>X001IFZYFD</t>
  </si>
  <si>
    <t>B074DWCC89</t>
  </si>
  <si>
    <t>ZAIAI Women's No Side Effects Underwire Contour Bra Apricot 42</t>
  </si>
  <si>
    <t>NY-B15016-Y0-L</t>
  </si>
  <si>
    <t>X001NZALXN</t>
  </si>
  <si>
    <t>B078NN9RQR</t>
  </si>
  <si>
    <t>ZAIAI Women's Microfiber Longline Lace Bralette Yellow L</t>
  </si>
  <si>
    <t>NY-XUHM005-K0-S</t>
  </si>
  <si>
    <t>X001QDXKPN</t>
  </si>
  <si>
    <t>B07BKS8YTN</t>
  </si>
  <si>
    <t>ZAIAI Women Floral Lace Bralette Padded Breathable Sexy Racerback Lace Bra Bustier Black S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</si>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</sst>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1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9" borderId="4" applyNumberFormat="0" applyFont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0" fillId="9" borderId="3" applyNumberFormat="0" applyAlignment="0" applyProtection="0">
      <alignment vertical="center"/>
    </xf>
    <xf numFmtId="0" fontId="17" fillId="23" borderId="7" applyNumberFormat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</xdr:colOff>
          <xdr:row>0</xdr:row>
          <xdr:rowOff>635</xdr:rowOff>
        </xdr:from>
        <xdr:to>
          <xdr:col>8</xdr:col>
          <xdr:colOff>1485900</xdr:colOff>
          <xdr:row>1</xdr:row>
          <xdr:rowOff>171450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0440" y="635"/>
              <a:ext cx="1481455" cy="3517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161925</xdr:rowOff>
        </xdr:from>
        <xdr:to>
          <xdr:col>17</xdr:col>
          <xdr:colOff>19050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342900"/>
              <a:ext cx="139065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11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1</v>
      </c>
      <c r="H2" s="3">
        <v>0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2</v>
      </c>
      <c r="F3" s="3">
        <v>0</v>
      </c>
      <c r="G3" s="3">
        <v>0</v>
      </c>
      <c r="H3" s="3">
        <v>2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0</v>
      </c>
      <c r="G4" s="3">
        <v>1</v>
      </c>
      <c r="H4" s="3">
        <v>0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1</v>
      </c>
      <c r="F5" s="3">
        <v>1</v>
      </c>
      <c r="G5" s="3">
        <v>0</v>
      </c>
      <c r="H5" s="3">
        <v>0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2</v>
      </c>
      <c r="F6" s="3">
        <v>0</v>
      </c>
      <c r="G6" s="3">
        <v>1</v>
      </c>
      <c r="H6" s="3">
        <v>1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0</v>
      </c>
      <c r="G7" s="3">
        <v>0</v>
      </c>
      <c r="H7" s="3">
        <v>1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1</v>
      </c>
      <c r="F8" s="3">
        <v>0</v>
      </c>
      <c r="G8" s="3">
        <v>1</v>
      </c>
      <c r="H8" s="3">
        <v>0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1</v>
      </c>
      <c r="F9" s="3">
        <v>1</v>
      </c>
      <c r="G9" s="3">
        <v>0</v>
      </c>
      <c r="H9" s="3">
        <v>0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1</v>
      </c>
      <c r="F10" s="3">
        <v>1</v>
      </c>
      <c r="G10" s="3">
        <v>0</v>
      </c>
      <c r="H10" s="3">
        <v>0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3</v>
      </c>
      <c r="F11" s="3">
        <v>1</v>
      </c>
      <c r="G11" s="3">
        <v>1</v>
      </c>
      <c r="H11" s="3">
        <v>1</v>
      </c>
      <c r="I11" s="7"/>
    </row>
    <row r="12" spans="1:9">
      <c r="A12" s="6"/>
      <c r="B12" s="4"/>
      <c r="C12" s="4"/>
      <c r="D12" s="4"/>
      <c r="E12" s="4"/>
      <c r="F12" s="4"/>
      <c r="G12" s="4"/>
      <c r="H12" s="4"/>
      <c r="I12" s="7"/>
    </row>
    <row r="13" spans="1:9">
      <c r="A13" s="6"/>
      <c r="B13" s="4"/>
      <c r="C13" s="4"/>
      <c r="D13" s="4"/>
      <c r="E13" s="4"/>
      <c r="F13" s="4"/>
      <c r="G13" s="4"/>
      <c r="H13" s="4"/>
      <c r="I13" s="7"/>
    </row>
    <row r="14" spans="1:9">
      <c r="A14" s="8"/>
      <c r="B14" s="8"/>
      <c r="C14" s="8"/>
      <c r="D14" s="8"/>
      <c r="E14" s="8"/>
      <c r="F14" s="8"/>
      <c r="G14" s="8"/>
      <c r="H14" s="8"/>
      <c r="I14" s="7"/>
    </row>
    <row r="15" spans="1:9">
      <c r="A15" s="8"/>
      <c r="B15" s="8"/>
      <c r="C15" s="8"/>
      <c r="D15" s="8"/>
      <c r="E15" s="8"/>
      <c r="F15" s="8"/>
      <c r="G15" s="8"/>
      <c r="H15" s="8"/>
      <c r="I15" s="7"/>
    </row>
    <row r="16" spans="1:9">
      <c r="A16" s="8"/>
      <c r="B16" s="8"/>
      <c r="C16" s="8"/>
      <c r="D16" s="8"/>
      <c r="E16" s="8"/>
      <c r="F16" s="8"/>
      <c r="G16" s="8"/>
      <c r="H16" s="8"/>
      <c r="I16" s="7"/>
    </row>
    <row r="17" spans="1:9">
      <c r="A17" s="8"/>
      <c r="B17" s="8"/>
      <c r="C17" s="8"/>
      <c r="D17" s="8"/>
      <c r="E17" s="8"/>
      <c r="F17" s="8"/>
      <c r="G17" s="8"/>
      <c r="H17" s="8"/>
      <c r="I17" s="7"/>
    </row>
    <row r="18" spans="1:9">
      <c r="A18" s="8"/>
      <c r="B18" s="8"/>
      <c r="C18" s="8"/>
      <c r="D18" s="8"/>
      <c r="E18" s="8"/>
      <c r="F18" s="8"/>
      <c r="G18" s="8"/>
      <c r="H18" s="8"/>
      <c r="I18" s="7"/>
    </row>
    <row r="19" spans="1:9">
      <c r="A19" s="8"/>
      <c r="B19" s="8"/>
      <c r="C19" s="8"/>
      <c r="D19" s="8"/>
      <c r="E19" s="8"/>
      <c r="F19" s="8"/>
      <c r="G19" s="8"/>
      <c r="H19" s="8"/>
      <c r="I19" s="7"/>
    </row>
    <row r="20" spans="1:9">
      <c r="A20" s="8"/>
      <c r="B20" s="8"/>
      <c r="C20" s="8"/>
      <c r="D20" s="8"/>
      <c r="E20" s="8"/>
      <c r="F20" s="8"/>
      <c r="G20" s="8"/>
      <c r="H20" s="8"/>
      <c r="I20" s="7"/>
    </row>
    <row r="21" spans="1:9">
      <c r="A21" s="8"/>
      <c r="B21" s="8"/>
      <c r="C21" s="8"/>
      <c r="D21" s="8"/>
      <c r="E21" s="8"/>
      <c r="F21" s="8"/>
      <c r="G21" s="8"/>
      <c r="H21" s="8"/>
      <c r="I21" s="7"/>
    </row>
    <row r="22" spans="1:9">
      <c r="A22" s="8"/>
      <c r="B22" s="8"/>
      <c r="C22" s="8"/>
      <c r="D22" s="8"/>
      <c r="E22" s="8"/>
      <c r="F22" s="8"/>
      <c r="G22" s="8"/>
      <c r="H22" s="8"/>
      <c r="I22" s="7"/>
    </row>
    <row r="23" spans="1:9">
      <c r="A23" s="8"/>
      <c r="B23" s="8"/>
      <c r="C23" s="8"/>
      <c r="D23" s="8"/>
      <c r="E23" s="8"/>
      <c r="F23" s="8"/>
      <c r="G23" s="8"/>
      <c r="H23" s="8"/>
      <c r="I23" s="7"/>
    </row>
    <row r="24" spans="1:9">
      <c r="A24" s="8"/>
      <c r="B24" s="8"/>
      <c r="C24" s="8"/>
      <c r="D24" s="8"/>
      <c r="E24" s="8"/>
      <c r="F24" s="8"/>
      <c r="G24" s="8"/>
      <c r="H24" s="8"/>
      <c r="I24" s="7"/>
    </row>
    <row r="25" spans="1:9">
      <c r="A25" s="8"/>
      <c r="B25" s="8"/>
      <c r="C25" s="8"/>
      <c r="D25" s="8"/>
      <c r="E25" s="8"/>
      <c r="F25" s="8"/>
      <c r="G25" s="8"/>
      <c r="H25" s="8"/>
      <c r="I25" s="7"/>
    </row>
    <row r="26" spans="1:9">
      <c r="A26" s="8"/>
      <c r="B26" s="8"/>
      <c r="C26" s="8"/>
      <c r="D26" s="8"/>
      <c r="E26" s="8"/>
      <c r="F26" s="8"/>
      <c r="G26" s="8"/>
      <c r="H26" s="8"/>
      <c r="I26" s="7"/>
    </row>
    <row r="27" spans="1:9">
      <c r="A27" s="8"/>
      <c r="B27" s="8"/>
      <c r="C27" s="8"/>
      <c r="D27" s="8"/>
      <c r="E27" s="8"/>
      <c r="F27" s="8"/>
      <c r="G27" s="8"/>
      <c r="H27" s="8"/>
      <c r="I27" s="7"/>
    </row>
    <row r="28" spans="1:9">
      <c r="A28" s="8"/>
      <c r="B28" s="8"/>
      <c r="C28" s="8"/>
      <c r="D28" s="8"/>
      <c r="E28" s="8"/>
      <c r="F28" s="8"/>
      <c r="G28" s="8"/>
      <c r="H28" s="8"/>
      <c r="I28" s="7"/>
    </row>
    <row r="29" spans="1:9">
      <c r="A29" s="8"/>
      <c r="B29" s="8"/>
      <c r="C29" s="8"/>
      <c r="D29" s="8"/>
      <c r="E29" s="8"/>
      <c r="F29" s="8"/>
      <c r="G29" s="8"/>
      <c r="H29" s="8"/>
      <c r="I29" s="7"/>
    </row>
    <row r="30" spans="1:9">
      <c r="A30" s="8"/>
      <c r="B30" s="8"/>
      <c r="C30" s="8"/>
      <c r="D30" s="8"/>
      <c r="E30" s="8"/>
      <c r="F30" s="8"/>
      <c r="G30" s="8"/>
      <c r="H30" s="8"/>
      <c r="I30" s="7"/>
    </row>
    <row r="31" spans="1:9">
      <c r="A31" s="8"/>
      <c r="B31" s="8"/>
      <c r="C31" s="8"/>
      <c r="D31" s="8"/>
      <c r="E31" s="8"/>
      <c r="F31" s="8"/>
      <c r="G31" s="8"/>
      <c r="H31" s="8"/>
      <c r="I31" s="7"/>
    </row>
    <row r="32" spans="1:9">
      <c r="A32" s="8"/>
      <c r="B32" s="8"/>
      <c r="C32" s="8"/>
      <c r="D32" s="8"/>
      <c r="E32" s="8"/>
      <c r="F32" s="8"/>
      <c r="G32" s="8"/>
      <c r="H32" s="8"/>
      <c r="I32" s="7"/>
    </row>
    <row r="33" spans="1:9">
      <c r="A33" s="8"/>
      <c r="B33" s="8"/>
      <c r="C33" s="8"/>
      <c r="D33" s="8"/>
      <c r="E33" s="8"/>
      <c r="F33" s="8"/>
      <c r="G33" s="8"/>
      <c r="H33" s="8"/>
      <c r="I33" s="7"/>
    </row>
    <row r="34" spans="1:9">
      <c r="A34" s="8"/>
      <c r="B34" s="8"/>
      <c r="C34" s="8"/>
      <c r="D34" s="8"/>
      <c r="E34" s="8"/>
      <c r="F34" s="8"/>
      <c r="G34" s="8"/>
      <c r="H34" s="8"/>
      <c r="I34" s="7"/>
    </row>
    <row r="35" spans="1:9">
      <c r="A35" s="8"/>
      <c r="B35" s="8"/>
      <c r="C35" s="8"/>
      <c r="D35" s="8"/>
      <c r="E35" s="8"/>
      <c r="F35" s="8"/>
      <c r="G35" s="8"/>
      <c r="H35" s="8"/>
      <c r="I35" s="7"/>
    </row>
    <row r="36" spans="1:9">
      <c r="A36" s="8"/>
      <c r="B36" s="8"/>
      <c r="C36" s="8"/>
      <c r="D36" s="8"/>
      <c r="E36" s="8"/>
      <c r="F36" s="8"/>
      <c r="G36" s="8"/>
      <c r="H36" s="8"/>
      <c r="I36" s="7"/>
    </row>
    <row r="37" spans="1:9">
      <c r="A37" s="8"/>
      <c r="B37" s="8"/>
      <c r="C37" s="8"/>
      <c r="D37" s="8"/>
      <c r="E37" s="8"/>
      <c r="F37" s="8"/>
      <c r="G37" s="8"/>
      <c r="H37" s="8"/>
      <c r="I37" s="7"/>
    </row>
    <row r="38" spans="1:9">
      <c r="A38" s="8"/>
      <c r="B38" s="8"/>
      <c r="C38" s="8"/>
      <c r="D38" s="8"/>
      <c r="E38" s="8"/>
      <c r="F38" s="8"/>
      <c r="G38" s="8"/>
      <c r="H38" s="8"/>
      <c r="I38" s="7"/>
    </row>
    <row r="39" spans="1:9">
      <c r="A39" s="8"/>
      <c r="B39" s="8"/>
      <c r="C39" s="8"/>
      <c r="D39" s="8"/>
      <c r="E39" s="8"/>
      <c r="F39" s="8"/>
      <c r="G39" s="8"/>
      <c r="H39" s="8"/>
      <c r="I39" s="7"/>
    </row>
    <row r="40" spans="1:9">
      <c r="A40" s="8"/>
      <c r="B40" s="8"/>
      <c r="C40" s="8"/>
      <c r="D40" s="8"/>
      <c r="E40" s="8"/>
      <c r="F40" s="8"/>
      <c r="G40" s="8"/>
      <c r="H40" s="8"/>
      <c r="I40" s="7"/>
    </row>
    <row r="41" spans="1:9">
      <c r="A41" s="8"/>
      <c r="B41" s="8"/>
      <c r="C41" s="8"/>
      <c r="D41" s="8"/>
      <c r="E41" s="8"/>
      <c r="F41" s="8"/>
      <c r="G41" s="8"/>
      <c r="H41" s="8"/>
      <c r="I41" s="7"/>
    </row>
    <row r="42" spans="1:9">
      <c r="A42" s="8"/>
      <c r="B42" s="8"/>
      <c r="C42" s="8"/>
      <c r="D42" s="8"/>
      <c r="E42" s="8"/>
      <c r="F42" s="8"/>
      <c r="G42" s="8"/>
      <c r="H42" s="8"/>
      <c r="I42" s="7"/>
    </row>
    <row r="43" spans="1:9">
      <c r="A43" s="8"/>
      <c r="B43" s="8"/>
      <c r="C43" s="8"/>
      <c r="D43" s="8"/>
      <c r="E43" s="8"/>
      <c r="F43" s="8"/>
      <c r="G43" s="8"/>
      <c r="H43" s="8"/>
      <c r="I43" s="7"/>
    </row>
    <row r="44" spans="1:9">
      <c r="A44" s="8"/>
      <c r="B44" s="8"/>
      <c r="C44" s="8"/>
      <c r="D44" s="8"/>
      <c r="E44" s="8"/>
      <c r="F44" s="8"/>
      <c r="G44" s="8"/>
      <c r="H44" s="8"/>
      <c r="I44" s="7"/>
    </row>
    <row r="45" spans="1:9">
      <c r="A45" s="8"/>
      <c r="B45" s="8"/>
      <c r="C45" s="8"/>
      <c r="D45" s="8"/>
      <c r="E45" s="8"/>
      <c r="F45" s="8"/>
      <c r="G45" s="8"/>
      <c r="H45" s="8"/>
      <c r="I45" s="7"/>
    </row>
    <row r="46" spans="1:9">
      <c r="A46" s="8"/>
      <c r="B46" s="8"/>
      <c r="C46" s="8"/>
      <c r="D46" s="8"/>
      <c r="E46" s="8"/>
      <c r="F46" s="8"/>
      <c r="G46" s="8"/>
      <c r="H46" s="8"/>
      <c r="I46" s="7"/>
    </row>
    <row r="47" spans="1:9">
      <c r="A47" s="8"/>
      <c r="B47" s="8"/>
      <c r="C47" s="8"/>
      <c r="D47" s="8"/>
      <c r="E47" s="8"/>
      <c r="F47" s="8"/>
      <c r="G47" s="8"/>
      <c r="H47" s="8"/>
      <c r="I47" s="7"/>
    </row>
    <row r="48" spans="1:9">
      <c r="A48" s="8"/>
      <c r="B48" s="8"/>
      <c r="C48" s="8"/>
      <c r="D48" s="8"/>
      <c r="E48" s="8"/>
      <c r="F48" s="8"/>
      <c r="G48" s="8"/>
      <c r="H48" s="8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4445</xdr:colOff>
                <xdr:row>0</xdr:row>
                <xdr:rowOff>635</xdr:rowOff>
              </from>
              <to>
                <xdr:col>8</xdr:col>
                <xdr:colOff>1485900</xdr:colOff>
                <xdr:row>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358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4" width="12.625"/>
  </cols>
  <sheetData>
    <row r="1" spans="1:36">
      <c r="A1" s="3" t="s">
        <v>48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49</v>
      </c>
      <c r="G1" s="3" t="s">
        <v>50</v>
      </c>
      <c r="H1" s="3" t="s">
        <v>51</v>
      </c>
      <c r="I1" s="3" t="s">
        <v>52</v>
      </c>
      <c r="J1" s="3" t="s">
        <v>53</v>
      </c>
      <c r="K1" s="3" t="s">
        <v>54</v>
      </c>
      <c r="L1" s="3" t="s">
        <v>55</v>
      </c>
      <c r="M1" s="3" t="s">
        <v>56</v>
      </c>
      <c r="N1" s="3" t="s">
        <v>57</v>
      </c>
      <c r="O1" s="3" t="s">
        <v>58</v>
      </c>
      <c r="P1" s="3" t="s">
        <v>59</v>
      </c>
      <c r="Q1" s="3" t="s">
        <v>60</v>
      </c>
      <c r="R1" s="3" t="s">
        <v>61</v>
      </c>
      <c r="S1" s="3" t="s">
        <v>62</v>
      </c>
      <c r="T1" s="3" t="s">
        <v>63</v>
      </c>
      <c r="U1" s="3" t="s">
        <v>64</v>
      </c>
      <c r="V1" s="3" t="s">
        <v>65</v>
      </c>
      <c r="W1" s="3" t="s">
        <v>66</v>
      </c>
      <c r="X1" s="3" t="s">
        <v>67</v>
      </c>
      <c r="Y1" s="3" t="s">
        <v>68</v>
      </c>
      <c r="Z1" s="3" t="s">
        <v>69</v>
      </c>
      <c r="AA1" s="3" t="s">
        <v>70</v>
      </c>
      <c r="AB1" s="3" t="s">
        <v>71</v>
      </c>
      <c r="AC1" s="3" t="s">
        <v>72</v>
      </c>
      <c r="AD1" s="3" t="s">
        <v>73</v>
      </c>
      <c r="AE1" s="3" t="s">
        <v>74</v>
      </c>
      <c r="AF1" s="3" t="s">
        <v>75</v>
      </c>
      <c r="AG1" s="3" t="s">
        <v>76</v>
      </c>
      <c r="AH1" s="3" t="s">
        <v>77</v>
      </c>
      <c r="AI1" s="3" t="s">
        <v>78</v>
      </c>
      <c r="AJ1" s="3" t="s">
        <v>79</v>
      </c>
    </row>
    <row r="2" spans="1:36">
      <c r="A2" s="5">
        <v>43288</v>
      </c>
      <c r="B2" s="3" t="s">
        <v>80</v>
      </c>
      <c r="C2" s="3" t="s">
        <v>81</v>
      </c>
      <c r="D2" s="3" t="s">
        <v>82</v>
      </c>
      <c r="E2" s="3" t="s">
        <v>83</v>
      </c>
      <c r="F2" s="3" t="s">
        <v>84</v>
      </c>
      <c r="G2" s="3">
        <v>33</v>
      </c>
      <c r="H2" s="3">
        <v>0</v>
      </c>
      <c r="I2" s="3">
        <v>0</v>
      </c>
      <c r="J2" s="3">
        <v>33</v>
      </c>
      <c r="K2" s="3">
        <v>0</v>
      </c>
      <c r="L2" s="3">
        <v>0</v>
      </c>
      <c r="M2" s="3">
        <v>0</v>
      </c>
      <c r="N2" s="3" t="s">
        <v>85</v>
      </c>
      <c r="O2" s="3">
        <v>33</v>
      </c>
      <c r="P2" s="3">
        <v>66.2</v>
      </c>
      <c r="Q2" s="3">
        <v>0</v>
      </c>
      <c r="R2" s="3">
        <v>0</v>
      </c>
      <c r="S2" s="3">
        <v>1</v>
      </c>
      <c r="T2" s="3">
        <v>1</v>
      </c>
      <c r="U2" s="3">
        <v>2</v>
      </c>
      <c r="V2" s="3">
        <v>2</v>
      </c>
      <c r="W2" s="3"/>
      <c r="X2" s="3">
        <v>5.59</v>
      </c>
      <c r="Y2" s="3">
        <v>5.59</v>
      </c>
      <c r="Z2" s="3">
        <v>5.59</v>
      </c>
      <c r="AA2" s="3">
        <v>0</v>
      </c>
      <c r="AB2" s="3" t="s">
        <v>86</v>
      </c>
      <c r="AC2" s="3">
        <v>0</v>
      </c>
      <c r="AD2" s="3">
        <v>5.59</v>
      </c>
      <c r="AE2" s="3">
        <v>0</v>
      </c>
      <c r="AF2" s="3">
        <v>34</v>
      </c>
      <c r="AG2" s="3">
        <v>544.953832</v>
      </c>
      <c r="AH2" s="3">
        <v>0.0583941605839416</v>
      </c>
      <c r="AI2" s="3" t="s">
        <v>87</v>
      </c>
      <c r="AJ2" s="3" t="s">
        <v>88</v>
      </c>
    </row>
    <row r="3" spans="1:36">
      <c r="A3" s="5">
        <v>43288</v>
      </c>
      <c r="B3" s="3" t="s">
        <v>89</v>
      </c>
      <c r="C3" s="3" t="s">
        <v>90</v>
      </c>
      <c r="D3" s="3" t="s">
        <v>91</v>
      </c>
      <c r="E3" s="3" t="s">
        <v>92</v>
      </c>
      <c r="F3" s="3" t="s">
        <v>84</v>
      </c>
      <c r="G3" s="3">
        <v>2</v>
      </c>
      <c r="H3" s="3">
        <v>0</v>
      </c>
      <c r="I3" s="3">
        <v>0</v>
      </c>
      <c r="J3" s="3">
        <v>0</v>
      </c>
      <c r="K3" s="3">
        <v>0</v>
      </c>
      <c r="L3" s="3">
        <v>2</v>
      </c>
      <c r="M3" s="3">
        <v>0</v>
      </c>
      <c r="N3" s="3" t="s">
        <v>85</v>
      </c>
      <c r="O3" s="3">
        <v>0</v>
      </c>
      <c r="P3" s="3">
        <v>0</v>
      </c>
      <c r="Q3" s="3">
        <v>2</v>
      </c>
      <c r="R3" s="3">
        <v>1</v>
      </c>
      <c r="S3" s="3">
        <v>0</v>
      </c>
      <c r="T3" s="3">
        <v>0</v>
      </c>
      <c r="U3" s="3">
        <v>0</v>
      </c>
      <c r="V3" s="3">
        <v>0</v>
      </c>
      <c r="W3" s="3" t="s">
        <v>93</v>
      </c>
      <c r="X3" s="3">
        <v>66.9</v>
      </c>
      <c r="Y3" s="3">
        <v>66.9</v>
      </c>
      <c r="Z3" s="3">
        <v>66.9</v>
      </c>
      <c r="AA3" s="3">
        <v>0</v>
      </c>
      <c r="AB3" s="3" t="s">
        <v>94</v>
      </c>
      <c r="AC3" s="3">
        <v>0</v>
      </c>
      <c r="AD3" s="3">
        <v>53.52</v>
      </c>
      <c r="AE3" s="3">
        <v>63</v>
      </c>
      <c r="AF3" s="3">
        <v>0</v>
      </c>
      <c r="AG3" s="3">
        <v>12.923916</v>
      </c>
      <c r="AH3" s="3">
        <v>0</v>
      </c>
      <c r="AI3" s="3" t="s">
        <v>95</v>
      </c>
      <c r="AJ3" s="3" t="s">
        <v>88</v>
      </c>
    </row>
    <row r="4" spans="1:36">
      <c r="A4" s="5">
        <v>43288</v>
      </c>
      <c r="B4" s="3" t="s">
        <v>96</v>
      </c>
      <c r="C4" s="3" t="s">
        <v>97</v>
      </c>
      <c r="D4" s="3" t="s">
        <v>98</v>
      </c>
      <c r="E4" s="3" t="s">
        <v>99</v>
      </c>
      <c r="F4" s="3" t="s">
        <v>84</v>
      </c>
      <c r="G4" s="3">
        <v>30</v>
      </c>
      <c r="H4" s="3">
        <v>0</v>
      </c>
      <c r="I4" s="3">
        <v>0</v>
      </c>
      <c r="J4" s="3">
        <v>1</v>
      </c>
      <c r="K4" s="3">
        <v>0</v>
      </c>
      <c r="L4" s="3">
        <v>29</v>
      </c>
      <c r="M4" s="3">
        <v>0</v>
      </c>
      <c r="N4" s="3" t="s">
        <v>85</v>
      </c>
      <c r="O4" s="3">
        <v>29</v>
      </c>
      <c r="P4" s="3">
        <v>39.95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100</v>
      </c>
      <c r="X4" s="3">
        <v>8.78</v>
      </c>
      <c r="Y4" s="3">
        <v>8.78</v>
      </c>
      <c r="Z4" s="3">
        <v>8.78</v>
      </c>
      <c r="AA4" s="3">
        <v>0</v>
      </c>
      <c r="AB4" s="3" t="s">
        <v>94</v>
      </c>
      <c r="AC4" s="3">
        <v>3</v>
      </c>
      <c r="AD4" s="3">
        <v>7.88</v>
      </c>
      <c r="AE4" s="3">
        <v>84</v>
      </c>
      <c r="AF4" s="3">
        <v>0</v>
      </c>
      <c r="AG4" s="3">
        <v>546.953164</v>
      </c>
      <c r="AH4" s="3">
        <v>0</v>
      </c>
      <c r="AI4" s="3" t="s">
        <v>101</v>
      </c>
      <c r="AJ4" s="3" t="s">
        <v>88</v>
      </c>
    </row>
    <row r="5" spans="1:36">
      <c r="A5" s="5">
        <v>43288</v>
      </c>
      <c r="B5" s="3" t="s">
        <v>102</v>
      </c>
      <c r="C5" s="3" t="s">
        <v>103</v>
      </c>
      <c r="D5" s="3" t="s">
        <v>104</v>
      </c>
      <c r="E5" s="3" t="s">
        <v>105</v>
      </c>
      <c r="F5" s="3" t="s">
        <v>84</v>
      </c>
      <c r="G5" s="3">
        <v>1</v>
      </c>
      <c r="H5" s="3">
        <v>0</v>
      </c>
      <c r="I5" s="3">
        <v>0</v>
      </c>
      <c r="J5" s="3">
        <v>0</v>
      </c>
      <c r="K5" s="3">
        <v>0</v>
      </c>
      <c r="L5" s="3">
        <v>1</v>
      </c>
      <c r="M5" s="3">
        <v>0</v>
      </c>
      <c r="N5" s="3" t="s">
        <v>85</v>
      </c>
      <c r="O5" s="3">
        <v>0</v>
      </c>
      <c r="P5" s="3">
        <v>0</v>
      </c>
      <c r="Q5" s="3">
        <v>1</v>
      </c>
      <c r="R5" s="3">
        <v>0.5</v>
      </c>
      <c r="S5" s="3">
        <v>0</v>
      </c>
      <c r="T5" s="3">
        <v>0</v>
      </c>
      <c r="U5" s="3">
        <v>0</v>
      </c>
      <c r="V5" s="3">
        <v>0</v>
      </c>
      <c r="W5" s="3" t="s">
        <v>93</v>
      </c>
      <c r="X5" s="3">
        <v>5.27</v>
      </c>
      <c r="Y5" s="3">
        <v>5.27</v>
      </c>
      <c r="Z5" s="3">
        <v>5.27</v>
      </c>
      <c r="AA5" s="3">
        <v>0</v>
      </c>
      <c r="AB5" s="3" t="s">
        <v>86</v>
      </c>
      <c r="AC5" s="3">
        <v>1</v>
      </c>
      <c r="AD5" s="3">
        <v>5.27</v>
      </c>
      <c r="AE5" s="3">
        <v>0</v>
      </c>
      <c r="AF5" s="3">
        <v>0</v>
      </c>
      <c r="AG5" s="3">
        <v>0</v>
      </c>
      <c r="AH5" s="3">
        <v>0</v>
      </c>
      <c r="AI5" s="3" t="s">
        <v>106</v>
      </c>
      <c r="AJ5" s="3" t="s">
        <v>107</v>
      </c>
    </row>
    <row r="6" spans="1:36">
      <c r="A6" s="5">
        <v>43288</v>
      </c>
      <c r="B6" s="3" t="s">
        <v>108</v>
      </c>
      <c r="C6" s="3" t="s">
        <v>109</v>
      </c>
      <c r="D6" s="3" t="s">
        <v>109</v>
      </c>
      <c r="E6" s="3" t="s">
        <v>110</v>
      </c>
      <c r="F6" s="3" t="s">
        <v>84</v>
      </c>
      <c r="G6" s="3">
        <v>2</v>
      </c>
      <c r="H6" s="3">
        <v>0</v>
      </c>
      <c r="I6" s="3">
        <v>2</v>
      </c>
      <c r="J6" s="3">
        <v>0</v>
      </c>
      <c r="K6" s="3">
        <v>0</v>
      </c>
      <c r="L6" s="3">
        <v>0</v>
      </c>
      <c r="M6" s="3">
        <v>0</v>
      </c>
      <c r="N6" s="3" t="s">
        <v>85</v>
      </c>
      <c r="O6" s="3">
        <v>0</v>
      </c>
      <c r="P6" s="3">
        <v>0</v>
      </c>
      <c r="Q6" s="3">
        <v>0</v>
      </c>
      <c r="R6" s="3">
        <v>0</v>
      </c>
      <c r="S6" s="3">
        <v>10</v>
      </c>
      <c r="T6" s="3">
        <v>11</v>
      </c>
      <c r="U6" s="3">
        <v>17</v>
      </c>
      <c r="V6" s="3">
        <v>27</v>
      </c>
      <c r="W6" s="3"/>
      <c r="X6" s="3">
        <v>23.98</v>
      </c>
      <c r="Y6" s="3">
        <v>22.9</v>
      </c>
      <c r="Z6" s="3">
        <v>22.9</v>
      </c>
      <c r="AA6" s="3">
        <v>0</v>
      </c>
      <c r="AB6" s="3" t="s">
        <v>86</v>
      </c>
      <c r="AC6" s="3">
        <v>7</v>
      </c>
      <c r="AD6" s="3">
        <v>22.9</v>
      </c>
      <c r="AE6" s="3">
        <v>0</v>
      </c>
      <c r="AF6" s="3">
        <v>0</v>
      </c>
      <c r="AG6" s="3">
        <v>0</v>
      </c>
      <c r="AH6" s="3">
        <v>2.07692307692307</v>
      </c>
      <c r="AI6" s="3" t="s">
        <v>111</v>
      </c>
      <c r="AJ6" s="3" t="s">
        <v>88</v>
      </c>
    </row>
    <row r="7" spans="1:36">
      <c r="A7" s="5">
        <v>43288</v>
      </c>
      <c r="B7" s="3" t="s">
        <v>112</v>
      </c>
      <c r="C7" s="3" t="s">
        <v>113</v>
      </c>
      <c r="D7" s="3" t="s">
        <v>114</v>
      </c>
      <c r="E7" s="3" t="s">
        <v>115</v>
      </c>
      <c r="F7" s="3" t="s">
        <v>84</v>
      </c>
      <c r="G7" s="3">
        <v>3</v>
      </c>
      <c r="H7" s="3">
        <v>0</v>
      </c>
      <c r="I7" s="3">
        <v>0</v>
      </c>
      <c r="J7" s="3">
        <v>3</v>
      </c>
      <c r="K7" s="3">
        <v>0</v>
      </c>
      <c r="L7" s="3">
        <v>0</v>
      </c>
      <c r="M7" s="3">
        <v>0</v>
      </c>
      <c r="N7" s="3" t="s">
        <v>85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2</v>
      </c>
      <c r="W7" s="3" t="s">
        <v>100</v>
      </c>
      <c r="X7" s="3">
        <v>16.99</v>
      </c>
      <c r="Y7" s="3">
        <v>16.99</v>
      </c>
      <c r="Z7" s="3">
        <v>16.99</v>
      </c>
      <c r="AA7" s="3">
        <v>0</v>
      </c>
      <c r="AB7" s="3" t="s">
        <v>86</v>
      </c>
      <c r="AC7" s="3">
        <v>3</v>
      </c>
      <c r="AD7" s="3">
        <v>16.99</v>
      </c>
      <c r="AE7" s="3">
        <v>0</v>
      </c>
      <c r="AF7" s="3">
        <v>0</v>
      </c>
      <c r="AG7" s="3">
        <v>0</v>
      </c>
      <c r="AH7" s="3">
        <v>0.571428571428571</v>
      </c>
      <c r="AI7" s="3" t="s">
        <v>116</v>
      </c>
      <c r="AJ7" s="3" t="s">
        <v>88</v>
      </c>
    </row>
    <row r="8" spans="1:36">
      <c r="A8" s="5">
        <v>43288</v>
      </c>
      <c r="B8" s="3" t="s">
        <v>117</v>
      </c>
      <c r="C8" s="3" t="s">
        <v>118</v>
      </c>
      <c r="D8" s="3" t="s">
        <v>119</v>
      </c>
      <c r="E8" s="3" t="s">
        <v>120</v>
      </c>
      <c r="F8" s="3" t="s">
        <v>84</v>
      </c>
      <c r="G8" s="3">
        <v>1</v>
      </c>
      <c r="H8" s="3">
        <v>0</v>
      </c>
      <c r="I8" s="3">
        <v>0</v>
      </c>
      <c r="J8" s="3">
        <v>0</v>
      </c>
      <c r="K8" s="3">
        <v>0</v>
      </c>
      <c r="L8" s="3">
        <v>1</v>
      </c>
      <c r="M8" s="3">
        <v>0</v>
      </c>
      <c r="N8" s="3" t="s">
        <v>85</v>
      </c>
      <c r="O8" s="3">
        <v>1</v>
      </c>
      <c r="P8" s="3">
        <v>1.23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 t="s">
        <v>93</v>
      </c>
      <c r="X8" s="3">
        <v>16.9</v>
      </c>
      <c r="Y8" s="3">
        <v>16.9</v>
      </c>
      <c r="Z8" s="3">
        <v>16.9</v>
      </c>
      <c r="AA8" s="3">
        <v>0</v>
      </c>
      <c r="AB8" s="3" t="s">
        <v>94</v>
      </c>
      <c r="AC8" s="3">
        <v>0</v>
      </c>
      <c r="AD8" s="3">
        <v>13.52</v>
      </c>
      <c r="AE8" s="3">
        <v>63</v>
      </c>
      <c r="AF8" s="3">
        <v>0</v>
      </c>
      <c r="AG8" s="3">
        <v>14.670825</v>
      </c>
      <c r="AH8" s="3">
        <v>0</v>
      </c>
      <c r="AI8" s="3" t="s">
        <v>121</v>
      </c>
      <c r="AJ8" s="3" t="s">
        <v>88</v>
      </c>
    </row>
    <row r="9" spans="1:36">
      <c r="A9" s="5">
        <v>43288</v>
      </c>
      <c r="B9" s="3" t="s">
        <v>122</v>
      </c>
      <c r="C9" s="3" t="s">
        <v>123</v>
      </c>
      <c r="D9" s="3" t="s">
        <v>124</v>
      </c>
      <c r="E9" s="3" t="s">
        <v>125</v>
      </c>
      <c r="F9" s="3" t="s">
        <v>84</v>
      </c>
      <c r="G9" s="3">
        <v>3</v>
      </c>
      <c r="H9" s="3">
        <v>0</v>
      </c>
      <c r="I9" s="3">
        <v>1</v>
      </c>
      <c r="J9" s="3">
        <v>0</v>
      </c>
      <c r="K9" s="3">
        <v>0</v>
      </c>
      <c r="L9" s="3">
        <v>2</v>
      </c>
      <c r="M9" s="3">
        <v>0</v>
      </c>
      <c r="N9" s="3" t="s">
        <v>85</v>
      </c>
      <c r="O9" s="3">
        <v>0</v>
      </c>
      <c r="P9" s="3">
        <v>0</v>
      </c>
      <c r="Q9" s="3">
        <v>2</v>
      </c>
      <c r="R9" s="3">
        <v>7.14</v>
      </c>
      <c r="S9" s="3">
        <v>0</v>
      </c>
      <c r="T9" s="3">
        <v>0</v>
      </c>
      <c r="U9" s="3">
        <v>0</v>
      </c>
      <c r="V9" s="3">
        <v>0</v>
      </c>
      <c r="W9" s="3" t="s">
        <v>93</v>
      </c>
      <c r="X9" s="3">
        <v>12.9</v>
      </c>
      <c r="Y9" s="3">
        <v>12.9</v>
      </c>
      <c r="Z9" s="3">
        <v>12.9</v>
      </c>
      <c r="AA9" s="3">
        <v>0</v>
      </c>
      <c r="AB9" s="3" t="s">
        <v>86</v>
      </c>
      <c r="AC9" s="3">
        <v>3</v>
      </c>
      <c r="AD9" s="3">
        <v>12.9</v>
      </c>
      <c r="AE9" s="3">
        <v>0</v>
      </c>
      <c r="AF9" s="3">
        <v>0</v>
      </c>
      <c r="AG9" s="3">
        <v>0</v>
      </c>
      <c r="AH9" s="3">
        <v>0</v>
      </c>
      <c r="AI9" s="3" t="s">
        <v>126</v>
      </c>
      <c r="AJ9" s="3" t="s">
        <v>88</v>
      </c>
    </row>
    <row r="10" spans="1:36">
      <c r="A10" s="5">
        <v>43288</v>
      </c>
      <c r="B10" s="3" t="s">
        <v>127</v>
      </c>
      <c r="C10" s="3" t="s">
        <v>128</v>
      </c>
      <c r="D10" s="3" t="s">
        <v>129</v>
      </c>
      <c r="E10" s="3" t="s">
        <v>130</v>
      </c>
      <c r="F10" s="3" t="s">
        <v>84</v>
      </c>
      <c r="G10" s="3">
        <v>2</v>
      </c>
      <c r="H10" s="3">
        <v>0</v>
      </c>
      <c r="I10" s="3">
        <v>0</v>
      </c>
      <c r="J10" s="3">
        <v>0</v>
      </c>
      <c r="K10" s="3">
        <v>0</v>
      </c>
      <c r="L10" s="3">
        <v>2</v>
      </c>
      <c r="M10" s="3">
        <v>0</v>
      </c>
      <c r="N10" s="3" t="s">
        <v>85</v>
      </c>
      <c r="O10" s="3">
        <v>0</v>
      </c>
      <c r="P10" s="3">
        <v>0</v>
      </c>
      <c r="Q10" s="3">
        <v>2</v>
      </c>
      <c r="R10" s="3">
        <v>7.15</v>
      </c>
      <c r="S10" s="3">
        <v>0</v>
      </c>
      <c r="T10" s="3">
        <v>0</v>
      </c>
      <c r="U10" s="3">
        <v>0</v>
      </c>
      <c r="V10" s="3">
        <v>0</v>
      </c>
      <c r="W10" s="3" t="s">
        <v>93</v>
      </c>
      <c r="X10" s="3">
        <v>12.9</v>
      </c>
      <c r="Y10" s="3">
        <v>12.9</v>
      </c>
      <c r="Z10" s="3">
        <v>12.9</v>
      </c>
      <c r="AA10" s="3">
        <v>0</v>
      </c>
      <c r="AB10" s="3" t="s">
        <v>86</v>
      </c>
      <c r="AC10" s="3">
        <v>2</v>
      </c>
      <c r="AD10" s="3">
        <v>12.9</v>
      </c>
      <c r="AE10" s="3">
        <v>0</v>
      </c>
      <c r="AF10" s="3">
        <v>0</v>
      </c>
      <c r="AG10" s="3">
        <v>0</v>
      </c>
      <c r="AH10" s="3">
        <v>0</v>
      </c>
      <c r="AI10" s="3" t="s">
        <v>126</v>
      </c>
      <c r="AJ10" s="3" t="s">
        <v>88</v>
      </c>
    </row>
    <row r="11" spans="1:36">
      <c r="A11" s="5">
        <v>43288</v>
      </c>
      <c r="B11" s="3" t="s">
        <v>131</v>
      </c>
      <c r="C11" s="3" t="s">
        <v>132</v>
      </c>
      <c r="D11" s="3" t="s">
        <v>133</v>
      </c>
      <c r="E11" s="3" t="s">
        <v>134</v>
      </c>
      <c r="F11" s="3" t="s">
        <v>84</v>
      </c>
      <c r="G11" s="3">
        <v>4</v>
      </c>
      <c r="H11" s="3">
        <v>0</v>
      </c>
      <c r="I11" s="3">
        <v>0</v>
      </c>
      <c r="J11" s="3">
        <v>0</v>
      </c>
      <c r="K11" s="3">
        <v>4</v>
      </c>
      <c r="L11" s="3">
        <v>0</v>
      </c>
      <c r="M11" s="3">
        <v>0</v>
      </c>
      <c r="N11" s="3" t="s">
        <v>85</v>
      </c>
      <c r="O11" s="3">
        <v>4</v>
      </c>
      <c r="P11" s="3">
        <v>25.32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 t="s">
        <v>100</v>
      </c>
      <c r="X11" s="3">
        <v>69.99</v>
      </c>
      <c r="Y11" s="3">
        <v>42.99</v>
      </c>
      <c r="Z11" s="3">
        <v>42.99</v>
      </c>
      <c r="AA11" s="3">
        <v>0</v>
      </c>
      <c r="AB11" s="3" t="s">
        <v>94</v>
      </c>
      <c r="AC11" s="3">
        <v>0</v>
      </c>
      <c r="AD11" s="3">
        <v>40.2</v>
      </c>
      <c r="AE11" s="3">
        <v>35</v>
      </c>
      <c r="AF11" s="3">
        <v>0</v>
      </c>
      <c r="AG11" s="3">
        <v>335.910949</v>
      </c>
      <c r="AH11" s="3">
        <v>0</v>
      </c>
      <c r="AI11" s="3" t="s">
        <v>135</v>
      </c>
      <c r="AJ11" s="3" t="s">
        <v>88</v>
      </c>
    </row>
    <row r="12" spans="1:36">
      <c r="A12" s="5">
        <v>43288</v>
      </c>
      <c r="B12" s="3" t="s">
        <v>136</v>
      </c>
      <c r="C12" s="3" t="s">
        <v>137</v>
      </c>
      <c r="D12" s="3" t="s">
        <v>138</v>
      </c>
      <c r="E12" s="3" t="s">
        <v>139</v>
      </c>
      <c r="F12" s="3" t="s">
        <v>84</v>
      </c>
      <c r="G12" s="3">
        <v>1</v>
      </c>
      <c r="H12" s="3">
        <v>0</v>
      </c>
      <c r="I12" s="3">
        <v>0</v>
      </c>
      <c r="J12" s="3">
        <v>0</v>
      </c>
      <c r="K12" s="3">
        <v>0</v>
      </c>
      <c r="L12" s="3">
        <v>1</v>
      </c>
      <c r="M12" s="3">
        <v>0</v>
      </c>
      <c r="N12" s="3" t="s">
        <v>85</v>
      </c>
      <c r="O12" s="3">
        <v>1</v>
      </c>
      <c r="P12" s="3">
        <v>1.6</v>
      </c>
      <c r="Q12" s="3">
        <v>0</v>
      </c>
      <c r="R12" s="3">
        <v>0</v>
      </c>
      <c r="S12" s="3">
        <v>0</v>
      </c>
      <c r="T12" s="3">
        <v>2</v>
      </c>
      <c r="U12" s="3">
        <v>3</v>
      </c>
      <c r="V12" s="3">
        <v>4</v>
      </c>
      <c r="W12" s="3"/>
      <c r="X12" s="3">
        <v>13.9</v>
      </c>
      <c r="Y12" s="3">
        <v>13.9</v>
      </c>
      <c r="Z12" s="3">
        <v>13.9</v>
      </c>
      <c r="AA12" s="3">
        <v>0</v>
      </c>
      <c r="AB12" s="3" t="s">
        <v>94</v>
      </c>
      <c r="AC12" s="3">
        <v>0</v>
      </c>
      <c r="AD12" s="3">
        <v>11.8</v>
      </c>
      <c r="AE12" s="3">
        <v>42</v>
      </c>
      <c r="AF12" s="3">
        <v>0</v>
      </c>
      <c r="AG12" s="3">
        <v>1.470154</v>
      </c>
      <c r="AH12" s="3">
        <v>1.23076923076923</v>
      </c>
      <c r="AI12" s="3" t="s">
        <v>140</v>
      </c>
      <c r="AJ12" s="3" t="s">
        <v>88</v>
      </c>
    </row>
    <row r="13" spans="1:36">
      <c r="A13" s="5">
        <v>43288</v>
      </c>
      <c r="B13" s="3" t="s">
        <v>141</v>
      </c>
      <c r="C13" s="3" t="s">
        <v>142</v>
      </c>
      <c r="D13" s="3" t="s">
        <v>143</v>
      </c>
      <c r="E13" s="3" t="s">
        <v>144</v>
      </c>
      <c r="F13" s="3" t="s">
        <v>84</v>
      </c>
      <c r="G13" s="3">
        <v>3</v>
      </c>
      <c r="H13" s="3">
        <v>0</v>
      </c>
      <c r="I13" s="3">
        <v>0</v>
      </c>
      <c r="J13" s="3">
        <v>0</v>
      </c>
      <c r="K13" s="3">
        <v>0</v>
      </c>
      <c r="L13" s="3">
        <v>3</v>
      </c>
      <c r="M13" s="3">
        <v>0</v>
      </c>
      <c r="N13" s="3" t="s">
        <v>85</v>
      </c>
      <c r="O13" s="3">
        <v>0</v>
      </c>
      <c r="P13" s="3">
        <v>0</v>
      </c>
      <c r="Q13" s="3">
        <v>3</v>
      </c>
      <c r="R13" s="3">
        <v>10.72</v>
      </c>
      <c r="S13" s="3">
        <v>0</v>
      </c>
      <c r="T13" s="3">
        <v>0</v>
      </c>
      <c r="U13" s="3">
        <v>0</v>
      </c>
      <c r="V13" s="3">
        <v>0</v>
      </c>
      <c r="W13" s="3" t="s">
        <v>93</v>
      </c>
      <c r="X13" s="3">
        <v>12.9</v>
      </c>
      <c r="Y13" s="3">
        <v>12.9</v>
      </c>
      <c r="Z13" s="3">
        <v>12.9</v>
      </c>
      <c r="AA13" s="3">
        <v>0</v>
      </c>
      <c r="AB13" s="3" t="s">
        <v>94</v>
      </c>
      <c r="AC13" s="3">
        <v>0</v>
      </c>
      <c r="AD13" s="3">
        <v>10.32</v>
      </c>
      <c r="AE13" s="3">
        <v>63</v>
      </c>
      <c r="AF13" s="3">
        <v>0</v>
      </c>
      <c r="AG13" s="3">
        <v>68.402111</v>
      </c>
      <c r="AH13" s="3">
        <v>0</v>
      </c>
      <c r="AI13" s="3" t="s">
        <v>126</v>
      </c>
      <c r="AJ13" s="3" t="s">
        <v>88</v>
      </c>
    </row>
    <row r="14" spans="1:36">
      <c r="A14" s="5">
        <v>43288</v>
      </c>
      <c r="B14" s="3" t="s">
        <v>145</v>
      </c>
      <c r="C14" s="3" t="s">
        <v>146</v>
      </c>
      <c r="D14" s="3" t="s">
        <v>147</v>
      </c>
      <c r="E14" s="3" t="s">
        <v>148</v>
      </c>
      <c r="F14" s="3" t="s">
        <v>84</v>
      </c>
      <c r="G14" s="3">
        <v>1</v>
      </c>
      <c r="H14" s="3">
        <v>0</v>
      </c>
      <c r="I14" s="3">
        <v>1</v>
      </c>
      <c r="J14" s="3">
        <v>0</v>
      </c>
      <c r="K14" s="3">
        <v>0</v>
      </c>
      <c r="L14" s="3">
        <v>0</v>
      </c>
      <c r="M14" s="3">
        <v>0</v>
      </c>
      <c r="N14" s="3" t="s">
        <v>85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1</v>
      </c>
      <c r="V14" s="3">
        <v>1</v>
      </c>
      <c r="W14" s="3" t="s">
        <v>93</v>
      </c>
      <c r="X14" s="3">
        <v>25.9</v>
      </c>
      <c r="Y14" s="3">
        <v>25.9</v>
      </c>
      <c r="Z14" s="3">
        <v>25.9</v>
      </c>
      <c r="AA14" s="3">
        <v>0</v>
      </c>
      <c r="AB14" s="3" t="s">
        <v>149</v>
      </c>
      <c r="AC14" s="3">
        <v>1</v>
      </c>
      <c r="AD14" s="3">
        <v>25.9</v>
      </c>
      <c r="AE14" s="3">
        <v>0</v>
      </c>
      <c r="AF14" s="3">
        <v>0</v>
      </c>
      <c r="AG14" s="3">
        <v>0</v>
      </c>
      <c r="AH14" s="3">
        <v>2</v>
      </c>
      <c r="AI14" s="3" t="s">
        <v>150</v>
      </c>
      <c r="AJ14" s="3" t="s">
        <v>107</v>
      </c>
    </row>
    <row r="15" spans="1:36">
      <c r="A15" s="5">
        <v>43288</v>
      </c>
      <c r="B15" s="3" t="s">
        <v>151</v>
      </c>
      <c r="C15" s="3" t="s">
        <v>152</v>
      </c>
      <c r="D15" s="3" t="s">
        <v>153</v>
      </c>
      <c r="E15" s="3" t="s">
        <v>154</v>
      </c>
      <c r="F15" s="3" t="s">
        <v>84</v>
      </c>
      <c r="G15" s="3">
        <v>2</v>
      </c>
      <c r="H15" s="3">
        <v>0</v>
      </c>
      <c r="I15" s="3">
        <v>0</v>
      </c>
      <c r="J15" s="3">
        <v>0</v>
      </c>
      <c r="K15" s="3">
        <v>0</v>
      </c>
      <c r="L15" s="3">
        <v>2</v>
      </c>
      <c r="M15" s="3">
        <v>0</v>
      </c>
      <c r="N15" s="3" t="s">
        <v>85</v>
      </c>
      <c r="O15" s="3">
        <v>0</v>
      </c>
      <c r="P15" s="3">
        <v>0</v>
      </c>
      <c r="Q15" s="3">
        <v>2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 t="s">
        <v>93</v>
      </c>
      <c r="X15" s="3">
        <v>4.66</v>
      </c>
      <c r="Y15" s="3">
        <v>4.66</v>
      </c>
      <c r="Z15" s="3">
        <v>4.66</v>
      </c>
      <c r="AA15" s="3">
        <v>0</v>
      </c>
      <c r="AB15" s="3" t="s">
        <v>86</v>
      </c>
      <c r="AC15" s="3">
        <v>2</v>
      </c>
      <c r="AD15" s="3">
        <v>4.66</v>
      </c>
      <c r="AE15" s="3">
        <v>0</v>
      </c>
      <c r="AF15" s="3">
        <v>0</v>
      </c>
      <c r="AG15" s="3">
        <v>0</v>
      </c>
      <c r="AH15" s="3">
        <v>0</v>
      </c>
      <c r="AI15" s="3" t="s">
        <v>106</v>
      </c>
      <c r="AJ15" s="3" t="s">
        <v>88</v>
      </c>
    </row>
    <row r="16" spans="1:36">
      <c r="A16" s="5">
        <v>43288</v>
      </c>
      <c r="B16" s="3" t="s">
        <v>155</v>
      </c>
      <c r="C16" s="3" t="s">
        <v>156</v>
      </c>
      <c r="D16" s="3" t="s">
        <v>157</v>
      </c>
      <c r="E16" s="3" t="s">
        <v>158</v>
      </c>
      <c r="F16" s="3" t="s">
        <v>84</v>
      </c>
      <c r="G16" s="3">
        <v>1</v>
      </c>
      <c r="H16" s="3">
        <v>0</v>
      </c>
      <c r="I16" s="3">
        <v>0</v>
      </c>
      <c r="J16" s="3">
        <v>0</v>
      </c>
      <c r="K16" s="3">
        <v>1</v>
      </c>
      <c r="L16" s="3">
        <v>0</v>
      </c>
      <c r="M16" s="3">
        <v>0</v>
      </c>
      <c r="N16" s="3" t="s">
        <v>85</v>
      </c>
      <c r="O16" s="3">
        <v>1</v>
      </c>
      <c r="P16" s="3">
        <v>9.2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 t="s">
        <v>93</v>
      </c>
      <c r="X16" s="3">
        <v>66.9</v>
      </c>
      <c r="Y16" s="3">
        <v>66.9</v>
      </c>
      <c r="Z16" s="3">
        <v>66.9</v>
      </c>
      <c r="AA16" s="3">
        <v>0</v>
      </c>
      <c r="AB16" s="3" t="s">
        <v>94</v>
      </c>
      <c r="AC16" s="3">
        <v>0</v>
      </c>
      <c r="AD16" s="3">
        <v>62.8</v>
      </c>
      <c r="AE16" s="3">
        <v>14</v>
      </c>
      <c r="AF16" s="3">
        <v>0</v>
      </c>
      <c r="AG16" s="3">
        <v>123.06998</v>
      </c>
      <c r="AH16" s="3">
        <v>0</v>
      </c>
      <c r="AI16" s="3" t="s">
        <v>159</v>
      </c>
      <c r="AJ16" s="3" t="s">
        <v>88</v>
      </c>
    </row>
    <row r="17" spans="1:36">
      <c r="A17" s="5">
        <v>43288</v>
      </c>
      <c r="B17" s="3" t="s">
        <v>160</v>
      </c>
      <c r="C17" s="3" t="s">
        <v>161</v>
      </c>
      <c r="D17" s="3" t="s">
        <v>162</v>
      </c>
      <c r="E17" s="3" t="s">
        <v>163</v>
      </c>
      <c r="F17" s="3" t="s">
        <v>84</v>
      </c>
      <c r="G17" s="3">
        <v>30</v>
      </c>
      <c r="H17" s="3">
        <v>0</v>
      </c>
      <c r="I17" s="3">
        <v>0</v>
      </c>
      <c r="J17" s="3">
        <v>0</v>
      </c>
      <c r="K17" s="3">
        <v>0</v>
      </c>
      <c r="L17" s="3">
        <v>30</v>
      </c>
      <c r="M17" s="3">
        <v>0</v>
      </c>
      <c r="N17" s="3" t="s">
        <v>85</v>
      </c>
      <c r="O17" s="3">
        <v>30</v>
      </c>
      <c r="P17" s="3">
        <v>40.96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100</v>
      </c>
      <c r="X17" s="3">
        <v>12.99</v>
      </c>
      <c r="Y17" s="3">
        <v>12.99</v>
      </c>
      <c r="Z17" s="3">
        <v>12.99</v>
      </c>
      <c r="AA17" s="3">
        <v>0</v>
      </c>
      <c r="AB17" s="3" t="s">
        <v>94</v>
      </c>
      <c r="AC17" s="3">
        <v>0</v>
      </c>
      <c r="AD17" s="3">
        <v>10.39</v>
      </c>
      <c r="AE17" s="3">
        <v>63</v>
      </c>
      <c r="AF17" s="3">
        <v>0</v>
      </c>
      <c r="AG17" s="3">
        <v>484.960988</v>
      </c>
      <c r="AH17" s="3">
        <v>0</v>
      </c>
      <c r="AI17" s="3" t="s">
        <v>164</v>
      </c>
      <c r="AJ17" s="3" t="s">
        <v>88</v>
      </c>
    </row>
    <row r="18" spans="1:36">
      <c r="A18" s="5">
        <v>43288</v>
      </c>
      <c r="B18" s="3" t="s">
        <v>165</v>
      </c>
      <c r="C18" s="3" t="s">
        <v>166</v>
      </c>
      <c r="D18" s="3" t="s">
        <v>167</v>
      </c>
      <c r="E18" s="3" t="s">
        <v>168</v>
      </c>
      <c r="F18" s="3" t="s">
        <v>84</v>
      </c>
      <c r="G18" s="3">
        <v>3</v>
      </c>
      <c r="H18" s="3">
        <v>0</v>
      </c>
      <c r="I18" s="3">
        <v>0</v>
      </c>
      <c r="J18" s="3">
        <v>0</v>
      </c>
      <c r="K18" s="3">
        <v>0</v>
      </c>
      <c r="L18" s="3">
        <v>3</v>
      </c>
      <c r="M18" s="3">
        <v>0</v>
      </c>
      <c r="N18" s="3" t="s">
        <v>85</v>
      </c>
      <c r="O18" s="3">
        <v>1</v>
      </c>
      <c r="P18" s="3">
        <v>1.79</v>
      </c>
      <c r="Q18" s="3">
        <v>2</v>
      </c>
      <c r="R18" s="3">
        <v>7.14</v>
      </c>
      <c r="S18" s="3">
        <v>0</v>
      </c>
      <c r="T18" s="3">
        <v>0</v>
      </c>
      <c r="U18" s="3">
        <v>0</v>
      </c>
      <c r="V18" s="3">
        <v>0</v>
      </c>
      <c r="W18" s="3" t="s">
        <v>93</v>
      </c>
      <c r="X18" s="3">
        <v>12.9</v>
      </c>
      <c r="Y18" s="3">
        <v>12.9</v>
      </c>
      <c r="Z18" s="3">
        <v>12.9</v>
      </c>
      <c r="AA18" s="3">
        <v>0</v>
      </c>
      <c r="AB18" s="3" t="s">
        <v>94</v>
      </c>
      <c r="AC18" s="3">
        <v>0</v>
      </c>
      <c r="AD18" s="3">
        <v>10.32</v>
      </c>
      <c r="AE18" s="3">
        <v>63</v>
      </c>
      <c r="AF18" s="3">
        <v>0</v>
      </c>
      <c r="AG18" s="3">
        <v>68.523649</v>
      </c>
      <c r="AH18" s="3">
        <v>0</v>
      </c>
      <c r="AI18" s="3" t="s">
        <v>126</v>
      </c>
      <c r="AJ18" s="3" t="s">
        <v>88</v>
      </c>
    </row>
    <row r="19" spans="1:36">
      <c r="A19" s="5">
        <v>43288</v>
      </c>
      <c r="B19" s="3" t="s">
        <v>169</v>
      </c>
      <c r="C19" s="3" t="s">
        <v>170</v>
      </c>
      <c r="D19" s="3" t="s">
        <v>171</v>
      </c>
      <c r="E19" s="3" t="s">
        <v>172</v>
      </c>
      <c r="F19" s="3" t="s">
        <v>84</v>
      </c>
      <c r="G19" s="3">
        <v>4</v>
      </c>
      <c r="H19" s="3">
        <v>0</v>
      </c>
      <c r="I19" s="3">
        <v>0</v>
      </c>
      <c r="J19" s="3">
        <v>1</v>
      </c>
      <c r="K19" s="3">
        <v>0</v>
      </c>
      <c r="L19" s="3">
        <v>3</v>
      </c>
      <c r="M19" s="3">
        <v>0</v>
      </c>
      <c r="N19" s="3" t="s">
        <v>85</v>
      </c>
      <c r="O19" s="3">
        <v>3</v>
      </c>
      <c r="P19" s="3">
        <v>8.19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100</v>
      </c>
      <c r="X19" s="3">
        <v>13.9</v>
      </c>
      <c r="Y19" s="3">
        <v>13.9</v>
      </c>
      <c r="Z19" s="3">
        <v>13.9</v>
      </c>
      <c r="AA19" s="3">
        <v>0</v>
      </c>
      <c r="AB19" s="3" t="s">
        <v>94</v>
      </c>
      <c r="AC19" s="3">
        <v>0</v>
      </c>
      <c r="AD19" s="3">
        <v>12.16</v>
      </c>
      <c r="AE19" s="3">
        <v>98</v>
      </c>
      <c r="AF19" s="3">
        <v>0</v>
      </c>
      <c r="AG19" s="3">
        <v>141.146528</v>
      </c>
      <c r="AH19" s="3">
        <v>0</v>
      </c>
      <c r="AI19" s="3" t="s">
        <v>173</v>
      </c>
      <c r="AJ19" s="3" t="s">
        <v>88</v>
      </c>
    </row>
    <row r="20" spans="1:36">
      <c r="A20" s="5">
        <v>43288</v>
      </c>
      <c r="B20" s="3" t="s">
        <v>174</v>
      </c>
      <c r="C20" s="3" t="s">
        <v>175</v>
      </c>
      <c r="D20" s="3" t="s">
        <v>176</v>
      </c>
      <c r="E20" s="3" t="s">
        <v>177</v>
      </c>
      <c r="F20" s="3" t="s">
        <v>84</v>
      </c>
      <c r="G20" s="3">
        <v>2</v>
      </c>
      <c r="H20" s="3">
        <v>0</v>
      </c>
      <c r="I20" s="3">
        <v>0</v>
      </c>
      <c r="J20" s="3">
        <v>0</v>
      </c>
      <c r="K20" s="3">
        <v>0</v>
      </c>
      <c r="L20" s="3">
        <v>2</v>
      </c>
      <c r="M20" s="3">
        <v>0</v>
      </c>
      <c r="N20" s="3" t="s">
        <v>85</v>
      </c>
      <c r="O20" s="3">
        <v>0</v>
      </c>
      <c r="P20" s="3">
        <v>0</v>
      </c>
      <c r="Q20" s="3">
        <v>2</v>
      </c>
      <c r="R20" s="3">
        <v>1</v>
      </c>
      <c r="S20" s="3">
        <v>0</v>
      </c>
      <c r="T20" s="3">
        <v>0</v>
      </c>
      <c r="U20" s="3">
        <v>0</v>
      </c>
      <c r="V20" s="3">
        <v>0</v>
      </c>
      <c r="W20" s="3" t="s">
        <v>93</v>
      </c>
      <c r="X20" s="3">
        <v>66.9</v>
      </c>
      <c r="Y20" s="3">
        <v>66.9</v>
      </c>
      <c r="Z20" s="3">
        <v>66.9</v>
      </c>
      <c r="AA20" s="3">
        <v>0</v>
      </c>
      <c r="AB20" s="3" t="s">
        <v>86</v>
      </c>
      <c r="AC20" s="3">
        <v>2</v>
      </c>
      <c r="AD20" s="3">
        <v>66.9</v>
      </c>
      <c r="AE20" s="3">
        <v>0</v>
      </c>
      <c r="AF20" s="3">
        <v>0</v>
      </c>
      <c r="AG20" s="3">
        <v>0</v>
      </c>
      <c r="AH20" s="3">
        <v>0</v>
      </c>
      <c r="AI20" s="3" t="s">
        <v>95</v>
      </c>
      <c r="AJ20" s="3" t="s">
        <v>88</v>
      </c>
    </row>
    <row r="21" spans="1:36">
      <c r="A21" s="5">
        <v>43288</v>
      </c>
      <c r="B21" s="3" t="s">
        <v>178</v>
      </c>
      <c r="C21" s="3" t="s">
        <v>179</v>
      </c>
      <c r="D21" s="3" t="s">
        <v>180</v>
      </c>
      <c r="E21" s="3" t="s">
        <v>181</v>
      </c>
      <c r="F21" s="3" t="s">
        <v>84</v>
      </c>
      <c r="G21" s="3">
        <v>11</v>
      </c>
      <c r="H21" s="3">
        <v>0</v>
      </c>
      <c r="I21" s="3">
        <v>0</v>
      </c>
      <c r="J21" s="3">
        <v>0</v>
      </c>
      <c r="K21" s="3">
        <v>0</v>
      </c>
      <c r="L21" s="3">
        <v>11</v>
      </c>
      <c r="M21" s="3">
        <v>0</v>
      </c>
      <c r="N21" s="3" t="s">
        <v>85</v>
      </c>
      <c r="O21" s="3">
        <v>11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 t="s">
        <v>100</v>
      </c>
      <c r="X21" s="3">
        <v>13.9</v>
      </c>
      <c r="Y21" s="3">
        <v>13.9</v>
      </c>
      <c r="Z21" s="3">
        <v>13.9</v>
      </c>
      <c r="AA21" s="3">
        <v>0</v>
      </c>
      <c r="AB21" s="3" t="s">
        <v>86</v>
      </c>
      <c r="AC21" s="3">
        <v>11</v>
      </c>
      <c r="AD21" s="3">
        <v>13.9</v>
      </c>
      <c r="AE21" s="3">
        <v>0</v>
      </c>
      <c r="AF21" s="3">
        <v>0</v>
      </c>
      <c r="AG21" s="3">
        <v>0</v>
      </c>
      <c r="AH21" s="3">
        <v>0</v>
      </c>
      <c r="AI21" s="3" t="s">
        <v>106</v>
      </c>
      <c r="AJ21" s="3" t="s">
        <v>88</v>
      </c>
    </row>
    <row r="22" spans="1:36">
      <c r="A22" s="5">
        <v>43288</v>
      </c>
      <c r="B22" s="3" t="s">
        <v>182</v>
      </c>
      <c r="C22" s="3" t="s">
        <v>183</v>
      </c>
      <c r="D22" s="3" t="s">
        <v>184</v>
      </c>
      <c r="E22" s="3" t="s">
        <v>185</v>
      </c>
      <c r="F22" s="3" t="s">
        <v>84</v>
      </c>
      <c r="G22" s="3">
        <v>1</v>
      </c>
      <c r="H22" s="3">
        <v>0</v>
      </c>
      <c r="I22" s="3">
        <v>0</v>
      </c>
      <c r="J22" s="3">
        <v>0</v>
      </c>
      <c r="K22" s="3">
        <v>0</v>
      </c>
      <c r="L22" s="3">
        <v>1</v>
      </c>
      <c r="M22" s="3">
        <v>0</v>
      </c>
      <c r="N22" s="3" t="s">
        <v>85</v>
      </c>
      <c r="O22" s="3">
        <v>0</v>
      </c>
      <c r="P22" s="3">
        <v>0</v>
      </c>
      <c r="Q22" s="3">
        <v>1</v>
      </c>
      <c r="R22" s="3">
        <v>0.5</v>
      </c>
      <c r="S22" s="3">
        <v>0</v>
      </c>
      <c r="T22" s="3">
        <v>0</v>
      </c>
      <c r="U22" s="3">
        <v>0</v>
      </c>
      <c r="V22" s="3">
        <v>0</v>
      </c>
      <c r="W22" s="3" t="s">
        <v>93</v>
      </c>
      <c r="X22" s="3">
        <v>4.99</v>
      </c>
      <c r="Y22" s="3">
        <v>4.99</v>
      </c>
      <c r="Z22" s="3">
        <v>4.99</v>
      </c>
      <c r="AA22" s="3">
        <v>0</v>
      </c>
      <c r="AB22" s="3" t="s">
        <v>86</v>
      </c>
      <c r="AC22" s="3">
        <v>1</v>
      </c>
      <c r="AD22" s="3">
        <v>4.99</v>
      </c>
      <c r="AE22" s="3">
        <v>0</v>
      </c>
      <c r="AF22" s="3">
        <v>0</v>
      </c>
      <c r="AG22" s="3">
        <v>0</v>
      </c>
      <c r="AH22" s="3">
        <v>0</v>
      </c>
      <c r="AI22" s="3" t="s">
        <v>106</v>
      </c>
      <c r="AJ22" s="3" t="s">
        <v>107</v>
      </c>
    </row>
    <row r="23" spans="1:36">
      <c r="A23" s="5">
        <v>43288</v>
      </c>
      <c r="B23" s="3" t="s">
        <v>186</v>
      </c>
      <c r="C23" s="3" t="s">
        <v>187</v>
      </c>
      <c r="D23" s="3" t="s">
        <v>188</v>
      </c>
      <c r="E23" s="3" t="s">
        <v>189</v>
      </c>
      <c r="F23" s="3" t="s">
        <v>84</v>
      </c>
      <c r="G23" s="3">
        <v>3</v>
      </c>
      <c r="H23" s="3">
        <v>0</v>
      </c>
      <c r="I23" s="3">
        <v>0</v>
      </c>
      <c r="J23" s="3">
        <v>0</v>
      </c>
      <c r="K23" s="3">
        <v>0</v>
      </c>
      <c r="L23" s="3">
        <v>3</v>
      </c>
      <c r="M23" s="3">
        <v>0</v>
      </c>
      <c r="N23" s="3" t="s">
        <v>85</v>
      </c>
      <c r="O23" s="3">
        <v>0</v>
      </c>
      <c r="P23" s="3">
        <v>0</v>
      </c>
      <c r="Q23" s="3">
        <v>3</v>
      </c>
      <c r="R23" s="3">
        <v>1.5</v>
      </c>
      <c r="S23" s="3">
        <v>0</v>
      </c>
      <c r="T23" s="3">
        <v>0</v>
      </c>
      <c r="U23" s="3">
        <v>0</v>
      </c>
      <c r="V23" s="3">
        <v>0</v>
      </c>
      <c r="W23" s="3" t="s">
        <v>93</v>
      </c>
      <c r="X23" s="3">
        <v>12.9</v>
      </c>
      <c r="Y23" s="3">
        <v>12.9</v>
      </c>
      <c r="Z23" s="3">
        <v>12.9</v>
      </c>
      <c r="AA23" s="3">
        <v>0</v>
      </c>
      <c r="AB23" s="3" t="s">
        <v>94</v>
      </c>
      <c r="AC23" s="3">
        <v>0</v>
      </c>
      <c r="AD23" s="3">
        <v>10.32</v>
      </c>
      <c r="AE23" s="3">
        <v>63</v>
      </c>
      <c r="AF23" s="3">
        <v>0</v>
      </c>
      <c r="AG23" s="3">
        <v>0.896002</v>
      </c>
      <c r="AH23" s="3">
        <v>0</v>
      </c>
      <c r="AI23" s="3" t="s">
        <v>106</v>
      </c>
      <c r="AJ23" s="3" t="s">
        <v>88</v>
      </c>
    </row>
    <row r="24" spans="1:36">
      <c r="A24" s="5">
        <v>43288</v>
      </c>
      <c r="B24" s="3" t="s">
        <v>190</v>
      </c>
      <c r="C24" s="3" t="s">
        <v>191</v>
      </c>
      <c r="D24" s="3" t="s">
        <v>192</v>
      </c>
      <c r="E24" s="3" t="s">
        <v>193</v>
      </c>
      <c r="F24" s="3" t="s">
        <v>84</v>
      </c>
      <c r="G24" s="3">
        <v>44</v>
      </c>
      <c r="H24" s="3">
        <v>0</v>
      </c>
      <c r="I24" s="3">
        <v>0</v>
      </c>
      <c r="J24" s="3">
        <v>0</v>
      </c>
      <c r="K24" s="3">
        <v>0</v>
      </c>
      <c r="L24" s="3">
        <v>44</v>
      </c>
      <c r="M24" s="3">
        <v>0</v>
      </c>
      <c r="N24" s="3" t="s">
        <v>85</v>
      </c>
      <c r="O24" s="3">
        <v>44</v>
      </c>
      <c r="P24" s="3">
        <v>58.06</v>
      </c>
      <c r="Q24" s="3">
        <v>0</v>
      </c>
      <c r="R24" s="3">
        <v>0</v>
      </c>
      <c r="S24" s="3">
        <v>0</v>
      </c>
      <c r="T24" s="3">
        <v>1</v>
      </c>
      <c r="U24" s="3">
        <v>2</v>
      </c>
      <c r="V24" s="3">
        <v>3</v>
      </c>
      <c r="W24" s="3"/>
      <c r="X24" s="3">
        <v>9.99</v>
      </c>
      <c r="Y24" s="3">
        <v>9.99</v>
      </c>
      <c r="Z24" s="3">
        <v>9.99</v>
      </c>
      <c r="AA24" s="3">
        <v>0</v>
      </c>
      <c r="AB24" s="3" t="s">
        <v>94</v>
      </c>
      <c r="AC24" s="3">
        <v>0</v>
      </c>
      <c r="AD24" s="3">
        <v>5.41</v>
      </c>
      <c r="AE24" s="3">
        <v>308</v>
      </c>
      <c r="AF24" s="3">
        <v>0</v>
      </c>
      <c r="AG24" s="3">
        <v>646.29141</v>
      </c>
      <c r="AH24" s="3">
        <v>0.0659340659340659</v>
      </c>
      <c r="AI24" s="3" t="s">
        <v>194</v>
      </c>
      <c r="AJ24" s="3" t="s">
        <v>88</v>
      </c>
    </row>
    <row r="25" spans="1:36">
      <c r="A25" s="5">
        <v>43288</v>
      </c>
      <c r="B25" s="3" t="s">
        <v>195</v>
      </c>
      <c r="C25" s="3" t="s">
        <v>196</v>
      </c>
      <c r="D25" s="3" t="s">
        <v>197</v>
      </c>
      <c r="E25" s="3" t="s">
        <v>198</v>
      </c>
      <c r="F25" s="3" t="s">
        <v>84</v>
      </c>
      <c r="G25" s="3">
        <v>3</v>
      </c>
      <c r="H25" s="3">
        <v>0</v>
      </c>
      <c r="I25" s="3">
        <v>0</v>
      </c>
      <c r="J25" s="3">
        <v>0</v>
      </c>
      <c r="K25" s="3">
        <v>0</v>
      </c>
      <c r="L25" s="3">
        <v>3</v>
      </c>
      <c r="M25" s="3">
        <v>0</v>
      </c>
      <c r="N25" s="3" t="s">
        <v>85</v>
      </c>
      <c r="O25" s="3">
        <v>0</v>
      </c>
      <c r="P25" s="3">
        <v>0</v>
      </c>
      <c r="Q25" s="3">
        <v>3</v>
      </c>
      <c r="R25" s="3">
        <v>1.5</v>
      </c>
      <c r="S25" s="3">
        <v>0</v>
      </c>
      <c r="T25" s="3">
        <v>0</v>
      </c>
      <c r="U25" s="3">
        <v>0</v>
      </c>
      <c r="V25" s="3">
        <v>0</v>
      </c>
      <c r="W25" s="3" t="s">
        <v>93</v>
      </c>
      <c r="X25" s="3">
        <v>12.9</v>
      </c>
      <c r="Y25" s="3">
        <v>12.9</v>
      </c>
      <c r="Z25" s="3">
        <v>12.9</v>
      </c>
      <c r="AA25" s="3">
        <v>0</v>
      </c>
      <c r="AB25" s="3" t="s">
        <v>94</v>
      </c>
      <c r="AC25" s="3">
        <v>0</v>
      </c>
      <c r="AD25" s="3">
        <v>10.32</v>
      </c>
      <c r="AE25" s="3">
        <v>63</v>
      </c>
      <c r="AF25" s="3">
        <v>0</v>
      </c>
      <c r="AG25" s="3">
        <v>0.896002</v>
      </c>
      <c r="AH25" s="3">
        <v>0</v>
      </c>
      <c r="AI25" s="3" t="s">
        <v>106</v>
      </c>
      <c r="AJ25" s="3" t="s">
        <v>88</v>
      </c>
    </row>
    <row r="26" spans="1:36">
      <c r="A26" s="5">
        <v>43288</v>
      </c>
      <c r="B26" s="3" t="s">
        <v>199</v>
      </c>
      <c r="C26" s="3" t="s">
        <v>200</v>
      </c>
      <c r="D26" s="3" t="s">
        <v>201</v>
      </c>
      <c r="E26" s="3" t="s">
        <v>202</v>
      </c>
      <c r="F26" s="3" t="s">
        <v>84</v>
      </c>
      <c r="G26" s="3">
        <v>1</v>
      </c>
      <c r="H26" s="3">
        <v>0</v>
      </c>
      <c r="I26" s="3">
        <v>0</v>
      </c>
      <c r="J26" s="3">
        <v>0</v>
      </c>
      <c r="K26" s="3">
        <v>0</v>
      </c>
      <c r="L26" s="3">
        <v>1</v>
      </c>
      <c r="M26" s="3">
        <v>0</v>
      </c>
      <c r="N26" s="3" t="s">
        <v>85</v>
      </c>
      <c r="O26" s="3">
        <v>0</v>
      </c>
      <c r="P26" s="3">
        <v>0</v>
      </c>
      <c r="Q26" s="3">
        <v>1</v>
      </c>
      <c r="R26" s="3">
        <v>0.93</v>
      </c>
      <c r="S26" s="3">
        <v>0</v>
      </c>
      <c r="T26" s="3">
        <v>0</v>
      </c>
      <c r="U26" s="3">
        <v>0</v>
      </c>
      <c r="V26" s="3">
        <v>0</v>
      </c>
      <c r="W26" s="3" t="s">
        <v>93</v>
      </c>
      <c r="X26" s="3">
        <v>4.66</v>
      </c>
      <c r="Y26" s="3">
        <v>4.66</v>
      </c>
      <c r="Z26" s="3">
        <v>4.66</v>
      </c>
      <c r="AA26" s="3">
        <v>0</v>
      </c>
      <c r="AB26" s="3" t="s">
        <v>86</v>
      </c>
      <c r="AC26" s="3">
        <v>1</v>
      </c>
      <c r="AD26" s="3">
        <v>4.66</v>
      </c>
      <c r="AE26" s="3">
        <v>0</v>
      </c>
      <c r="AF26" s="3">
        <v>0</v>
      </c>
      <c r="AG26" s="3">
        <v>0</v>
      </c>
      <c r="AH26" s="3">
        <v>0</v>
      </c>
      <c r="AI26" s="3" t="s">
        <v>203</v>
      </c>
      <c r="AJ26" s="3" t="s">
        <v>88</v>
      </c>
    </row>
    <row r="27" spans="1:36">
      <c r="A27" s="5">
        <v>43288</v>
      </c>
      <c r="B27" s="3" t="s">
        <v>204</v>
      </c>
      <c r="C27" s="3" t="s">
        <v>205</v>
      </c>
      <c r="D27" s="3" t="s">
        <v>206</v>
      </c>
      <c r="E27" s="3" t="s">
        <v>207</v>
      </c>
      <c r="F27" s="3" t="s">
        <v>84</v>
      </c>
      <c r="G27" s="3">
        <v>7</v>
      </c>
      <c r="H27" s="3">
        <v>0</v>
      </c>
      <c r="I27" s="3">
        <v>0</v>
      </c>
      <c r="J27" s="3">
        <v>0</v>
      </c>
      <c r="K27" s="3">
        <v>0</v>
      </c>
      <c r="L27" s="3">
        <v>7</v>
      </c>
      <c r="M27" s="3">
        <v>0</v>
      </c>
      <c r="N27" s="3" t="s">
        <v>85</v>
      </c>
      <c r="O27" s="3">
        <v>7</v>
      </c>
      <c r="P27" s="3">
        <v>19.12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100</v>
      </c>
      <c r="X27" s="3">
        <v>13.9</v>
      </c>
      <c r="Y27" s="3">
        <v>13.9</v>
      </c>
      <c r="Z27" s="3">
        <v>13.9</v>
      </c>
      <c r="AA27" s="3">
        <v>0</v>
      </c>
      <c r="AB27" s="3" t="s">
        <v>94</v>
      </c>
      <c r="AC27" s="3">
        <v>0</v>
      </c>
      <c r="AD27" s="3">
        <v>11.12</v>
      </c>
      <c r="AE27" s="3">
        <v>63</v>
      </c>
      <c r="AF27" s="3">
        <v>0</v>
      </c>
      <c r="AG27" s="3">
        <v>224.14379</v>
      </c>
      <c r="AH27" s="3">
        <v>0</v>
      </c>
      <c r="AI27" s="3" t="s">
        <v>173</v>
      </c>
      <c r="AJ27" s="3" t="s">
        <v>88</v>
      </c>
    </row>
    <row r="28" spans="1:36">
      <c r="A28" s="5">
        <v>43288</v>
      </c>
      <c r="B28" s="3" t="s">
        <v>208</v>
      </c>
      <c r="C28" s="3" t="s">
        <v>209</v>
      </c>
      <c r="D28" s="3" t="s">
        <v>210</v>
      </c>
      <c r="E28" s="3" t="s">
        <v>211</v>
      </c>
      <c r="F28" s="3" t="s">
        <v>84</v>
      </c>
      <c r="G28" s="3">
        <v>15</v>
      </c>
      <c r="H28" s="3">
        <v>0</v>
      </c>
      <c r="I28" s="3">
        <v>0</v>
      </c>
      <c r="J28" s="3">
        <v>15</v>
      </c>
      <c r="K28" s="3">
        <v>0</v>
      </c>
      <c r="L28" s="3">
        <v>0</v>
      </c>
      <c r="M28" s="3">
        <v>0</v>
      </c>
      <c r="N28" s="3" t="s">
        <v>85</v>
      </c>
      <c r="O28" s="3">
        <v>15</v>
      </c>
      <c r="P28" s="3">
        <v>30.09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100</v>
      </c>
      <c r="X28" s="3">
        <v>20.99</v>
      </c>
      <c r="Y28" s="3">
        <v>20.99</v>
      </c>
      <c r="Z28" s="3">
        <v>20.99</v>
      </c>
      <c r="AA28" s="3">
        <v>0</v>
      </c>
      <c r="AB28" s="3" t="s">
        <v>94</v>
      </c>
      <c r="AC28" s="3">
        <v>0</v>
      </c>
      <c r="AD28" s="3">
        <v>16.79</v>
      </c>
      <c r="AE28" s="3">
        <v>63</v>
      </c>
      <c r="AF28" s="3">
        <v>0</v>
      </c>
      <c r="AG28" s="3">
        <v>371.804117</v>
      </c>
      <c r="AH28" s="3">
        <v>0</v>
      </c>
      <c r="AI28" s="3" t="s">
        <v>87</v>
      </c>
      <c r="AJ28" s="3" t="s">
        <v>88</v>
      </c>
    </row>
    <row r="29" spans="1:36">
      <c r="A29" s="5">
        <v>43288</v>
      </c>
      <c r="B29" s="3" t="s">
        <v>212</v>
      </c>
      <c r="C29" s="3" t="s">
        <v>213</v>
      </c>
      <c r="D29" s="3" t="s">
        <v>214</v>
      </c>
      <c r="E29" s="3" t="s">
        <v>215</v>
      </c>
      <c r="F29" s="3" t="s">
        <v>84</v>
      </c>
      <c r="G29" s="3">
        <v>7</v>
      </c>
      <c r="H29" s="3">
        <v>0</v>
      </c>
      <c r="I29" s="3">
        <v>0</v>
      </c>
      <c r="J29" s="3">
        <v>6</v>
      </c>
      <c r="K29" s="3">
        <v>1</v>
      </c>
      <c r="L29" s="3">
        <v>0</v>
      </c>
      <c r="M29" s="3">
        <v>0</v>
      </c>
      <c r="N29" s="3" t="s">
        <v>85</v>
      </c>
      <c r="O29" s="3">
        <v>7</v>
      </c>
      <c r="P29" s="3">
        <v>87.36</v>
      </c>
      <c r="Q29" s="3">
        <v>0</v>
      </c>
      <c r="R29" s="3">
        <v>0</v>
      </c>
      <c r="S29" s="3">
        <v>0</v>
      </c>
      <c r="T29" s="3">
        <v>1</v>
      </c>
      <c r="U29" s="3">
        <v>1</v>
      </c>
      <c r="V29" s="3">
        <v>1</v>
      </c>
      <c r="W29" s="3"/>
      <c r="X29" s="3">
        <v>42.99</v>
      </c>
      <c r="Y29" s="3">
        <v>42.99</v>
      </c>
      <c r="Z29" s="3">
        <v>42.99</v>
      </c>
      <c r="AA29" s="3">
        <v>0</v>
      </c>
      <c r="AB29" s="3" t="s">
        <v>94</v>
      </c>
      <c r="AC29" s="3">
        <v>3</v>
      </c>
      <c r="AD29" s="3">
        <v>34.39</v>
      </c>
      <c r="AE29" s="3">
        <v>28</v>
      </c>
      <c r="AF29" s="3">
        <v>0</v>
      </c>
      <c r="AG29" s="3">
        <v>4.345624</v>
      </c>
      <c r="AH29" s="3">
        <v>0.114285714285714</v>
      </c>
      <c r="AI29" s="3" t="s">
        <v>216</v>
      </c>
      <c r="AJ29" s="3" t="s">
        <v>88</v>
      </c>
    </row>
    <row r="30" spans="1:36">
      <c r="A30" s="5">
        <v>43288</v>
      </c>
      <c r="B30" s="3" t="s">
        <v>217</v>
      </c>
      <c r="C30" s="3" t="s">
        <v>218</v>
      </c>
      <c r="D30" s="3" t="s">
        <v>219</v>
      </c>
      <c r="E30" s="3" t="s">
        <v>220</v>
      </c>
      <c r="F30" s="3" t="s">
        <v>84</v>
      </c>
      <c r="G30" s="3">
        <v>4</v>
      </c>
      <c r="H30" s="3">
        <v>0</v>
      </c>
      <c r="I30" s="3">
        <v>0</v>
      </c>
      <c r="J30" s="3">
        <v>0</v>
      </c>
      <c r="K30" s="3">
        <v>4</v>
      </c>
      <c r="L30" s="3">
        <v>0</v>
      </c>
      <c r="M30" s="3">
        <v>0</v>
      </c>
      <c r="N30" s="3" t="s">
        <v>85</v>
      </c>
      <c r="O30" s="3">
        <v>4</v>
      </c>
      <c r="P30" s="3">
        <v>25.32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100</v>
      </c>
      <c r="X30" s="3">
        <v>42.99</v>
      </c>
      <c r="Y30" s="3">
        <v>42.99</v>
      </c>
      <c r="Z30" s="3">
        <v>38.39</v>
      </c>
      <c r="AA30" s="3">
        <v>0</v>
      </c>
      <c r="AB30" s="3" t="s">
        <v>94</v>
      </c>
      <c r="AC30" s="3">
        <v>0</v>
      </c>
      <c r="AD30" s="3">
        <v>39.85</v>
      </c>
      <c r="AE30" s="3">
        <v>35</v>
      </c>
      <c r="AF30" s="3">
        <v>0</v>
      </c>
      <c r="AG30" s="3">
        <v>329.120018</v>
      </c>
      <c r="AH30" s="3">
        <v>0</v>
      </c>
      <c r="AI30" s="3" t="s">
        <v>135</v>
      </c>
      <c r="AJ30" s="3" t="s">
        <v>88</v>
      </c>
    </row>
    <row r="31" spans="1:36">
      <c r="A31" s="5">
        <v>43288</v>
      </c>
      <c r="B31" s="3" t="s">
        <v>221</v>
      </c>
      <c r="C31" s="3" t="s">
        <v>222</v>
      </c>
      <c r="D31" s="3" t="s">
        <v>223</v>
      </c>
      <c r="E31" s="3" t="s">
        <v>224</v>
      </c>
      <c r="F31" s="3" t="s">
        <v>84</v>
      </c>
      <c r="G31" s="3">
        <v>2</v>
      </c>
      <c r="H31" s="3">
        <v>0</v>
      </c>
      <c r="I31" s="3">
        <v>1</v>
      </c>
      <c r="J31" s="3">
        <v>1</v>
      </c>
      <c r="K31" s="3">
        <v>0</v>
      </c>
      <c r="L31" s="3">
        <v>0</v>
      </c>
      <c r="M31" s="3">
        <v>0</v>
      </c>
      <c r="N31" s="3" t="s">
        <v>85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100</v>
      </c>
      <c r="X31" s="3">
        <v>42.99</v>
      </c>
      <c r="Y31" s="3">
        <v>42.99</v>
      </c>
      <c r="Z31" s="3">
        <v>34.39</v>
      </c>
      <c r="AA31" s="3">
        <v>0</v>
      </c>
      <c r="AB31" s="3" t="s">
        <v>86</v>
      </c>
      <c r="AC31" s="3">
        <v>2</v>
      </c>
      <c r="AD31" s="3">
        <v>42.99</v>
      </c>
      <c r="AE31" s="3">
        <v>0</v>
      </c>
      <c r="AF31" s="3">
        <v>0</v>
      </c>
      <c r="AG31" s="3">
        <v>0</v>
      </c>
      <c r="AH31" s="3">
        <v>0</v>
      </c>
      <c r="AI31" s="3" t="s">
        <v>135</v>
      </c>
      <c r="AJ31" s="3" t="s">
        <v>88</v>
      </c>
    </row>
    <row r="32" spans="1:36">
      <c r="A32" s="5">
        <v>43288</v>
      </c>
      <c r="B32" s="3" t="s">
        <v>225</v>
      </c>
      <c r="C32" s="3" t="s">
        <v>226</v>
      </c>
      <c r="D32" s="3" t="s">
        <v>227</v>
      </c>
      <c r="E32" s="3" t="s">
        <v>228</v>
      </c>
      <c r="F32" s="3" t="s">
        <v>84</v>
      </c>
      <c r="G32" s="3">
        <v>1</v>
      </c>
      <c r="H32" s="3">
        <v>0</v>
      </c>
      <c r="I32" s="3">
        <v>0</v>
      </c>
      <c r="J32" s="3">
        <v>0</v>
      </c>
      <c r="K32" s="3">
        <v>0</v>
      </c>
      <c r="L32" s="3">
        <v>1</v>
      </c>
      <c r="M32" s="3">
        <v>0</v>
      </c>
      <c r="N32" s="3" t="s">
        <v>85</v>
      </c>
      <c r="O32" s="3">
        <v>0</v>
      </c>
      <c r="P32" s="3">
        <v>0</v>
      </c>
      <c r="Q32" s="3">
        <v>1</v>
      </c>
      <c r="R32" s="3">
        <v>0.89</v>
      </c>
      <c r="S32" s="3">
        <v>0</v>
      </c>
      <c r="T32" s="3">
        <v>0</v>
      </c>
      <c r="U32" s="3">
        <v>0</v>
      </c>
      <c r="V32" s="3">
        <v>0</v>
      </c>
      <c r="W32" s="3" t="s">
        <v>93</v>
      </c>
      <c r="X32" s="3">
        <v>4.99</v>
      </c>
      <c r="Y32" s="3">
        <v>4.99</v>
      </c>
      <c r="Z32" s="3">
        <v>4.99</v>
      </c>
      <c r="AA32" s="3">
        <v>0</v>
      </c>
      <c r="AB32" s="3" t="s">
        <v>94</v>
      </c>
      <c r="AC32" s="3">
        <v>0</v>
      </c>
      <c r="AD32" s="3">
        <v>3.99</v>
      </c>
      <c r="AE32" s="3">
        <v>63</v>
      </c>
      <c r="AF32" s="3">
        <v>0</v>
      </c>
      <c r="AG32" s="3">
        <v>5.578479</v>
      </c>
      <c r="AH32" s="3">
        <v>0</v>
      </c>
      <c r="AI32" s="3" t="s">
        <v>229</v>
      </c>
      <c r="AJ32" s="3" t="s">
        <v>88</v>
      </c>
    </row>
    <row r="33" spans="1:36">
      <c r="A33" s="5">
        <v>43288</v>
      </c>
      <c r="B33" s="3" t="s">
        <v>230</v>
      </c>
      <c r="C33" s="3" t="s">
        <v>231</v>
      </c>
      <c r="D33" s="3" t="s">
        <v>232</v>
      </c>
      <c r="E33" s="3" t="s">
        <v>233</v>
      </c>
      <c r="F33" s="3" t="s">
        <v>84</v>
      </c>
      <c r="G33" s="3">
        <v>3</v>
      </c>
      <c r="H33" s="3">
        <v>0</v>
      </c>
      <c r="I33" s="3">
        <v>0</v>
      </c>
      <c r="J33" s="3">
        <v>0</v>
      </c>
      <c r="K33" s="3">
        <v>3</v>
      </c>
      <c r="L33" s="3">
        <v>0</v>
      </c>
      <c r="M33" s="3">
        <v>0</v>
      </c>
      <c r="N33" s="3" t="s">
        <v>85</v>
      </c>
      <c r="O33" s="3">
        <v>3</v>
      </c>
      <c r="P33" s="3">
        <v>5.07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1</v>
      </c>
      <c r="W33" s="3" t="s">
        <v>93</v>
      </c>
      <c r="X33" s="3">
        <v>20.9</v>
      </c>
      <c r="Y33" s="3">
        <v>20.9</v>
      </c>
      <c r="Z33" s="3">
        <v>20.9</v>
      </c>
      <c r="AA33" s="3">
        <v>0</v>
      </c>
      <c r="AB33" s="3" t="s">
        <v>94</v>
      </c>
      <c r="AC33" s="3">
        <v>0</v>
      </c>
      <c r="AD33" s="3">
        <v>18.38</v>
      </c>
      <c r="AE33" s="3">
        <v>182</v>
      </c>
      <c r="AF33" s="3">
        <v>0</v>
      </c>
      <c r="AG33" s="3">
        <v>79.543722</v>
      </c>
      <c r="AH33" s="3">
        <v>0.307692307692307</v>
      </c>
      <c r="AI33" s="3" t="s">
        <v>234</v>
      </c>
      <c r="AJ33" s="3" t="s">
        <v>88</v>
      </c>
    </row>
    <row r="34" spans="1:36">
      <c r="A34" s="5">
        <v>43288</v>
      </c>
      <c r="B34" s="3" t="s">
        <v>235</v>
      </c>
      <c r="C34" s="3" t="s">
        <v>236</v>
      </c>
      <c r="D34" s="3" t="s">
        <v>237</v>
      </c>
      <c r="E34" s="3" t="s">
        <v>238</v>
      </c>
      <c r="F34" s="3" t="s">
        <v>84</v>
      </c>
      <c r="G34" s="3">
        <v>23</v>
      </c>
      <c r="H34" s="3">
        <v>0</v>
      </c>
      <c r="I34" s="3">
        <v>0</v>
      </c>
      <c r="J34" s="3">
        <v>23</v>
      </c>
      <c r="K34" s="3">
        <v>0</v>
      </c>
      <c r="L34" s="3">
        <v>0</v>
      </c>
      <c r="M34" s="3">
        <v>0</v>
      </c>
      <c r="N34" s="3" t="s">
        <v>85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2</v>
      </c>
      <c r="U34" s="3">
        <v>4</v>
      </c>
      <c r="V34" s="3">
        <v>6</v>
      </c>
      <c r="W34" s="3" t="s">
        <v>93</v>
      </c>
      <c r="X34" s="3">
        <v>16.99</v>
      </c>
      <c r="Y34" s="3">
        <v>16.99</v>
      </c>
      <c r="Z34" s="3">
        <v>16.99</v>
      </c>
      <c r="AA34" s="3">
        <v>0</v>
      </c>
      <c r="AB34" s="3" t="s">
        <v>239</v>
      </c>
      <c r="AC34" s="3">
        <v>23</v>
      </c>
      <c r="AD34" s="3">
        <v>16.99</v>
      </c>
      <c r="AE34" s="3">
        <v>0</v>
      </c>
      <c r="AF34" s="3">
        <v>0</v>
      </c>
      <c r="AG34" s="3">
        <v>0</v>
      </c>
      <c r="AH34" s="3">
        <v>0.23076923076923</v>
      </c>
      <c r="AI34" s="3" t="s">
        <v>240</v>
      </c>
      <c r="AJ34" s="3" t="s">
        <v>88</v>
      </c>
    </row>
    <row r="35" spans="1:36">
      <c r="A35" s="5">
        <v>43288</v>
      </c>
      <c r="B35" s="3" t="s">
        <v>241</v>
      </c>
      <c r="C35" s="3" t="s">
        <v>242</v>
      </c>
      <c r="D35" s="3" t="s">
        <v>243</v>
      </c>
      <c r="E35" s="3" t="s">
        <v>244</v>
      </c>
      <c r="F35" s="3" t="s">
        <v>84</v>
      </c>
      <c r="G35" s="3">
        <v>33</v>
      </c>
      <c r="H35" s="3">
        <v>0</v>
      </c>
      <c r="I35" s="3">
        <v>1</v>
      </c>
      <c r="J35" s="3">
        <v>0</v>
      </c>
      <c r="K35" s="3">
        <v>0</v>
      </c>
      <c r="L35" s="3">
        <v>32</v>
      </c>
      <c r="M35" s="3">
        <v>0</v>
      </c>
      <c r="N35" s="3" t="s">
        <v>85</v>
      </c>
      <c r="O35" s="3">
        <v>32</v>
      </c>
      <c r="P35" s="3">
        <v>44.08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1</v>
      </c>
      <c r="W35" s="3" t="s">
        <v>100</v>
      </c>
      <c r="X35" s="3">
        <v>9.99</v>
      </c>
      <c r="Y35" s="3">
        <v>9.99</v>
      </c>
      <c r="Z35" s="3">
        <v>9.99</v>
      </c>
      <c r="AA35" s="3">
        <v>0</v>
      </c>
      <c r="AB35" s="3" t="s">
        <v>94</v>
      </c>
      <c r="AC35" s="3">
        <v>0</v>
      </c>
      <c r="AD35" s="3">
        <v>7.99</v>
      </c>
      <c r="AE35" s="3">
        <v>364</v>
      </c>
      <c r="AF35" s="3">
        <v>0</v>
      </c>
      <c r="AG35" s="3">
        <v>539.948515</v>
      </c>
      <c r="AH35" s="3">
        <v>0.0303030303030303</v>
      </c>
      <c r="AI35" s="3" t="s">
        <v>101</v>
      </c>
      <c r="AJ35" s="3" t="s">
        <v>88</v>
      </c>
    </row>
    <row r="36" spans="1:36">
      <c r="A36" s="5">
        <v>43288</v>
      </c>
      <c r="B36" s="3" t="s">
        <v>245</v>
      </c>
      <c r="C36" s="3" t="s">
        <v>246</v>
      </c>
      <c r="D36" s="3" t="s">
        <v>247</v>
      </c>
      <c r="E36" s="3" t="s">
        <v>248</v>
      </c>
      <c r="F36" s="3" t="s">
        <v>84</v>
      </c>
      <c r="G36" s="3">
        <v>28</v>
      </c>
      <c r="H36" s="3">
        <v>0</v>
      </c>
      <c r="I36" s="3">
        <v>0</v>
      </c>
      <c r="J36" s="3">
        <v>0</v>
      </c>
      <c r="K36" s="3">
        <v>0</v>
      </c>
      <c r="L36" s="3">
        <v>28</v>
      </c>
      <c r="M36" s="3">
        <v>0</v>
      </c>
      <c r="N36" s="3" t="s">
        <v>85</v>
      </c>
      <c r="O36" s="3">
        <v>28</v>
      </c>
      <c r="P36" s="3">
        <v>38.23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100</v>
      </c>
      <c r="X36" s="3">
        <v>11.6</v>
      </c>
      <c r="Y36" s="3">
        <v>11.6</v>
      </c>
      <c r="Z36" s="3">
        <v>11.6</v>
      </c>
      <c r="AA36" s="3">
        <v>0</v>
      </c>
      <c r="AB36" s="3" t="s">
        <v>94</v>
      </c>
      <c r="AC36" s="3">
        <v>4</v>
      </c>
      <c r="AD36" s="3">
        <v>10.57</v>
      </c>
      <c r="AE36" s="3">
        <v>91</v>
      </c>
      <c r="AF36" s="3">
        <v>0</v>
      </c>
      <c r="AG36" s="3">
        <v>563.774306</v>
      </c>
      <c r="AH36" s="3">
        <v>0</v>
      </c>
      <c r="AI36" s="3" t="s">
        <v>164</v>
      </c>
      <c r="AJ36" s="3" t="s">
        <v>88</v>
      </c>
    </row>
    <row r="37" spans="1:36">
      <c r="A37" s="5">
        <v>43288</v>
      </c>
      <c r="B37" s="3" t="s">
        <v>249</v>
      </c>
      <c r="C37" s="3" t="s">
        <v>250</v>
      </c>
      <c r="D37" s="3" t="s">
        <v>251</v>
      </c>
      <c r="E37" s="3" t="s">
        <v>252</v>
      </c>
      <c r="F37" s="3" t="s">
        <v>84</v>
      </c>
      <c r="G37" s="3">
        <v>27</v>
      </c>
      <c r="H37" s="3">
        <v>0</v>
      </c>
      <c r="I37" s="3">
        <v>0</v>
      </c>
      <c r="J37" s="3">
        <v>27</v>
      </c>
      <c r="K37" s="3">
        <v>0</v>
      </c>
      <c r="L37" s="3">
        <v>0</v>
      </c>
      <c r="M37" s="3">
        <v>0</v>
      </c>
      <c r="N37" s="3" t="s">
        <v>85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1</v>
      </c>
      <c r="U37" s="3">
        <v>1</v>
      </c>
      <c r="V37" s="3">
        <v>3</v>
      </c>
      <c r="W37" s="3" t="s">
        <v>93</v>
      </c>
      <c r="X37" s="3">
        <v>16.99</v>
      </c>
      <c r="Y37" s="3">
        <v>16.99</v>
      </c>
      <c r="Z37" s="3">
        <v>16.99</v>
      </c>
      <c r="AA37" s="3">
        <v>0</v>
      </c>
      <c r="AB37" s="3" t="s">
        <v>239</v>
      </c>
      <c r="AC37" s="3">
        <v>27</v>
      </c>
      <c r="AD37" s="3">
        <v>16.99</v>
      </c>
      <c r="AE37" s="3">
        <v>0</v>
      </c>
      <c r="AF37" s="3">
        <v>0</v>
      </c>
      <c r="AG37" s="3">
        <v>0</v>
      </c>
      <c r="AH37" s="3">
        <v>0.106194690265486</v>
      </c>
      <c r="AI37" s="3" t="s">
        <v>253</v>
      </c>
      <c r="AJ37" s="3" t="s">
        <v>88</v>
      </c>
    </row>
    <row r="38" spans="1:36">
      <c r="A38" s="5">
        <v>43288</v>
      </c>
      <c r="B38" s="3" t="s">
        <v>254</v>
      </c>
      <c r="C38" s="3" t="s">
        <v>255</v>
      </c>
      <c r="D38" s="3" t="s">
        <v>256</v>
      </c>
      <c r="E38" s="3" t="s">
        <v>257</v>
      </c>
      <c r="F38" s="3" t="s">
        <v>84</v>
      </c>
      <c r="G38" s="3">
        <v>27</v>
      </c>
      <c r="H38" s="3">
        <v>0</v>
      </c>
      <c r="I38" s="3">
        <v>0</v>
      </c>
      <c r="J38" s="3">
        <v>0</v>
      </c>
      <c r="K38" s="3">
        <v>0</v>
      </c>
      <c r="L38" s="3">
        <v>27</v>
      </c>
      <c r="M38" s="3">
        <v>0</v>
      </c>
      <c r="N38" s="3" t="s">
        <v>85</v>
      </c>
      <c r="O38" s="3">
        <v>27</v>
      </c>
      <c r="P38" s="3">
        <v>36.87</v>
      </c>
      <c r="Q38" s="3">
        <v>0</v>
      </c>
      <c r="R38" s="3">
        <v>0</v>
      </c>
      <c r="S38" s="3">
        <v>0</v>
      </c>
      <c r="T38" s="3">
        <v>0</v>
      </c>
      <c r="U38" s="3">
        <v>1</v>
      </c>
      <c r="V38" s="3">
        <v>1</v>
      </c>
      <c r="W38" s="3" t="s">
        <v>100</v>
      </c>
      <c r="X38" s="3">
        <v>12.99</v>
      </c>
      <c r="Y38" s="3">
        <v>12.99</v>
      </c>
      <c r="Z38" s="3">
        <v>12.99</v>
      </c>
      <c r="AA38" s="3">
        <v>0</v>
      </c>
      <c r="AB38" s="3" t="s">
        <v>94</v>
      </c>
      <c r="AC38" s="3">
        <v>11</v>
      </c>
      <c r="AD38" s="3">
        <v>10.39</v>
      </c>
      <c r="AE38" s="3">
        <v>175</v>
      </c>
      <c r="AF38" s="3">
        <v>0</v>
      </c>
      <c r="AG38" s="3">
        <v>39.001682</v>
      </c>
      <c r="AH38" s="3">
        <v>0.0363636363636363</v>
      </c>
      <c r="AI38" s="3" t="s">
        <v>164</v>
      </c>
      <c r="AJ38" s="3" t="s">
        <v>88</v>
      </c>
    </row>
    <row r="39" spans="1:36">
      <c r="A39" s="5">
        <v>43288</v>
      </c>
      <c r="B39" s="3" t="s">
        <v>258</v>
      </c>
      <c r="C39" s="3" t="s">
        <v>259</v>
      </c>
      <c r="D39" s="3" t="s">
        <v>260</v>
      </c>
      <c r="E39" s="3" t="s">
        <v>261</v>
      </c>
      <c r="F39" s="3" t="s">
        <v>84</v>
      </c>
      <c r="G39" s="3">
        <v>7</v>
      </c>
      <c r="H39" s="3">
        <v>0</v>
      </c>
      <c r="I39" s="3">
        <v>0</v>
      </c>
      <c r="J39" s="3">
        <v>7</v>
      </c>
      <c r="K39" s="3">
        <v>0</v>
      </c>
      <c r="L39" s="3">
        <v>0</v>
      </c>
      <c r="M39" s="3">
        <v>0</v>
      </c>
      <c r="N39" s="3" t="s">
        <v>85</v>
      </c>
      <c r="O39" s="3">
        <v>2</v>
      </c>
      <c r="P39" s="3">
        <v>0.16</v>
      </c>
      <c r="Q39" s="3">
        <v>0</v>
      </c>
      <c r="R39" s="3">
        <v>0</v>
      </c>
      <c r="S39" s="3">
        <v>0</v>
      </c>
      <c r="T39" s="3">
        <v>1</v>
      </c>
      <c r="U39" s="3">
        <v>2</v>
      </c>
      <c r="V39" s="3">
        <v>2</v>
      </c>
      <c r="W39" s="3"/>
      <c r="X39" s="3">
        <v>18.99</v>
      </c>
      <c r="Y39" s="3">
        <v>18.99</v>
      </c>
      <c r="Z39" s="3">
        <v>18.99</v>
      </c>
      <c r="AA39" s="3">
        <v>0</v>
      </c>
      <c r="AB39" s="3" t="s">
        <v>86</v>
      </c>
      <c r="AC39" s="3">
        <v>7</v>
      </c>
      <c r="AD39" s="3">
        <v>18.99</v>
      </c>
      <c r="AE39" s="3">
        <v>0</v>
      </c>
      <c r="AF39" s="3">
        <v>0</v>
      </c>
      <c r="AG39" s="3">
        <v>0</v>
      </c>
      <c r="AH39" s="3">
        <v>0.242424242424242</v>
      </c>
      <c r="AI39" s="3" t="s">
        <v>262</v>
      </c>
      <c r="AJ39" s="3" t="s">
        <v>88</v>
      </c>
    </row>
    <row r="40" spans="1:36">
      <c r="A40" s="5">
        <v>43288</v>
      </c>
      <c r="B40" s="3" t="s">
        <v>263</v>
      </c>
      <c r="C40" s="3" t="s">
        <v>264</v>
      </c>
      <c r="D40" s="3" t="s">
        <v>265</v>
      </c>
      <c r="E40" s="3" t="s">
        <v>266</v>
      </c>
      <c r="F40" s="3" t="s">
        <v>84</v>
      </c>
      <c r="G40" s="3">
        <v>2</v>
      </c>
      <c r="H40" s="3">
        <v>0</v>
      </c>
      <c r="I40" s="3">
        <v>0</v>
      </c>
      <c r="J40" s="3">
        <v>0</v>
      </c>
      <c r="K40" s="3">
        <v>0</v>
      </c>
      <c r="L40" s="3">
        <v>2</v>
      </c>
      <c r="M40" s="3">
        <v>0</v>
      </c>
      <c r="N40" s="3" t="s">
        <v>85</v>
      </c>
      <c r="O40" s="3">
        <v>0</v>
      </c>
      <c r="P40" s="3">
        <v>0</v>
      </c>
      <c r="Q40" s="3">
        <v>2</v>
      </c>
      <c r="R40" s="3">
        <v>1</v>
      </c>
      <c r="S40" s="3">
        <v>0</v>
      </c>
      <c r="T40" s="3">
        <v>0</v>
      </c>
      <c r="U40" s="3">
        <v>0</v>
      </c>
      <c r="V40" s="3">
        <v>0</v>
      </c>
      <c r="W40" s="3" t="s">
        <v>93</v>
      </c>
      <c r="X40" s="3">
        <v>5.63</v>
      </c>
      <c r="Y40" s="3">
        <v>5.63</v>
      </c>
      <c r="Z40" s="3">
        <v>5.63</v>
      </c>
      <c r="AA40" s="3">
        <v>0</v>
      </c>
      <c r="AB40" s="3" t="s">
        <v>86</v>
      </c>
      <c r="AC40" s="3">
        <v>2</v>
      </c>
      <c r="AD40" s="3">
        <v>5.63</v>
      </c>
      <c r="AE40" s="3">
        <v>0</v>
      </c>
      <c r="AF40" s="3">
        <v>0</v>
      </c>
      <c r="AG40" s="3">
        <v>0</v>
      </c>
      <c r="AH40" s="3">
        <v>0</v>
      </c>
      <c r="AI40" s="3" t="s">
        <v>106</v>
      </c>
      <c r="AJ40" s="3" t="s">
        <v>88</v>
      </c>
    </row>
    <row r="41" spans="1:36">
      <c r="A41" s="5">
        <v>43288</v>
      </c>
      <c r="B41" s="3" t="s">
        <v>267</v>
      </c>
      <c r="C41" s="3" t="s">
        <v>268</v>
      </c>
      <c r="D41" s="3" t="s">
        <v>269</v>
      </c>
      <c r="E41" s="3" t="s">
        <v>270</v>
      </c>
      <c r="F41" s="3" t="s">
        <v>84</v>
      </c>
      <c r="G41" s="3">
        <v>25</v>
      </c>
      <c r="H41" s="3">
        <v>0</v>
      </c>
      <c r="I41" s="3">
        <v>0</v>
      </c>
      <c r="J41" s="3">
        <v>0</v>
      </c>
      <c r="K41" s="3">
        <v>1</v>
      </c>
      <c r="L41" s="3">
        <v>24</v>
      </c>
      <c r="M41" s="3">
        <v>0</v>
      </c>
      <c r="N41" s="3" t="s">
        <v>85</v>
      </c>
      <c r="O41" s="3">
        <v>25</v>
      </c>
      <c r="P41" s="3">
        <v>21.46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93</v>
      </c>
      <c r="X41" s="3">
        <v>10.99</v>
      </c>
      <c r="Y41" s="3">
        <v>10.99</v>
      </c>
      <c r="Z41" s="3">
        <v>9.67</v>
      </c>
      <c r="AA41" s="3">
        <v>0</v>
      </c>
      <c r="AB41" s="3" t="s">
        <v>94</v>
      </c>
      <c r="AC41" s="3">
        <v>5</v>
      </c>
      <c r="AD41" s="3">
        <v>10.13</v>
      </c>
      <c r="AE41" s="3">
        <v>98</v>
      </c>
      <c r="AF41" s="3">
        <v>0</v>
      </c>
      <c r="AG41" s="3">
        <v>352.474403</v>
      </c>
      <c r="AH41" s="3">
        <v>0</v>
      </c>
      <c r="AI41" s="3" t="s">
        <v>271</v>
      </c>
      <c r="AJ41" s="3" t="s">
        <v>88</v>
      </c>
    </row>
    <row r="42" spans="1:36">
      <c r="A42" s="5">
        <v>43288</v>
      </c>
      <c r="B42" s="3" t="s">
        <v>272</v>
      </c>
      <c r="C42" s="3" t="s">
        <v>273</v>
      </c>
      <c r="D42" s="3" t="s">
        <v>274</v>
      </c>
      <c r="E42" s="3" t="s">
        <v>275</v>
      </c>
      <c r="F42" s="3" t="s">
        <v>84</v>
      </c>
      <c r="G42" s="3">
        <v>2</v>
      </c>
      <c r="H42" s="3">
        <v>0</v>
      </c>
      <c r="I42" s="3">
        <v>0</v>
      </c>
      <c r="J42" s="3">
        <v>0</v>
      </c>
      <c r="K42" s="3">
        <v>1</v>
      </c>
      <c r="L42" s="3">
        <v>1</v>
      </c>
      <c r="M42" s="3">
        <v>0</v>
      </c>
      <c r="N42" s="3" t="s">
        <v>85</v>
      </c>
      <c r="O42" s="3">
        <v>1</v>
      </c>
      <c r="P42" s="3">
        <v>0.71</v>
      </c>
      <c r="Q42" s="3">
        <v>1</v>
      </c>
      <c r="R42" s="3">
        <v>1.43</v>
      </c>
      <c r="S42" s="3">
        <v>0</v>
      </c>
      <c r="T42" s="3">
        <v>0</v>
      </c>
      <c r="U42" s="3">
        <v>0</v>
      </c>
      <c r="V42" s="3">
        <v>0</v>
      </c>
      <c r="W42" s="3" t="s">
        <v>93</v>
      </c>
      <c r="X42" s="3">
        <v>12.9</v>
      </c>
      <c r="Y42" s="3">
        <v>12.9</v>
      </c>
      <c r="Z42" s="3">
        <v>12.9</v>
      </c>
      <c r="AA42" s="3">
        <v>0</v>
      </c>
      <c r="AB42" s="3" t="s">
        <v>94</v>
      </c>
      <c r="AC42" s="3">
        <v>0</v>
      </c>
      <c r="AD42" s="3">
        <v>11.56</v>
      </c>
      <c r="AE42" s="3">
        <v>161</v>
      </c>
      <c r="AF42" s="3">
        <v>0</v>
      </c>
      <c r="AG42" s="3">
        <v>25.930516</v>
      </c>
      <c r="AH42" s="3">
        <v>0</v>
      </c>
      <c r="AI42" s="3" t="s">
        <v>276</v>
      </c>
      <c r="AJ42" s="3" t="s">
        <v>88</v>
      </c>
    </row>
    <row r="43" spans="1:36">
      <c r="A43" s="5">
        <v>43288</v>
      </c>
      <c r="B43" s="3" t="s">
        <v>277</v>
      </c>
      <c r="C43" s="3" t="s">
        <v>278</v>
      </c>
      <c r="D43" s="3" t="s">
        <v>279</v>
      </c>
      <c r="E43" s="3" t="s">
        <v>280</v>
      </c>
      <c r="F43" s="3" t="s">
        <v>84</v>
      </c>
      <c r="G43" s="3">
        <v>2</v>
      </c>
      <c r="H43" s="3">
        <v>0</v>
      </c>
      <c r="I43" s="3">
        <v>0</v>
      </c>
      <c r="J43" s="3">
        <v>0</v>
      </c>
      <c r="K43" s="3">
        <v>0</v>
      </c>
      <c r="L43" s="3">
        <v>2</v>
      </c>
      <c r="M43" s="3">
        <v>0</v>
      </c>
      <c r="N43" s="3" t="s">
        <v>85</v>
      </c>
      <c r="O43" s="3">
        <v>0</v>
      </c>
      <c r="P43" s="3">
        <v>0</v>
      </c>
      <c r="Q43" s="3">
        <v>2</v>
      </c>
      <c r="R43" s="3">
        <v>1</v>
      </c>
      <c r="S43" s="3">
        <v>0</v>
      </c>
      <c r="T43" s="3">
        <v>0</v>
      </c>
      <c r="U43" s="3">
        <v>0</v>
      </c>
      <c r="V43" s="3">
        <v>0</v>
      </c>
      <c r="W43" s="3" t="s">
        <v>93</v>
      </c>
      <c r="X43" s="3">
        <v>5.63</v>
      </c>
      <c r="Y43" s="3">
        <v>5.63</v>
      </c>
      <c r="Z43" s="3">
        <v>5.63</v>
      </c>
      <c r="AA43" s="3">
        <v>0</v>
      </c>
      <c r="AB43" s="3" t="s">
        <v>86</v>
      </c>
      <c r="AC43" s="3">
        <v>2</v>
      </c>
      <c r="AD43" s="3">
        <v>5.63</v>
      </c>
      <c r="AE43" s="3">
        <v>0</v>
      </c>
      <c r="AF43" s="3">
        <v>0</v>
      </c>
      <c r="AG43" s="3">
        <v>0</v>
      </c>
      <c r="AH43" s="3">
        <v>0</v>
      </c>
      <c r="AI43" s="3" t="s">
        <v>106</v>
      </c>
      <c r="AJ43" s="3" t="s">
        <v>88</v>
      </c>
    </row>
    <row r="44" spans="1:36">
      <c r="A44" s="5">
        <v>43288</v>
      </c>
      <c r="B44" s="3" t="s">
        <v>281</v>
      </c>
      <c r="C44" s="3" t="s">
        <v>282</v>
      </c>
      <c r="D44" s="3" t="s">
        <v>283</v>
      </c>
      <c r="E44" s="3" t="s">
        <v>284</v>
      </c>
      <c r="F44" s="3" t="s">
        <v>84</v>
      </c>
      <c r="G44" s="3">
        <v>1</v>
      </c>
      <c r="H44" s="3">
        <v>0</v>
      </c>
      <c r="I44" s="3">
        <v>0</v>
      </c>
      <c r="J44" s="3">
        <v>0</v>
      </c>
      <c r="K44" s="3">
        <v>1</v>
      </c>
      <c r="L44" s="3">
        <v>0</v>
      </c>
      <c r="M44" s="3">
        <v>0</v>
      </c>
      <c r="N44" s="3" t="s">
        <v>85</v>
      </c>
      <c r="O44" s="3">
        <v>1</v>
      </c>
      <c r="P44" s="3">
        <v>6.34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 t="s">
        <v>100</v>
      </c>
      <c r="X44" s="3">
        <v>42.99</v>
      </c>
      <c r="Y44" s="3">
        <v>42.99</v>
      </c>
      <c r="Z44" s="3">
        <v>42.99</v>
      </c>
      <c r="AA44" s="3">
        <v>0</v>
      </c>
      <c r="AB44" s="3" t="s">
        <v>94</v>
      </c>
      <c r="AC44" s="3">
        <v>0</v>
      </c>
      <c r="AD44" s="3">
        <v>38.51</v>
      </c>
      <c r="AE44" s="3">
        <v>35</v>
      </c>
      <c r="AF44" s="3">
        <v>0</v>
      </c>
      <c r="AG44" s="3">
        <v>78.662799</v>
      </c>
      <c r="AH44" s="3">
        <v>0</v>
      </c>
      <c r="AI44" s="3" t="s">
        <v>285</v>
      </c>
      <c r="AJ44" s="3" t="s">
        <v>88</v>
      </c>
    </row>
    <row r="45" spans="1:36">
      <c r="A45" s="5">
        <v>43288</v>
      </c>
      <c r="B45" s="3" t="s">
        <v>286</v>
      </c>
      <c r="C45" s="3" t="s">
        <v>287</v>
      </c>
      <c r="D45" s="3" t="s">
        <v>288</v>
      </c>
      <c r="E45" s="3" t="s">
        <v>289</v>
      </c>
      <c r="F45" s="3" t="s">
        <v>84</v>
      </c>
      <c r="G45" s="3">
        <v>3</v>
      </c>
      <c r="H45" s="3">
        <v>0</v>
      </c>
      <c r="I45" s="3">
        <v>0</v>
      </c>
      <c r="J45" s="3">
        <v>0</v>
      </c>
      <c r="K45" s="3">
        <v>0</v>
      </c>
      <c r="L45" s="3">
        <v>3</v>
      </c>
      <c r="M45" s="3">
        <v>0</v>
      </c>
      <c r="N45" s="3" t="s">
        <v>85</v>
      </c>
      <c r="O45" s="3">
        <v>1</v>
      </c>
      <c r="P45" s="3">
        <v>1.45</v>
      </c>
      <c r="Q45" s="3">
        <v>2</v>
      </c>
      <c r="R45" s="3">
        <v>5.8</v>
      </c>
      <c r="S45" s="3">
        <v>0</v>
      </c>
      <c r="T45" s="3">
        <v>0</v>
      </c>
      <c r="U45" s="3">
        <v>0</v>
      </c>
      <c r="V45" s="3">
        <v>0</v>
      </c>
      <c r="W45" s="3" t="s">
        <v>93</v>
      </c>
      <c r="X45" s="3">
        <v>12.9</v>
      </c>
      <c r="Y45" s="3">
        <v>12.9</v>
      </c>
      <c r="Z45" s="3">
        <v>12.9</v>
      </c>
      <c r="AA45" s="3">
        <v>0</v>
      </c>
      <c r="AB45" s="3" t="s">
        <v>94</v>
      </c>
      <c r="AC45" s="3">
        <v>0</v>
      </c>
      <c r="AD45" s="3">
        <v>10.32</v>
      </c>
      <c r="AE45" s="3">
        <v>63</v>
      </c>
      <c r="AF45" s="3">
        <v>0</v>
      </c>
      <c r="AG45" s="3">
        <v>55.863879</v>
      </c>
      <c r="AH45" s="3">
        <v>0</v>
      </c>
      <c r="AI45" s="3" t="s">
        <v>290</v>
      </c>
      <c r="AJ45" s="3" t="s">
        <v>88</v>
      </c>
    </row>
    <row r="46" spans="1:36">
      <c r="A46" s="5">
        <v>43288</v>
      </c>
      <c r="B46" s="3" t="s">
        <v>291</v>
      </c>
      <c r="C46" s="3" t="s">
        <v>292</v>
      </c>
      <c r="D46" s="3" t="s">
        <v>293</v>
      </c>
      <c r="E46" s="3" t="s">
        <v>294</v>
      </c>
      <c r="F46" s="3" t="s">
        <v>84</v>
      </c>
      <c r="G46" s="3">
        <v>4</v>
      </c>
      <c r="H46" s="3">
        <v>0</v>
      </c>
      <c r="I46" s="3">
        <v>1</v>
      </c>
      <c r="J46" s="3">
        <v>0</v>
      </c>
      <c r="K46" s="3">
        <v>3</v>
      </c>
      <c r="L46" s="3">
        <v>0</v>
      </c>
      <c r="M46" s="3">
        <v>0</v>
      </c>
      <c r="N46" s="3" t="s">
        <v>85</v>
      </c>
      <c r="O46" s="3">
        <v>3</v>
      </c>
      <c r="P46" s="3">
        <v>37.91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1</v>
      </c>
      <c r="W46" s="3" t="s">
        <v>100</v>
      </c>
      <c r="X46" s="3">
        <v>42.99</v>
      </c>
      <c r="Y46" s="3">
        <v>42.99</v>
      </c>
      <c r="Z46" s="3">
        <v>39.05</v>
      </c>
      <c r="AA46" s="3">
        <v>0</v>
      </c>
      <c r="AB46" s="3" t="s">
        <v>94</v>
      </c>
      <c r="AC46" s="3">
        <v>0</v>
      </c>
      <c r="AD46" s="3">
        <v>37.81</v>
      </c>
      <c r="AE46" s="3">
        <v>210</v>
      </c>
      <c r="AF46" s="3">
        <v>0</v>
      </c>
      <c r="AG46" s="3">
        <v>525.908194</v>
      </c>
      <c r="AH46" s="3">
        <v>0.25</v>
      </c>
      <c r="AI46" s="3" t="s">
        <v>295</v>
      </c>
      <c r="AJ46" s="3" t="s">
        <v>88</v>
      </c>
    </row>
    <row r="47" spans="1:36">
      <c r="A47" s="5">
        <v>43288</v>
      </c>
      <c r="B47" s="3" t="s">
        <v>296</v>
      </c>
      <c r="C47" s="3" t="s">
        <v>297</v>
      </c>
      <c r="D47" s="3" t="s">
        <v>298</v>
      </c>
      <c r="E47" s="3" t="s">
        <v>299</v>
      </c>
      <c r="F47" s="3" t="s">
        <v>84</v>
      </c>
      <c r="G47" s="3">
        <v>10</v>
      </c>
      <c r="H47" s="3">
        <v>0</v>
      </c>
      <c r="I47" s="3">
        <v>0</v>
      </c>
      <c r="J47" s="3">
        <v>10</v>
      </c>
      <c r="K47" s="3">
        <v>0</v>
      </c>
      <c r="L47" s="3">
        <v>0</v>
      </c>
      <c r="M47" s="3">
        <v>0</v>
      </c>
      <c r="N47" s="3" t="s">
        <v>85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100</v>
      </c>
      <c r="X47" s="3">
        <v>18.99</v>
      </c>
      <c r="Y47" s="3">
        <v>18.99</v>
      </c>
      <c r="Z47" s="3">
        <v>18.99</v>
      </c>
      <c r="AA47" s="3">
        <v>0</v>
      </c>
      <c r="AB47" s="3" t="s">
        <v>94</v>
      </c>
      <c r="AC47" s="3">
        <v>0</v>
      </c>
      <c r="AD47" s="3">
        <v>16.67</v>
      </c>
      <c r="AE47" s="3">
        <v>364</v>
      </c>
      <c r="AF47" s="3">
        <v>0</v>
      </c>
      <c r="AG47" s="3">
        <v>103.928239</v>
      </c>
      <c r="AH47" s="3">
        <v>0</v>
      </c>
      <c r="AI47" s="3" t="s">
        <v>262</v>
      </c>
      <c r="AJ47" s="3" t="s">
        <v>88</v>
      </c>
    </row>
    <row r="48" spans="1:36">
      <c r="A48" s="5">
        <v>43288</v>
      </c>
      <c r="B48" s="3" t="s">
        <v>300</v>
      </c>
      <c r="C48" s="3" t="s">
        <v>301</v>
      </c>
      <c r="D48" s="3" t="s">
        <v>302</v>
      </c>
      <c r="E48" s="3" t="s">
        <v>303</v>
      </c>
      <c r="F48" s="3" t="s">
        <v>84</v>
      </c>
      <c r="G48" s="3">
        <v>1</v>
      </c>
      <c r="H48" s="3">
        <v>0</v>
      </c>
      <c r="I48" s="3">
        <v>0</v>
      </c>
      <c r="J48" s="3">
        <v>0</v>
      </c>
      <c r="K48" s="3">
        <v>0</v>
      </c>
      <c r="L48" s="3">
        <v>1</v>
      </c>
      <c r="M48" s="3">
        <v>0</v>
      </c>
      <c r="N48" s="3" t="s">
        <v>85</v>
      </c>
      <c r="O48" s="3">
        <v>0</v>
      </c>
      <c r="P48" s="3">
        <v>0</v>
      </c>
      <c r="Q48" s="3">
        <v>1</v>
      </c>
      <c r="R48" s="3">
        <v>0.5</v>
      </c>
      <c r="S48" s="3">
        <v>0</v>
      </c>
      <c r="T48" s="3">
        <v>0</v>
      </c>
      <c r="U48" s="3">
        <v>0</v>
      </c>
      <c r="V48" s="3">
        <v>0</v>
      </c>
      <c r="W48" s="3" t="s">
        <v>93</v>
      </c>
      <c r="X48" s="3">
        <v>5.63</v>
      </c>
      <c r="Y48" s="3">
        <v>5.63</v>
      </c>
      <c r="Z48" s="3">
        <v>5.63</v>
      </c>
      <c r="AA48" s="3">
        <v>0</v>
      </c>
      <c r="AB48" s="3" t="s">
        <v>86</v>
      </c>
      <c r="AC48" s="3">
        <v>1</v>
      </c>
      <c r="AD48" s="3">
        <v>5.63</v>
      </c>
      <c r="AE48" s="3">
        <v>0</v>
      </c>
      <c r="AF48" s="3">
        <v>0</v>
      </c>
      <c r="AG48" s="3">
        <v>0</v>
      </c>
      <c r="AH48" s="3">
        <v>0</v>
      </c>
      <c r="AI48" s="3" t="s">
        <v>106</v>
      </c>
      <c r="AJ48" s="3" t="s">
        <v>107</v>
      </c>
    </row>
    <row r="49" spans="1:36">
      <c r="A49" s="5">
        <v>43288</v>
      </c>
      <c r="B49" s="3" t="s">
        <v>304</v>
      </c>
      <c r="C49" s="3" t="s">
        <v>305</v>
      </c>
      <c r="D49" s="3" t="s">
        <v>306</v>
      </c>
      <c r="E49" s="3" t="s">
        <v>307</v>
      </c>
      <c r="F49" s="3" t="s">
        <v>84</v>
      </c>
      <c r="G49" s="3">
        <v>4</v>
      </c>
      <c r="H49" s="3">
        <v>0</v>
      </c>
      <c r="I49" s="3">
        <v>1</v>
      </c>
      <c r="J49" s="3">
        <v>1</v>
      </c>
      <c r="K49" s="3">
        <v>2</v>
      </c>
      <c r="L49" s="3">
        <v>0</v>
      </c>
      <c r="M49" s="3">
        <v>0</v>
      </c>
      <c r="N49" s="3" t="s">
        <v>85</v>
      </c>
      <c r="O49" s="3">
        <v>2</v>
      </c>
      <c r="P49" s="3">
        <v>17.57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100</v>
      </c>
      <c r="X49" s="3">
        <v>42.99</v>
      </c>
      <c r="Y49" s="3">
        <v>42.99</v>
      </c>
      <c r="Z49" s="3">
        <v>34.39</v>
      </c>
      <c r="AA49" s="3">
        <v>0</v>
      </c>
      <c r="AB49" s="3" t="s">
        <v>94</v>
      </c>
      <c r="AC49" s="3">
        <v>1</v>
      </c>
      <c r="AD49" s="3">
        <v>39.58</v>
      </c>
      <c r="AE49" s="3">
        <v>56</v>
      </c>
      <c r="AF49" s="3">
        <v>0</v>
      </c>
      <c r="AG49" s="3">
        <v>395.458752</v>
      </c>
      <c r="AH49" s="3">
        <v>0</v>
      </c>
      <c r="AI49" s="3" t="s">
        <v>308</v>
      </c>
      <c r="AJ49" s="3" t="s">
        <v>88</v>
      </c>
    </row>
    <row r="50" spans="1:36">
      <c r="A50" s="5">
        <v>43288</v>
      </c>
      <c r="B50" s="3" t="s">
        <v>309</v>
      </c>
      <c r="C50" s="3" t="s">
        <v>310</v>
      </c>
      <c r="D50" s="3" t="s">
        <v>310</v>
      </c>
      <c r="E50" s="3" t="s">
        <v>311</v>
      </c>
      <c r="F50" s="3" t="s">
        <v>84</v>
      </c>
      <c r="G50" s="3">
        <v>7</v>
      </c>
      <c r="H50" s="3">
        <v>0</v>
      </c>
      <c r="I50" s="3">
        <v>6</v>
      </c>
      <c r="J50" s="3">
        <v>1</v>
      </c>
      <c r="K50" s="3">
        <v>0</v>
      </c>
      <c r="L50" s="3">
        <v>0</v>
      </c>
      <c r="M50" s="3">
        <v>0</v>
      </c>
      <c r="N50" s="3" t="s">
        <v>85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2</v>
      </c>
      <c r="U50" s="3">
        <v>6</v>
      </c>
      <c r="V50" s="3">
        <v>12</v>
      </c>
      <c r="W50" s="3"/>
      <c r="X50" s="3">
        <v>23.98</v>
      </c>
      <c r="Y50" s="3">
        <v>22.99</v>
      </c>
      <c r="Z50" s="3">
        <v>22.99</v>
      </c>
      <c r="AA50" s="3">
        <v>0</v>
      </c>
      <c r="AB50" s="3" t="s">
        <v>86</v>
      </c>
      <c r="AC50" s="3">
        <v>0</v>
      </c>
      <c r="AD50" s="3">
        <v>27.06</v>
      </c>
      <c r="AE50" s="3">
        <v>182</v>
      </c>
      <c r="AF50" s="3">
        <v>0</v>
      </c>
      <c r="AG50" s="3">
        <v>239.872068</v>
      </c>
      <c r="AH50" s="3">
        <v>1.23076923076923</v>
      </c>
      <c r="AI50" s="3" t="s">
        <v>111</v>
      </c>
      <c r="AJ50" s="3" t="s">
        <v>107</v>
      </c>
    </row>
    <row r="51" spans="1:36">
      <c r="A51" s="5">
        <v>43288</v>
      </c>
      <c r="B51" s="3" t="s">
        <v>312</v>
      </c>
      <c r="C51" s="3" t="s">
        <v>313</v>
      </c>
      <c r="D51" s="3" t="s">
        <v>314</v>
      </c>
      <c r="E51" s="3" t="s">
        <v>315</v>
      </c>
      <c r="F51" s="3" t="s">
        <v>84</v>
      </c>
      <c r="G51" s="3">
        <v>32</v>
      </c>
      <c r="H51" s="3">
        <v>0</v>
      </c>
      <c r="I51" s="3">
        <v>0</v>
      </c>
      <c r="J51" s="3">
        <v>1</v>
      </c>
      <c r="K51" s="3">
        <v>0</v>
      </c>
      <c r="L51" s="3">
        <v>31</v>
      </c>
      <c r="M51" s="3">
        <v>0</v>
      </c>
      <c r="N51" s="3" t="s">
        <v>85</v>
      </c>
      <c r="O51" s="3">
        <v>31</v>
      </c>
      <c r="P51" s="3">
        <v>42.71</v>
      </c>
      <c r="Q51" s="3">
        <v>0</v>
      </c>
      <c r="R51" s="3">
        <v>0</v>
      </c>
      <c r="S51" s="3">
        <v>0</v>
      </c>
      <c r="T51" s="3">
        <v>0</v>
      </c>
      <c r="U51" s="3">
        <v>1</v>
      </c>
      <c r="V51" s="3">
        <v>1</v>
      </c>
      <c r="W51" s="3" t="s">
        <v>100</v>
      </c>
      <c r="X51" s="3">
        <v>7.99</v>
      </c>
      <c r="Y51" s="3">
        <v>7.99</v>
      </c>
      <c r="Z51" s="3">
        <v>7.99</v>
      </c>
      <c r="AA51" s="3">
        <v>0</v>
      </c>
      <c r="AB51" s="3" t="s">
        <v>94</v>
      </c>
      <c r="AC51" s="3">
        <v>2</v>
      </c>
      <c r="AD51" s="3">
        <v>5.76</v>
      </c>
      <c r="AE51" s="3">
        <v>364</v>
      </c>
      <c r="AF51" s="3">
        <v>0</v>
      </c>
      <c r="AG51" s="3">
        <v>383.526922</v>
      </c>
      <c r="AH51" s="3">
        <v>0.0307692307692307</v>
      </c>
      <c r="AI51" s="3" t="s">
        <v>101</v>
      </c>
      <c r="AJ51" s="3" t="s">
        <v>88</v>
      </c>
    </row>
    <row r="52" spans="1:36">
      <c r="A52" s="5">
        <v>43288</v>
      </c>
      <c r="B52" s="3" t="s">
        <v>28</v>
      </c>
      <c r="C52" s="3" t="s">
        <v>29</v>
      </c>
      <c r="D52" s="3" t="s">
        <v>30</v>
      </c>
      <c r="E52" s="3" t="s">
        <v>31</v>
      </c>
      <c r="F52" s="3" t="s">
        <v>84</v>
      </c>
      <c r="G52" s="3">
        <v>33</v>
      </c>
      <c r="H52" s="3">
        <v>0</v>
      </c>
      <c r="I52" s="3">
        <v>3</v>
      </c>
      <c r="J52" s="3">
        <v>3</v>
      </c>
      <c r="K52" s="3">
        <v>0</v>
      </c>
      <c r="L52" s="3">
        <v>27</v>
      </c>
      <c r="M52" s="3">
        <v>0</v>
      </c>
      <c r="N52" s="3" t="s">
        <v>85</v>
      </c>
      <c r="O52" s="3">
        <v>29</v>
      </c>
      <c r="P52" s="3">
        <v>38.26</v>
      </c>
      <c r="Q52" s="3">
        <v>0</v>
      </c>
      <c r="R52" s="3">
        <v>0</v>
      </c>
      <c r="S52" s="3">
        <v>0</v>
      </c>
      <c r="T52" s="3">
        <v>3</v>
      </c>
      <c r="U52" s="3">
        <v>8</v>
      </c>
      <c r="V52" s="3">
        <v>13</v>
      </c>
      <c r="W52" s="3"/>
      <c r="X52" s="3">
        <v>9.99</v>
      </c>
      <c r="Y52" s="3">
        <v>9.99</v>
      </c>
      <c r="Z52" s="3">
        <v>9.99</v>
      </c>
      <c r="AA52" s="3">
        <v>0</v>
      </c>
      <c r="AB52" s="3" t="s">
        <v>94</v>
      </c>
      <c r="AC52" s="3">
        <v>0</v>
      </c>
      <c r="AD52" s="3">
        <v>8.41</v>
      </c>
      <c r="AE52" s="3">
        <v>112</v>
      </c>
      <c r="AF52" s="3">
        <v>0</v>
      </c>
      <c r="AG52" s="3">
        <v>41.698653</v>
      </c>
      <c r="AH52" s="3">
        <v>0.339869281045751</v>
      </c>
      <c r="AI52" s="3" t="s">
        <v>194</v>
      </c>
      <c r="AJ52" s="3" t="s">
        <v>88</v>
      </c>
    </row>
    <row r="53" spans="1:36">
      <c r="A53" s="5">
        <v>43288</v>
      </c>
      <c r="B53" s="3" t="s">
        <v>316</v>
      </c>
      <c r="C53" s="3" t="s">
        <v>317</v>
      </c>
      <c r="D53" s="3" t="s">
        <v>318</v>
      </c>
      <c r="E53" s="3" t="s">
        <v>319</v>
      </c>
      <c r="F53" s="3" t="s">
        <v>84</v>
      </c>
      <c r="G53" s="3">
        <v>1</v>
      </c>
      <c r="H53" s="3">
        <v>0</v>
      </c>
      <c r="I53" s="3">
        <v>0</v>
      </c>
      <c r="J53" s="3">
        <v>0</v>
      </c>
      <c r="K53" s="3">
        <v>0</v>
      </c>
      <c r="L53" s="3">
        <v>1</v>
      </c>
      <c r="M53" s="3">
        <v>0</v>
      </c>
      <c r="N53" s="3" t="s">
        <v>85</v>
      </c>
      <c r="O53" s="3">
        <v>0</v>
      </c>
      <c r="P53" s="3">
        <v>0</v>
      </c>
      <c r="Q53" s="3">
        <v>1</v>
      </c>
      <c r="R53" s="3">
        <v>2.46</v>
      </c>
      <c r="S53" s="3">
        <v>0</v>
      </c>
      <c r="T53" s="3">
        <v>0</v>
      </c>
      <c r="U53" s="3">
        <v>0</v>
      </c>
      <c r="V53" s="3">
        <v>0</v>
      </c>
      <c r="W53" s="3" t="s">
        <v>93</v>
      </c>
      <c r="X53" s="3">
        <v>16.9</v>
      </c>
      <c r="Y53" s="3">
        <v>16.9</v>
      </c>
      <c r="Z53" s="3">
        <v>16.9</v>
      </c>
      <c r="AA53" s="3">
        <v>0</v>
      </c>
      <c r="AB53" s="3" t="s">
        <v>94</v>
      </c>
      <c r="AC53" s="3">
        <v>0</v>
      </c>
      <c r="AD53" s="3">
        <v>13.52</v>
      </c>
      <c r="AE53" s="3">
        <v>63</v>
      </c>
      <c r="AF53" s="3">
        <v>0</v>
      </c>
      <c r="AG53" s="3">
        <v>15.881804</v>
      </c>
      <c r="AH53" s="3">
        <v>0</v>
      </c>
      <c r="AI53" s="3" t="s">
        <v>121</v>
      </c>
      <c r="AJ53" s="3" t="s">
        <v>88</v>
      </c>
    </row>
    <row r="54" spans="1:36">
      <c r="A54" s="5">
        <v>43288</v>
      </c>
      <c r="B54" s="3" t="s">
        <v>320</v>
      </c>
      <c r="C54" s="3" t="s">
        <v>321</v>
      </c>
      <c r="D54" s="3" t="s">
        <v>322</v>
      </c>
      <c r="E54" s="3" t="s">
        <v>323</v>
      </c>
      <c r="F54" s="3" t="s">
        <v>84</v>
      </c>
      <c r="G54" s="3">
        <v>2</v>
      </c>
      <c r="H54" s="3">
        <v>0</v>
      </c>
      <c r="I54" s="3">
        <v>0</v>
      </c>
      <c r="J54" s="3">
        <v>0</v>
      </c>
      <c r="K54" s="3">
        <v>1</v>
      </c>
      <c r="L54" s="3">
        <v>1</v>
      </c>
      <c r="M54" s="3">
        <v>0</v>
      </c>
      <c r="N54" s="3" t="s">
        <v>85</v>
      </c>
      <c r="O54" s="3">
        <v>1</v>
      </c>
      <c r="P54" s="3">
        <v>0.71</v>
      </c>
      <c r="Q54" s="3">
        <v>1</v>
      </c>
      <c r="R54" s="3">
        <v>1.43</v>
      </c>
      <c r="S54" s="3">
        <v>0</v>
      </c>
      <c r="T54" s="3">
        <v>0</v>
      </c>
      <c r="U54" s="3">
        <v>0</v>
      </c>
      <c r="V54" s="3">
        <v>0</v>
      </c>
      <c r="W54" s="3" t="s">
        <v>93</v>
      </c>
      <c r="X54" s="3">
        <v>12.9</v>
      </c>
      <c r="Y54" s="3">
        <v>12.9</v>
      </c>
      <c r="Z54" s="3">
        <v>12.9</v>
      </c>
      <c r="AA54" s="3">
        <v>0</v>
      </c>
      <c r="AB54" s="3" t="s">
        <v>94</v>
      </c>
      <c r="AC54" s="3">
        <v>0</v>
      </c>
      <c r="AD54" s="3">
        <v>11.57</v>
      </c>
      <c r="AE54" s="3">
        <v>161</v>
      </c>
      <c r="AF54" s="3">
        <v>0</v>
      </c>
      <c r="AG54" s="3">
        <v>25.95729</v>
      </c>
      <c r="AH54" s="3">
        <v>0</v>
      </c>
      <c r="AI54" s="3" t="s">
        <v>276</v>
      </c>
      <c r="AJ54" s="3" t="s">
        <v>88</v>
      </c>
    </row>
    <row r="55" spans="1:36">
      <c r="A55" s="5">
        <v>43288</v>
      </c>
      <c r="B55" s="3" t="s">
        <v>324</v>
      </c>
      <c r="C55" s="3" t="s">
        <v>325</v>
      </c>
      <c r="D55" s="3" t="s">
        <v>326</v>
      </c>
      <c r="E55" s="3" t="s">
        <v>327</v>
      </c>
      <c r="F55" s="3" t="s">
        <v>84</v>
      </c>
      <c r="G55" s="3">
        <v>44</v>
      </c>
      <c r="H55" s="3">
        <v>0</v>
      </c>
      <c r="I55" s="3">
        <v>1</v>
      </c>
      <c r="J55" s="3">
        <v>0</v>
      </c>
      <c r="K55" s="3">
        <v>0</v>
      </c>
      <c r="L55" s="3">
        <v>43</v>
      </c>
      <c r="M55" s="3">
        <v>0</v>
      </c>
      <c r="N55" s="3" t="s">
        <v>85</v>
      </c>
      <c r="O55" s="3">
        <v>43</v>
      </c>
      <c r="P55" s="3">
        <v>60.25</v>
      </c>
      <c r="Q55" s="3">
        <v>0</v>
      </c>
      <c r="R55" s="3">
        <v>0</v>
      </c>
      <c r="S55" s="3">
        <v>0</v>
      </c>
      <c r="T55" s="3">
        <v>0</v>
      </c>
      <c r="U55" s="3">
        <v>1</v>
      </c>
      <c r="V55" s="3">
        <v>1</v>
      </c>
      <c r="W55" s="3" t="s">
        <v>93</v>
      </c>
      <c r="X55" s="3">
        <v>7.65</v>
      </c>
      <c r="Y55" s="3">
        <v>7.65</v>
      </c>
      <c r="Z55" s="3">
        <v>7.65</v>
      </c>
      <c r="AA55" s="3">
        <v>0</v>
      </c>
      <c r="AB55" s="3" t="s">
        <v>239</v>
      </c>
      <c r="AC55" s="3">
        <v>1</v>
      </c>
      <c r="AD55" s="3">
        <v>6.12</v>
      </c>
      <c r="AE55" s="3">
        <v>231</v>
      </c>
      <c r="AF55" s="3">
        <v>0</v>
      </c>
      <c r="AG55" s="3">
        <v>740.823966</v>
      </c>
      <c r="AH55" s="3">
        <v>0.0225988700564971</v>
      </c>
      <c r="AI55" s="3" t="s">
        <v>328</v>
      </c>
      <c r="AJ55" s="3" t="s">
        <v>88</v>
      </c>
    </row>
    <row r="56" spans="1:36">
      <c r="A56" s="5">
        <v>43288</v>
      </c>
      <c r="B56" s="3" t="s">
        <v>329</v>
      </c>
      <c r="C56" s="3" t="s">
        <v>330</v>
      </c>
      <c r="D56" s="3" t="s">
        <v>331</v>
      </c>
      <c r="E56" s="3" t="s">
        <v>332</v>
      </c>
      <c r="F56" s="3" t="s">
        <v>84</v>
      </c>
      <c r="G56" s="3">
        <v>26</v>
      </c>
      <c r="H56" s="3">
        <v>0</v>
      </c>
      <c r="I56" s="3">
        <v>0</v>
      </c>
      <c r="J56" s="3">
        <v>0</v>
      </c>
      <c r="K56" s="3">
        <v>0</v>
      </c>
      <c r="L56" s="3">
        <v>26</v>
      </c>
      <c r="M56" s="3">
        <v>0</v>
      </c>
      <c r="N56" s="3" t="s">
        <v>85</v>
      </c>
      <c r="O56" s="3">
        <v>26</v>
      </c>
      <c r="P56" s="3">
        <v>35.5</v>
      </c>
      <c r="Q56" s="3">
        <v>0</v>
      </c>
      <c r="R56" s="3">
        <v>0</v>
      </c>
      <c r="S56" s="3">
        <v>0</v>
      </c>
      <c r="T56" s="3">
        <v>0</v>
      </c>
      <c r="U56" s="3">
        <v>1</v>
      </c>
      <c r="V56" s="3">
        <v>1</v>
      </c>
      <c r="W56" s="3" t="s">
        <v>100</v>
      </c>
      <c r="X56" s="3">
        <v>9.58</v>
      </c>
      <c r="Y56" s="3">
        <v>9.58</v>
      </c>
      <c r="Z56" s="3">
        <v>9.58</v>
      </c>
      <c r="AA56" s="3">
        <v>0</v>
      </c>
      <c r="AB56" s="3" t="s">
        <v>94</v>
      </c>
      <c r="AC56" s="3">
        <v>1</v>
      </c>
      <c r="AD56" s="3">
        <v>7.66</v>
      </c>
      <c r="AE56" s="3">
        <v>364</v>
      </c>
      <c r="AF56" s="3">
        <v>0</v>
      </c>
      <c r="AG56" s="3">
        <v>290.21219</v>
      </c>
      <c r="AH56" s="3">
        <v>0.0377358490566037</v>
      </c>
      <c r="AI56" s="3" t="s">
        <v>164</v>
      </c>
      <c r="AJ56" s="3" t="s">
        <v>88</v>
      </c>
    </row>
    <row r="57" spans="1:36">
      <c r="A57" s="5">
        <v>43288</v>
      </c>
      <c r="B57" s="3" t="s">
        <v>333</v>
      </c>
      <c r="C57" s="3" t="s">
        <v>334</v>
      </c>
      <c r="D57" s="3" t="s">
        <v>335</v>
      </c>
      <c r="E57" s="3" t="s">
        <v>336</v>
      </c>
      <c r="F57" s="3" t="s">
        <v>84</v>
      </c>
      <c r="G57" s="3">
        <v>28</v>
      </c>
      <c r="H57" s="3">
        <v>0</v>
      </c>
      <c r="I57" s="3">
        <v>0</v>
      </c>
      <c r="J57" s="3">
        <v>0</v>
      </c>
      <c r="K57" s="3">
        <v>0</v>
      </c>
      <c r="L57" s="3">
        <v>28</v>
      </c>
      <c r="M57" s="3">
        <v>0</v>
      </c>
      <c r="N57" s="3" t="s">
        <v>85</v>
      </c>
      <c r="O57" s="3">
        <v>28</v>
      </c>
      <c r="P57" s="3">
        <v>38.23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100</v>
      </c>
      <c r="X57" s="3">
        <v>12.99</v>
      </c>
      <c r="Y57" s="3">
        <v>12.99</v>
      </c>
      <c r="Z57" s="3">
        <v>12.99</v>
      </c>
      <c r="AA57" s="3">
        <v>0</v>
      </c>
      <c r="AB57" s="3" t="s">
        <v>94</v>
      </c>
      <c r="AC57" s="3">
        <v>4</v>
      </c>
      <c r="AD57" s="3">
        <v>11.81</v>
      </c>
      <c r="AE57" s="3">
        <v>98</v>
      </c>
      <c r="AF57" s="3">
        <v>0</v>
      </c>
      <c r="AG57" s="3">
        <v>588.114542</v>
      </c>
      <c r="AH57" s="3">
        <v>0</v>
      </c>
      <c r="AI57" s="3" t="s">
        <v>164</v>
      </c>
      <c r="AJ57" s="3" t="s">
        <v>88</v>
      </c>
    </row>
    <row r="58" spans="1:36">
      <c r="A58" s="5">
        <v>43288</v>
      </c>
      <c r="B58" s="3" t="s">
        <v>337</v>
      </c>
      <c r="C58" s="3" t="s">
        <v>338</v>
      </c>
      <c r="D58" s="3" t="s">
        <v>339</v>
      </c>
      <c r="E58" s="3" t="s">
        <v>340</v>
      </c>
      <c r="F58" s="3" t="s">
        <v>84</v>
      </c>
      <c r="G58" s="3">
        <v>1</v>
      </c>
      <c r="H58" s="3">
        <v>0</v>
      </c>
      <c r="I58" s="3">
        <v>0</v>
      </c>
      <c r="J58" s="3">
        <v>0</v>
      </c>
      <c r="K58" s="3">
        <v>0</v>
      </c>
      <c r="L58" s="3">
        <v>1</v>
      </c>
      <c r="M58" s="3">
        <v>0</v>
      </c>
      <c r="N58" s="3" t="s">
        <v>85</v>
      </c>
      <c r="O58" s="3">
        <v>0</v>
      </c>
      <c r="P58" s="3">
        <v>0</v>
      </c>
      <c r="Q58" s="3">
        <v>1</v>
      </c>
      <c r="R58" s="3">
        <v>0.5</v>
      </c>
      <c r="S58" s="3">
        <v>0</v>
      </c>
      <c r="T58" s="3">
        <v>0</v>
      </c>
      <c r="U58" s="3">
        <v>0</v>
      </c>
      <c r="V58" s="3">
        <v>0</v>
      </c>
      <c r="W58" s="3" t="s">
        <v>93</v>
      </c>
      <c r="X58" s="3">
        <v>6.27</v>
      </c>
      <c r="Y58" s="3">
        <v>6.27</v>
      </c>
      <c r="Z58" s="3">
        <v>6.27</v>
      </c>
      <c r="AA58" s="3">
        <v>0</v>
      </c>
      <c r="AB58" s="3" t="s">
        <v>94</v>
      </c>
      <c r="AC58" s="3">
        <v>0</v>
      </c>
      <c r="AD58" s="3">
        <v>5.02</v>
      </c>
      <c r="AE58" s="3">
        <v>63</v>
      </c>
      <c r="AF58" s="3">
        <v>0</v>
      </c>
      <c r="AG58" s="3">
        <v>0.145166</v>
      </c>
      <c r="AH58" s="3">
        <v>0</v>
      </c>
      <c r="AI58" s="3" t="s">
        <v>106</v>
      </c>
      <c r="AJ58" s="3" t="s">
        <v>88</v>
      </c>
    </row>
    <row r="59" spans="1:36">
      <c r="A59" s="5">
        <v>43288</v>
      </c>
      <c r="B59" s="3" t="s">
        <v>341</v>
      </c>
      <c r="C59" s="3" t="s">
        <v>342</v>
      </c>
      <c r="D59" s="3" t="s">
        <v>343</v>
      </c>
      <c r="E59" s="3" t="s">
        <v>344</v>
      </c>
      <c r="F59" s="3" t="s">
        <v>84</v>
      </c>
      <c r="G59" s="3">
        <v>6</v>
      </c>
      <c r="H59" s="3">
        <v>0</v>
      </c>
      <c r="I59" s="3">
        <v>0</v>
      </c>
      <c r="J59" s="3">
        <v>6</v>
      </c>
      <c r="K59" s="3">
        <v>0</v>
      </c>
      <c r="L59" s="3">
        <v>0</v>
      </c>
      <c r="M59" s="3">
        <v>0</v>
      </c>
      <c r="N59" s="3" t="s">
        <v>85</v>
      </c>
      <c r="O59" s="3">
        <v>4</v>
      </c>
      <c r="P59" s="3">
        <v>35.15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 t="s">
        <v>100</v>
      </c>
      <c r="X59" s="3">
        <v>42.99</v>
      </c>
      <c r="Y59" s="3">
        <v>42.99</v>
      </c>
      <c r="Z59" s="3">
        <v>42.99</v>
      </c>
      <c r="AA59" s="3">
        <v>0</v>
      </c>
      <c r="AB59" s="3" t="s">
        <v>94</v>
      </c>
      <c r="AC59" s="3">
        <v>0</v>
      </c>
      <c r="AD59" s="3">
        <v>37.81</v>
      </c>
      <c r="AE59" s="3">
        <v>84</v>
      </c>
      <c r="AF59" s="3">
        <v>0</v>
      </c>
      <c r="AG59" s="3">
        <v>583.078015</v>
      </c>
      <c r="AH59" s="3">
        <v>0</v>
      </c>
      <c r="AI59" s="3" t="s">
        <v>308</v>
      </c>
      <c r="AJ59" s="3" t="s">
        <v>88</v>
      </c>
    </row>
    <row r="60" spans="1:36">
      <c r="A60" s="5">
        <v>43288</v>
      </c>
      <c r="B60" s="3" t="s">
        <v>345</v>
      </c>
      <c r="C60" s="3" t="s">
        <v>346</v>
      </c>
      <c r="D60" s="3" t="s">
        <v>347</v>
      </c>
      <c r="E60" s="3" t="s">
        <v>348</v>
      </c>
      <c r="F60" s="3" t="s">
        <v>84</v>
      </c>
      <c r="G60" s="3">
        <v>2</v>
      </c>
      <c r="H60" s="3">
        <v>0</v>
      </c>
      <c r="I60" s="3">
        <v>0</v>
      </c>
      <c r="J60" s="3">
        <v>0</v>
      </c>
      <c r="K60" s="3">
        <v>2</v>
      </c>
      <c r="L60" s="3">
        <v>0</v>
      </c>
      <c r="M60" s="3">
        <v>0</v>
      </c>
      <c r="N60" s="3" t="s">
        <v>85</v>
      </c>
      <c r="O60" s="3">
        <v>2</v>
      </c>
      <c r="P60" s="3">
        <v>3.38</v>
      </c>
      <c r="Q60" s="3">
        <v>0</v>
      </c>
      <c r="R60" s="3">
        <v>0</v>
      </c>
      <c r="S60" s="3">
        <v>0</v>
      </c>
      <c r="T60" s="3">
        <v>0</v>
      </c>
      <c r="U60" s="3">
        <v>2</v>
      </c>
      <c r="V60" s="3">
        <v>3</v>
      </c>
      <c r="W60" s="3" t="s">
        <v>93</v>
      </c>
      <c r="X60" s="3">
        <v>20.9</v>
      </c>
      <c r="Y60" s="3">
        <v>20.9</v>
      </c>
      <c r="Z60" s="3">
        <v>20.9</v>
      </c>
      <c r="AA60" s="3">
        <v>0</v>
      </c>
      <c r="AB60" s="3" t="s">
        <v>94</v>
      </c>
      <c r="AC60" s="3">
        <v>0</v>
      </c>
      <c r="AD60" s="3">
        <v>16.72</v>
      </c>
      <c r="AE60" s="3">
        <v>98</v>
      </c>
      <c r="AF60" s="3">
        <v>0</v>
      </c>
      <c r="AG60" s="3">
        <v>10.806966</v>
      </c>
      <c r="AH60" s="3">
        <v>0.923076923076923</v>
      </c>
      <c r="AI60" s="3" t="s">
        <v>234</v>
      </c>
      <c r="AJ60" s="3" t="s">
        <v>88</v>
      </c>
    </row>
    <row r="61" spans="1:36">
      <c r="A61" s="5">
        <v>43288</v>
      </c>
      <c r="B61" s="3" t="s">
        <v>349</v>
      </c>
      <c r="C61" s="3" t="s">
        <v>350</v>
      </c>
      <c r="D61" s="3" t="s">
        <v>351</v>
      </c>
      <c r="E61" s="3" t="s">
        <v>352</v>
      </c>
      <c r="F61" s="3" t="s">
        <v>84</v>
      </c>
      <c r="G61" s="3">
        <v>74</v>
      </c>
      <c r="H61" s="3">
        <v>0</v>
      </c>
      <c r="I61" s="3">
        <v>1</v>
      </c>
      <c r="J61" s="3">
        <v>0</v>
      </c>
      <c r="K61" s="3">
        <v>0</v>
      </c>
      <c r="L61" s="3">
        <v>73</v>
      </c>
      <c r="M61" s="3">
        <v>0</v>
      </c>
      <c r="N61" s="3" t="s">
        <v>85</v>
      </c>
      <c r="O61" s="3">
        <v>73</v>
      </c>
      <c r="P61" s="3">
        <v>102.28</v>
      </c>
      <c r="Q61" s="3">
        <v>0</v>
      </c>
      <c r="R61" s="3">
        <v>0</v>
      </c>
      <c r="S61" s="3">
        <v>0</v>
      </c>
      <c r="T61" s="3">
        <v>0</v>
      </c>
      <c r="U61" s="3">
        <v>1</v>
      </c>
      <c r="V61" s="3">
        <v>1</v>
      </c>
      <c r="W61" s="3" t="s">
        <v>93</v>
      </c>
      <c r="X61" s="3">
        <v>7.99</v>
      </c>
      <c r="Y61" s="3">
        <v>7.99</v>
      </c>
      <c r="Z61" s="3">
        <v>7.99</v>
      </c>
      <c r="AA61" s="3">
        <v>0</v>
      </c>
      <c r="AB61" s="3" t="s">
        <v>94</v>
      </c>
      <c r="AC61" s="3">
        <v>1</v>
      </c>
      <c r="AD61" s="3">
        <v>6.39</v>
      </c>
      <c r="AE61" s="3">
        <v>364</v>
      </c>
      <c r="AF61" s="3">
        <v>0</v>
      </c>
      <c r="AG61" s="3">
        <v>1233.655615</v>
      </c>
      <c r="AH61" s="3">
        <v>0.0134680134680134</v>
      </c>
      <c r="AI61" s="3" t="s">
        <v>328</v>
      </c>
      <c r="AJ61" s="3" t="s">
        <v>88</v>
      </c>
    </row>
    <row r="62" spans="1:36">
      <c r="A62" s="5">
        <v>43288</v>
      </c>
      <c r="B62" s="3" t="s">
        <v>353</v>
      </c>
      <c r="C62" s="3" t="s">
        <v>354</v>
      </c>
      <c r="D62" s="3" t="s">
        <v>355</v>
      </c>
      <c r="E62" s="3" t="s">
        <v>356</v>
      </c>
      <c r="F62" s="3" t="s">
        <v>84</v>
      </c>
      <c r="G62" s="3">
        <v>27</v>
      </c>
      <c r="H62" s="3">
        <v>0</v>
      </c>
      <c r="I62" s="3">
        <v>0</v>
      </c>
      <c r="J62" s="3">
        <v>0</v>
      </c>
      <c r="K62" s="3">
        <v>0</v>
      </c>
      <c r="L62" s="3">
        <v>27</v>
      </c>
      <c r="M62" s="3">
        <v>0</v>
      </c>
      <c r="N62" s="3" t="s">
        <v>85</v>
      </c>
      <c r="O62" s="3">
        <v>27</v>
      </c>
      <c r="P62" s="3">
        <v>36.87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100</v>
      </c>
      <c r="X62" s="3">
        <v>9.62</v>
      </c>
      <c r="Y62" s="3">
        <v>9.62</v>
      </c>
      <c r="Z62" s="3">
        <v>9.62</v>
      </c>
      <c r="AA62" s="3">
        <v>0</v>
      </c>
      <c r="AB62" s="3" t="s">
        <v>94</v>
      </c>
      <c r="AC62" s="3">
        <v>0</v>
      </c>
      <c r="AD62" s="3">
        <v>7.7</v>
      </c>
      <c r="AE62" s="3">
        <v>364</v>
      </c>
      <c r="AF62" s="3">
        <v>0</v>
      </c>
      <c r="AG62" s="3">
        <v>438.22943</v>
      </c>
      <c r="AH62" s="3">
        <v>0</v>
      </c>
      <c r="AI62" s="3" t="s">
        <v>164</v>
      </c>
      <c r="AJ62" s="3" t="s">
        <v>88</v>
      </c>
    </row>
    <row r="63" spans="1:36">
      <c r="A63" s="5">
        <v>43288</v>
      </c>
      <c r="B63" s="3" t="s">
        <v>357</v>
      </c>
      <c r="C63" s="3" t="s">
        <v>358</v>
      </c>
      <c r="D63" s="3" t="s">
        <v>359</v>
      </c>
      <c r="E63" s="3" t="s">
        <v>360</v>
      </c>
      <c r="F63" s="3" t="s">
        <v>84</v>
      </c>
      <c r="G63" s="3">
        <v>5</v>
      </c>
      <c r="H63" s="3">
        <v>0</v>
      </c>
      <c r="I63" s="3">
        <v>0</v>
      </c>
      <c r="J63" s="3">
        <v>5</v>
      </c>
      <c r="K63" s="3">
        <v>0</v>
      </c>
      <c r="L63" s="3">
        <v>0</v>
      </c>
      <c r="M63" s="3">
        <v>0</v>
      </c>
      <c r="N63" s="3" t="s">
        <v>85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93</v>
      </c>
      <c r="X63" s="3">
        <v>15.99</v>
      </c>
      <c r="Y63" s="3">
        <v>15.99</v>
      </c>
      <c r="Z63" s="3">
        <v>15.99</v>
      </c>
      <c r="AA63" s="3">
        <v>0</v>
      </c>
      <c r="AB63" s="3" t="s">
        <v>239</v>
      </c>
      <c r="AC63" s="3">
        <v>0</v>
      </c>
      <c r="AD63" s="3">
        <v>12.79</v>
      </c>
      <c r="AE63" s="3">
        <v>63</v>
      </c>
      <c r="AF63" s="3">
        <v>0</v>
      </c>
      <c r="AG63" s="3">
        <v>85.308229</v>
      </c>
      <c r="AH63" s="3">
        <v>0</v>
      </c>
      <c r="AI63" s="3" t="s">
        <v>361</v>
      </c>
      <c r="AJ63" s="3" t="s">
        <v>88</v>
      </c>
    </row>
    <row r="64" spans="1:36">
      <c r="A64" s="5">
        <v>43288</v>
      </c>
      <c r="B64" s="3" t="s">
        <v>362</v>
      </c>
      <c r="C64" s="3" t="s">
        <v>363</v>
      </c>
      <c r="D64" s="3" t="s">
        <v>364</v>
      </c>
      <c r="E64" s="3" t="s">
        <v>365</v>
      </c>
      <c r="F64" s="3" t="s">
        <v>84</v>
      </c>
      <c r="G64" s="3">
        <v>7</v>
      </c>
      <c r="H64" s="3">
        <v>0</v>
      </c>
      <c r="I64" s="3">
        <v>0</v>
      </c>
      <c r="J64" s="3">
        <v>7</v>
      </c>
      <c r="K64" s="3">
        <v>0</v>
      </c>
      <c r="L64" s="3">
        <v>0</v>
      </c>
      <c r="M64" s="3">
        <v>0</v>
      </c>
      <c r="N64" s="3" t="s">
        <v>85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1</v>
      </c>
      <c r="U64" s="3">
        <v>3</v>
      </c>
      <c r="V64" s="3">
        <v>4</v>
      </c>
      <c r="W64" s="3" t="s">
        <v>100</v>
      </c>
      <c r="X64" s="3">
        <v>18.99</v>
      </c>
      <c r="Y64" s="3">
        <v>18.99</v>
      </c>
      <c r="Z64" s="3">
        <v>18.99</v>
      </c>
      <c r="AA64" s="3">
        <v>0</v>
      </c>
      <c r="AB64" s="3" t="s">
        <v>94</v>
      </c>
      <c r="AC64" s="3">
        <v>2</v>
      </c>
      <c r="AD64" s="3">
        <v>14.06</v>
      </c>
      <c r="AE64" s="3">
        <v>112</v>
      </c>
      <c r="AF64" s="3">
        <v>0</v>
      </c>
      <c r="AG64" s="3">
        <v>7.246726</v>
      </c>
      <c r="AH64" s="3">
        <v>0.444444444444444</v>
      </c>
      <c r="AI64" s="3" t="s">
        <v>366</v>
      </c>
      <c r="AJ64" s="3" t="s">
        <v>88</v>
      </c>
    </row>
    <row r="65" spans="1:36">
      <c r="A65" s="5">
        <v>43288</v>
      </c>
      <c r="B65" s="3" t="s">
        <v>367</v>
      </c>
      <c r="C65" s="3" t="s">
        <v>368</v>
      </c>
      <c r="D65" s="3" t="s">
        <v>369</v>
      </c>
      <c r="E65" s="3" t="s">
        <v>370</v>
      </c>
      <c r="F65" s="3" t="s">
        <v>84</v>
      </c>
      <c r="G65" s="3">
        <v>1</v>
      </c>
      <c r="H65" s="3">
        <v>0</v>
      </c>
      <c r="I65" s="3">
        <v>0</v>
      </c>
      <c r="J65" s="3">
        <v>0</v>
      </c>
      <c r="K65" s="3">
        <v>0</v>
      </c>
      <c r="L65" s="3">
        <v>1</v>
      </c>
      <c r="M65" s="3">
        <v>0</v>
      </c>
      <c r="N65" s="3" t="s">
        <v>85</v>
      </c>
      <c r="O65" s="3">
        <v>1</v>
      </c>
      <c r="P65" s="3">
        <v>1.92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93</v>
      </c>
      <c r="X65" s="3">
        <v>11.9</v>
      </c>
      <c r="Y65" s="3">
        <v>11.9</v>
      </c>
      <c r="Z65" s="3">
        <v>11.9</v>
      </c>
      <c r="AA65" s="3">
        <v>0</v>
      </c>
      <c r="AB65" s="3" t="s">
        <v>94</v>
      </c>
      <c r="AC65" s="3">
        <v>0</v>
      </c>
      <c r="AD65" s="3">
        <v>9.52</v>
      </c>
      <c r="AE65" s="3">
        <v>63</v>
      </c>
      <c r="AF65" s="3">
        <v>0</v>
      </c>
      <c r="AG65" s="3">
        <v>22.61215</v>
      </c>
      <c r="AH65" s="3">
        <v>0</v>
      </c>
      <c r="AI65" s="3" t="s">
        <v>371</v>
      </c>
      <c r="AJ65" s="3" t="s">
        <v>88</v>
      </c>
    </row>
    <row r="66" spans="1:36">
      <c r="A66" s="5">
        <v>43288</v>
      </c>
      <c r="B66" s="3" t="s">
        <v>372</v>
      </c>
      <c r="C66" s="3" t="s">
        <v>373</v>
      </c>
      <c r="D66" s="3" t="s">
        <v>374</v>
      </c>
      <c r="E66" s="3" t="s">
        <v>375</v>
      </c>
      <c r="F66" s="3" t="s">
        <v>84</v>
      </c>
      <c r="G66" s="3">
        <v>25</v>
      </c>
      <c r="H66" s="3">
        <v>0</v>
      </c>
      <c r="I66" s="3">
        <v>0</v>
      </c>
      <c r="J66" s="3">
        <v>0</v>
      </c>
      <c r="K66" s="3">
        <v>0</v>
      </c>
      <c r="L66" s="3">
        <v>25</v>
      </c>
      <c r="M66" s="3">
        <v>0</v>
      </c>
      <c r="N66" s="3" t="s">
        <v>85</v>
      </c>
      <c r="O66" s="3">
        <v>25</v>
      </c>
      <c r="P66" s="3">
        <v>34.44</v>
      </c>
      <c r="Q66" s="3">
        <v>0</v>
      </c>
      <c r="R66" s="3">
        <v>0</v>
      </c>
      <c r="S66" s="3">
        <v>0</v>
      </c>
      <c r="T66" s="3">
        <v>0</v>
      </c>
      <c r="U66" s="3">
        <v>1</v>
      </c>
      <c r="V66" s="3">
        <v>1</v>
      </c>
      <c r="W66" s="3" t="s">
        <v>100</v>
      </c>
      <c r="X66" s="3">
        <v>9.99</v>
      </c>
      <c r="Y66" s="3">
        <v>9.99</v>
      </c>
      <c r="Z66" s="3">
        <v>9.99</v>
      </c>
      <c r="AA66" s="3">
        <v>0</v>
      </c>
      <c r="AB66" s="3" t="s">
        <v>94</v>
      </c>
      <c r="AC66" s="3">
        <v>2</v>
      </c>
      <c r="AD66" s="3">
        <v>8.33</v>
      </c>
      <c r="AE66" s="3">
        <v>168</v>
      </c>
      <c r="AF66" s="3">
        <v>0</v>
      </c>
      <c r="AG66" s="3">
        <v>69.562745</v>
      </c>
      <c r="AH66" s="3">
        <v>0.0392156862745098</v>
      </c>
      <c r="AI66" s="3" t="s">
        <v>101</v>
      </c>
      <c r="AJ66" s="3" t="s">
        <v>88</v>
      </c>
    </row>
    <row r="67" spans="1:36">
      <c r="A67" s="5">
        <v>43288</v>
      </c>
      <c r="B67" s="3" t="s">
        <v>376</v>
      </c>
      <c r="C67" s="3" t="s">
        <v>377</v>
      </c>
      <c r="D67" s="3" t="s">
        <v>378</v>
      </c>
      <c r="E67" s="3" t="s">
        <v>379</v>
      </c>
      <c r="F67" s="3" t="s">
        <v>84</v>
      </c>
      <c r="G67" s="3">
        <v>8</v>
      </c>
      <c r="H67" s="3">
        <v>0</v>
      </c>
      <c r="I67" s="3">
        <v>0</v>
      </c>
      <c r="J67" s="3">
        <v>0</v>
      </c>
      <c r="K67" s="3">
        <v>0</v>
      </c>
      <c r="L67" s="3">
        <v>8</v>
      </c>
      <c r="M67" s="3">
        <v>0</v>
      </c>
      <c r="N67" s="3" t="s">
        <v>85</v>
      </c>
      <c r="O67" s="3">
        <v>8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 t="s">
        <v>100</v>
      </c>
      <c r="X67" s="3">
        <v>13.9</v>
      </c>
      <c r="Y67" s="3">
        <v>13.9</v>
      </c>
      <c r="Z67" s="3">
        <v>13.9</v>
      </c>
      <c r="AA67" s="3">
        <v>0</v>
      </c>
      <c r="AB67" s="3" t="s">
        <v>94</v>
      </c>
      <c r="AC67" s="3">
        <v>0</v>
      </c>
      <c r="AD67" s="3">
        <v>11.12</v>
      </c>
      <c r="AE67" s="3">
        <v>63</v>
      </c>
      <c r="AF67" s="3">
        <v>0</v>
      </c>
      <c r="AG67" s="3">
        <v>2.574558</v>
      </c>
      <c r="AH67" s="3">
        <v>0</v>
      </c>
      <c r="AI67" s="3" t="s">
        <v>106</v>
      </c>
      <c r="AJ67" s="3" t="s">
        <v>88</v>
      </c>
    </row>
    <row r="68" spans="1:36">
      <c r="A68" s="5">
        <v>43288</v>
      </c>
      <c r="B68" s="3" t="s">
        <v>380</v>
      </c>
      <c r="C68" s="3" t="s">
        <v>381</v>
      </c>
      <c r="D68" s="3" t="s">
        <v>382</v>
      </c>
      <c r="E68" s="3" t="s">
        <v>383</v>
      </c>
      <c r="F68" s="3" t="s">
        <v>84</v>
      </c>
      <c r="G68" s="3">
        <v>2</v>
      </c>
      <c r="H68" s="3">
        <v>0</v>
      </c>
      <c r="I68" s="3">
        <v>0</v>
      </c>
      <c r="J68" s="3">
        <v>2</v>
      </c>
      <c r="K68" s="3">
        <v>0</v>
      </c>
      <c r="L68" s="3">
        <v>0</v>
      </c>
      <c r="M68" s="3">
        <v>0</v>
      </c>
      <c r="N68" s="3" t="s">
        <v>85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3</v>
      </c>
      <c r="U68" s="3">
        <v>4</v>
      </c>
      <c r="V68" s="3">
        <v>5</v>
      </c>
      <c r="W68" s="3"/>
      <c r="X68" s="3">
        <v>42.99</v>
      </c>
      <c r="Y68" s="3">
        <v>42.99</v>
      </c>
      <c r="Z68" s="3">
        <v>42.99</v>
      </c>
      <c r="AA68" s="3">
        <v>0</v>
      </c>
      <c r="AB68" s="3" t="s">
        <v>86</v>
      </c>
      <c r="AC68" s="3">
        <v>2</v>
      </c>
      <c r="AD68" s="3">
        <v>42.99</v>
      </c>
      <c r="AE68" s="3">
        <v>0</v>
      </c>
      <c r="AF68" s="3">
        <v>0</v>
      </c>
      <c r="AG68" s="3">
        <v>0</v>
      </c>
      <c r="AH68" s="3">
        <v>0.909090909090909</v>
      </c>
      <c r="AI68" s="3" t="s">
        <v>308</v>
      </c>
      <c r="AJ68" s="3" t="s">
        <v>88</v>
      </c>
    </row>
    <row r="69" spans="1:36">
      <c r="A69" s="5">
        <v>43288</v>
      </c>
      <c r="B69" s="3" t="s">
        <v>384</v>
      </c>
      <c r="C69" s="3" t="s">
        <v>385</v>
      </c>
      <c r="D69" s="3" t="s">
        <v>386</v>
      </c>
      <c r="E69" s="3" t="s">
        <v>387</v>
      </c>
      <c r="F69" s="3" t="s">
        <v>84</v>
      </c>
      <c r="G69" s="3">
        <v>29</v>
      </c>
      <c r="H69" s="3">
        <v>0</v>
      </c>
      <c r="I69" s="3">
        <v>0</v>
      </c>
      <c r="J69" s="3">
        <v>0</v>
      </c>
      <c r="K69" s="3">
        <v>0</v>
      </c>
      <c r="L69" s="3">
        <v>29</v>
      </c>
      <c r="M69" s="3">
        <v>0</v>
      </c>
      <c r="N69" s="3" t="s">
        <v>85</v>
      </c>
      <c r="O69" s="3">
        <v>29</v>
      </c>
      <c r="P69" s="3">
        <v>39.95</v>
      </c>
      <c r="Q69" s="3">
        <v>0</v>
      </c>
      <c r="R69" s="3">
        <v>0</v>
      </c>
      <c r="S69" s="3">
        <v>0</v>
      </c>
      <c r="T69" s="3">
        <v>1</v>
      </c>
      <c r="U69" s="3">
        <v>1</v>
      </c>
      <c r="V69" s="3">
        <v>1</v>
      </c>
      <c r="W69" s="3"/>
      <c r="X69" s="3">
        <v>7.99</v>
      </c>
      <c r="Y69" s="3">
        <v>7.99</v>
      </c>
      <c r="Z69" s="3">
        <v>7.99</v>
      </c>
      <c r="AA69" s="3">
        <v>0</v>
      </c>
      <c r="AB69" s="3" t="s">
        <v>94</v>
      </c>
      <c r="AC69" s="3">
        <v>3</v>
      </c>
      <c r="AD69" s="3">
        <v>7.09</v>
      </c>
      <c r="AE69" s="3">
        <v>84</v>
      </c>
      <c r="AF69" s="3">
        <v>0</v>
      </c>
      <c r="AG69" s="3">
        <v>512.092773</v>
      </c>
      <c r="AH69" s="3">
        <v>0.0336134453781512</v>
      </c>
      <c r="AI69" s="3" t="s">
        <v>101</v>
      </c>
      <c r="AJ69" s="3" t="s">
        <v>88</v>
      </c>
    </row>
    <row r="70" spans="1:36">
      <c r="A70" s="5">
        <v>43288</v>
      </c>
      <c r="B70" s="3" t="s">
        <v>388</v>
      </c>
      <c r="C70" s="3" t="s">
        <v>389</v>
      </c>
      <c r="D70" s="3" t="s">
        <v>390</v>
      </c>
      <c r="E70" s="3" t="s">
        <v>391</v>
      </c>
      <c r="F70" s="3" t="s">
        <v>84</v>
      </c>
      <c r="G70" s="3">
        <v>2</v>
      </c>
      <c r="H70" s="3">
        <v>0</v>
      </c>
      <c r="I70" s="3">
        <v>0</v>
      </c>
      <c r="J70" s="3">
        <v>0</v>
      </c>
      <c r="K70" s="3">
        <v>0</v>
      </c>
      <c r="L70" s="3">
        <v>2</v>
      </c>
      <c r="M70" s="3">
        <v>0</v>
      </c>
      <c r="N70" s="3" t="s">
        <v>85</v>
      </c>
      <c r="O70" s="3">
        <v>2</v>
      </c>
      <c r="P70" s="3">
        <v>3.2</v>
      </c>
      <c r="Q70" s="3">
        <v>0</v>
      </c>
      <c r="R70" s="3">
        <v>0</v>
      </c>
      <c r="S70" s="3">
        <v>0</v>
      </c>
      <c r="T70" s="3">
        <v>0</v>
      </c>
      <c r="U70" s="3">
        <v>2</v>
      </c>
      <c r="V70" s="3">
        <v>4</v>
      </c>
      <c r="W70" s="3" t="s">
        <v>100</v>
      </c>
      <c r="X70" s="3">
        <v>13.9</v>
      </c>
      <c r="Y70" s="3">
        <v>13.9</v>
      </c>
      <c r="Z70" s="3">
        <v>13.9</v>
      </c>
      <c r="AA70" s="3">
        <v>0</v>
      </c>
      <c r="AB70" s="3" t="s">
        <v>94</v>
      </c>
      <c r="AC70" s="3">
        <v>0</v>
      </c>
      <c r="AD70" s="3">
        <v>11.06</v>
      </c>
      <c r="AE70" s="3">
        <v>42</v>
      </c>
      <c r="AF70" s="3">
        <v>0</v>
      </c>
      <c r="AG70" s="3">
        <v>7.314571</v>
      </c>
      <c r="AH70" s="3">
        <v>1.14285714285714</v>
      </c>
      <c r="AI70" s="3" t="s">
        <v>140</v>
      </c>
      <c r="AJ70" s="3" t="s">
        <v>88</v>
      </c>
    </row>
    <row r="71" spans="1:36">
      <c r="A71" s="5">
        <v>43288</v>
      </c>
      <c r="B71" s="3" t="s">
        <v>392</v>
      </c>
      <c r="C71" s="3" t="s">
        <v>393</v>
      </c>
      <c r="D71" s="3" t="s">
        <v>394</v>
      </c>
      <c r="E71" s="3" t="s">
        <v>395</v>
      </c>
      <c r="F71" s="3" t="s">
        <v>84</v>
      </c>
      <c r="G71" s="3">
        <v>6</v>
      </c>
      <c r="H71" s="3">
        <v>0</v>
      </c>
      <c r="I71" s="3">
        <v>0</v>
      </c>
      <c r="J71" s="3">
        <v>0</v>
      </c>
      <c r="K71" s="3">
        <v>3</v>
      </c>
      <c r="L71" s="3">
        <v>3</v>
      </c>
      <c r="M71" s="3">
        <v>0</v>
      </c>
      <c r="N71" s="3" t="s">
        <v>85</v>
      </c>
      <c r="O71" s="3">
        <v>6</v>
      </c>
      <c r="P71" s="3">
        <v>5.26</v>
      </c>
      <c r="Q71" s="3">
        <v>0</v>
      </c>
      <c r="R71" s="3">
        <v>0</v>
      </c>
      <c r="S71" s="3">
        <v>1</v>
      </c>
      <c r="T71" s="3">
        <v>4</v>
      </c>
      <c r="U71" s="3">
        <v>4</v>
      </c>
      <c r="V71" s="3">
        <v>5</v>
      </c>
      <c r="W71" s="3" t="s">
        <v>100</v>
      </c>
      <c r="X71" s="3">
        <v>15.99</v>
      </c>
      <c r="Y71" s="3">
        <v>15.99</v>
      </c>
      <c r="Z71" s="3">
        <v>15.99</v>
      </c>
      <c r="AA71" s="3">
        <v>0</v>
      </c>
      <c r="AB71" s="3" t="s">
        <v>86</v>
      </c>
      <c r="AC71" s="3">
        <v>7</v>
      </c>
      <c r="AD71" s="3">
        <v>15.99</v>
      </c>
      <c r="AE71" s="3">
        <v>0</v>
      </c>
      <c r="AF71" s="3">
        <v>0</v>
      </c>
      <c r="AG71" s="3">
        <v>0</v>
      </c>
      <c r="AH71" s="3">
        <v>0.54054054054054</v>
      </c>
      <c r="AI71" s="3" t="s">
        <v>396</v>
      </c>
      <c r="AJ71" s="3" t="s">
        <v>107</v>
      </c>
    </row>
    <row r="72" spans="1:36">
      <c r="A72" s="5">
        <v>43288</v>
      </c>
      <c r="B72" s="3" t="s">
        <v>397</v>
      </c>
      <c r="C72" s="3" t="s">
        <v>398</v>
      </c>
      <c r="D72" s="3" t="s">
        <v>399</v>
      </c>
      <c r="E72" s="3" t="s">
        <v>400</v>
      </c>
      <c r="F72" s="3" t="s">
        <v>84</v>
      </c>
      <c r="G72" s="3">
        <v>1</v>
      </c>
      <c r="H72" s="3">
        <v>0</v>
      </c>
      <c r="I72" s="3">
        <v>0</v>
      </c>
      <c r="J72" s="3">
        <v>1</v>
      </c>
      <c r="K72" s="3">
        <v>0</v>
      </c>
      <c r="L72" s="3">
        <v>0</v>
      </c>
      <c r="M72" s="3">
        <v>0</v>
      </c>
      <c r="N72" s="3" t="s">
        <v>85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93</v>
      </c>
      <c r="X72" s="3">
        <v>5.36</v>
      </c>
      <c r="Y72" s="3">
        <v>5.36</v>
      </c>
      <c r="Z72" s="3">
        <v>5.36</v>
      </c>
      <c r="AA72" s="3">
        <v>0</v>
      </c>
      <c r="AB72" s="3" t="s">
        <v>239</v>
      </c>
      <c r="AC72" s="3">
        <v>1</v>
      </c>
      <c r="AD72" s="3">
        <v>5.36</v>
      </c>
      <c r="AE72" s="3">
        <v>0</v>
      </c>
      <c r="AF72" s="3">
        <v>0</v>
      </c>
      <c r="AG72" s="3">
        <v>0</v>
      </c>
      <c r="AH72" s="3">
        <v>0</v>
      </c>
      <c r="AI72" s="3" t="s">
        <v>106</v>
      </c>
      <c r="AJ72" s="3" t="s">
        <v>107</v>
      </c>
    </row>
    <row r="73" spans="1:36">
      <c r="A73" s="5">
        <v>43288</v>
      </c>
      <c r="B73" s="3" t="s">
        <v>401</v>
      </c>
      <c r="C73" s="3" t="s">
        <v>402</v>
      </c>
      <c r="D73" s="3" t="s">
        <v>403</v>
      </c>
      <c r="E73" s="3" t="s">
        <v>404</v>
      </c>
      <c r="F73" s="3" t="s">
        <v>84</v>
      </c>
      <c r="G73" s="3">
        <v>3</v>
      </c>
      <c r="H73" s="3">
        <v>0</v>
      </c>
      <c r="I73" s="3">
        <v>0</v>
      </c>
      <c r="J73" s="3">
        <v>0</v>
      </c>
      <c r="K73" s="3">
        <v>0</v>
      </c>
      <c r="L73" s="3">
        <v>3</v>
      </c>
      <c r="M73" s="3">
        <v>0</v>
      </c>
      <c r="N73" s="3" t="s">
        <v>85</v>
      </c>
      <c r="O73" s="3">
        <v>0</v>
      </c>
      <c r="P73" s="3">
        <v>0</v>
      </c>
      <c r="Q73" s="3">
        <v>3</v>
      </c>
      <c r="R73" s="3">
        <v>10.72</v>
      </c>
      <c r="S73" s="3">
        <v>0</v>
      </c>
      <c r="T73" s="3">
        <v>0</v>
      </c>
      <c r="U73" s="3">
        <v>0</v>
      </c>
      <c r="V73" s="3">
        <v>0</v>
      </c>
      <c r="W73" s="3" t="s">
        <v>93</v>
      </c>
      <c r="X73" s="3">
        <v>12.9</v>
      </c>
      <c r="Y73" s="3">
        <v>12.9</v>
      </c>
      <c r="Z73" s="3">
        <v>12.9</v>
      </c>
      <c r="AA73" s="3">
        <v>0</v>
      </c>
      <c r="AB73" s="3" t="s">
        <v>94</v>
      </c>
      <c r="AC73" s="3">
        <v>0</v>
      </c>
      <c r="AD73" s="3">
        <v>10.32</v>
      </c>
      <c r="AE73" s="3">
        <v>63</v>
      </c>
      <c r="AF73" s="3">
        <v>0</v>
      </c>
      <c r="AG73" s="3">
        <v>68.402111</v>
      </c>
      <c r="AH73" s="3">
        <v>0</v>
      </c>
      <c r="AI73" s="3" t="s">
        <v>126</v>
      </c>
      <c r="AJ73" s="3" t="s">
        <v>88</v>
      </c>
    </row>
    <row r="74" spans="1:36">
      <c r="A74" s="5">
        <v>43288</v>
      </c>
      <c r="B74" s="3" t="s">
        <v>405</v>
      </c>
      <c r="C74" s="3" t="s">
        <v>406</v>
      </c>
      <c r="D74" s="3" t="s">
        <v>407</v>
      </c>
      <c r="E74" s="3" t="s">
        <v>408</v>
      </c>
      <c r="F74" s="3" t="s">
        <v>84</v>
      </c>
      <c r="G74" s="3">
        <v>1</v>
      </c>
      <c r="H74" s="3">
        <v>0</v>
      </c>
      <c r="I74" s="3">
        <v>0</v>
      </c>
      <c r="J74" s="3">
        <v>0</v>
      </c>
      <c r="K74" s="3">
        <v>0</v>
      </c>
      <c r="L74" s="3">
        <v>1</v>
      </c>
      <c r="M74" s="3">
        <v>0</v>
      </c>
      <c r="N74" s="3" t="s">
        <v>85</v>
      </c>
      <c r="O74" s="3">
        <v>0</v>
      </c>
      <c r="P74" s="3">
        <v>0</v>
      </c>
      <c r="Q74" s="3">
        <v>1</v>
      </c>
      <c r="R74" s="3">
        <v>0.5</v>
      </c>
      <c r="S74" s="3">
        <v>0</v>
      </c>
      <c r="T74" s="3">
        <v>0</v>
      </c>
      <c r="U74" s="3">
        <v>0</v>
      </c>
      <c r="V74" s="3">
        <v>0</v>
      </c>
      <c r="W74" s="3" t="s">
        <v>93</v>
      </c>
      <c r="X74" s="3">
        <v>5.63</v>
      </c>
      <c r="Y74" s="3">
        <v>5.63</v>
      </c>
      <c r="Z74" s="3">
        <v>5.63</v>
      </c>
      <c r="AA74" s="3">
        <v>0</v>
      </c>
      <c r="AB74" s="3" t="s">
        <v>86</v>
      </c>
      <c r="AC74" s="3">
        <v>1</v>
      </c>
      <c r="AD74" s="3">
        <v>5.63</v>
      </c>
      <c r="AE74" s="3">
        <v>0</v>
      </c>
      <c r="AF74" s="3">
        <v>0</v>
      </c>
      <c r="AG74" s="3">
        <v>0</v>
      </c>
      <c r="AH74" s="3">
        <v>0</v>
      </c>
      <c r="AI74" s="3" t="s">
        <v>106</v>
      </c>
      <c r="AJ74" s="3" t="s">
        <v>88</v>
      </c>
    </row>
    <row r="75" spans="1:36">
      <c r="A75" s="5">
        <v>43288</v>
      </c>
      <c r="B75" s="3" t="s">
        <v>409</v>
      </c>
      <c r="C75" s="3" t="s">
        <v>410</v>
      </c>
      <c r="D75" s="3" t="s">
        <v>411</v>
      </c>
      <c r="E75" s="3" t="s">
        <v>412</v>
      </c>
      <c r="F75" s="3" t="s">
        <v>84</v>
      </c>
      <c r="G75" s="3">
        <v>30</v>
      </c>
      <c r="H75" s="3">
        <v>0</v>
      </c>
      <c r="I75" s="3">
        <v>0</v>
      </c>
      <c r="J75" s="3">
        <v>2</v>
      </c>
      <c r="K75" s="3">
        <v>0</v>
      </c>
      <c r="L75" s="3">
        <v>28</v>
      </c>
      <c r="M75" s="3">
        <v>0</v>
      </c>
      <c r="N75" s="3" t="s">
        <v>85</v>
      </c>
      <c r="O75" s="3">
        <v>29</v>
      </c>
      <c r="P75" s="3">
        <v>39.95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100</v>
      </c>
      <c r="X75" s="3">
        <v>7.97</v>
      </c>
      <c r="Y75" s="3">
        <v>7.97</v>
      </c>
      <c r="Z75" s="3">
        <v>7.97</v>
      </c>
      <c r="AA75" s="3">
        <v>0</v>
      </c>
      <c r="AB75" s="3" t="s">
        <v>94</v>
      </c>
      <c r="AC75" s="3">
        <v>0</v>
      </c>
      <c r="AD75" s="3">
        <v>6.81</v>
      </c>
      <c r="AE75" s="3">
        <v>364</v>
      </c>
      <c r="AF75" s="3">
        <v>0</v>
      </c>
      <c r="AG75" s="3">
        <v>487.866213</v>
      </c>
      <c r="AH75" s="3">
        <v>0</v>
      </c>
      <c r="AI75" s="3" t="s">
        <v>101</v>
      </c>
      <c r="AJ75" s="3" t="s">
        <v>88</v>
      </c>
    </row>
    <row r="76" spans="1:36">
      <c r="A76" s="5">
        <v>43288</v>
      </c>
      <c r="B76" s="3" t="s">
        <v>413</v>
      </c>
      <c r="C76" s="3" t="s">
        <v>414</v>
      </c>
      <c r="D76" s="3" t="s">
        <v>415</v>
      </c>
      <c r="E76" s="3" t="s">
        <v>416</v>
      </c>
      <c r="F76" s="3" t="s">
        <v>84</v>
      </c>
      <c r="G76" s="3">
        <v>12</v>
      </c>
      <c r="H76" s="3">
        <v>0</v>
      </c>
      <c r="I76" s="3">
        <v>0</v>
      </c>
      <c r="J76" s="3">
        <v>0</v>
      </c>
      <c r="K76" s="3">
        <v>0</v>
      </c>
      <c r="L76" s="3">
        <v>12</v>
      </c>
      <c r="M76" s="3">
        <v>0</v>
      </c>
      <c r="N76" s="3" t="s">
        <v>85</v>
      </c>
      <c r="O76" s="3">
        <v>12</v>
      </c>
      <c r="P76" s="3">
        <v>32.77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100</v>
      </c>
      <c r="X76" s="3">
        <v>13.9</v>
      </c>
      <c r="Y76" s="3">
        <v>13.9</v>
      </c>
      <c r="Z76" s="3">
        <v>13.9</v>
      </c>
      <c r="AA76" s="3">
        <v>0</v>
      </c>
      <c r="AB76" s="3" t="s">
        <v>94</v>
      </c>
      <c r="AC76" s="3">
        <v>0</v>
      </c>
      <c r="AD76" s="3">
        <v>11.12</v>
      </c>
      <c r="AE76" s="3">
        <v>63</v>
      </c>
      <c r="AF76" s="3">
        <v>0</v>
      </c>
      <c r="AG76" s="3">
        <v>384.330803</v>
      </c>
      <c r="AH76" s="3">
        <v>0</v>
      </c>
      <c r="AI76" s="3" t="s">
        <v>173</v>
      </c>
      <c r="AJ76" s="3" t="s">
        <v>88</v>
      </c>
    </row>
    <row r="77" spans="1:36">
      <c r="A77" s="5">
        <v>43288</v>
      </c>
      <c r="B77" s="3" t="s">
        <v>417</v>
      </c>
      <c r="C77" s="3" t="s">
        <v>418</v>
      </c>
      <c r="D77" s="3" t="s">
        <v>419</v>
      </c>
      <c r="E77" s="3" t="s">
        <v>420</v>
      </c>
      <c r="F77" s="3" t="s">
        <v>84</v>
      </c>
      <c r="G77" s="3">
        <v>4</v>
      </c>
      <c r="H77" s="3">
        <v>0</v>
      </c>
      <c r="I77" s="3">
        <v>0</v>
      </c>
      <c r="J77" s="3">
        <v>4</v>
      </c>
      <c r="K77" s="3">
        <v>0</v>
      </c>
      <c r="L77" s="3">
        <v>0</v>
      </c>
      <c r="M77" s="3">
        <v>0</v>
      </c>
      <c r="N77" s="3" t="s">
        <v>85</v>
      </c>
      <c r="O77" s="3">
        <v>0</v>
      </c>
      <c r="P77" s="3">
        <v>0</v>
      </c>
      <c r="Q77" s="3">
        <v>0</v>
      </c>
      <c r="R77" s="3">
        <v>0</v>
      </c>
      <c r="S77" s="3">
        <v>1</v>
      </c>
      <c r="T77" s="3">
        <v>2</v>
      </c>
      <c r="U77" s="3">
        <v>4</v>
      </c>
      <c r="V77" s="3">
        <v>6</v>
      </c>
      <c r="W77" s="3" t="s">
        <v>100</v>
      </c>
      <c r="X77" s="3">
        <v>18.99</v>
      </c>
      <c r="Y77" s="3">
        <v>18.99</v>
      </c>
      <c r="Z77" s="3">
        <v>18.99</v>
      </c>
      <c r="AA77" s="3">
        <v>0</v>
      </c>
      <c r="AB77" s="3" t="s">
        <v>94</v>
      </c>
      <c r="AC77" s="3">
        <v>2</v>
      </c>
      <c r="AD77" s="3">
        <v>14.34</v>
      </c>
      <c r="AE77" s="3">
        <v>70</v>
      </c>
      <c r="AF77" s="3">
        <v>0</v>
      </c>
      <c r="AG77" s="3">
        <v>2.099855</v>
      </c>
      <c r="AH77" s="3">
        <v>0.857142857142857</v>
      </c>
      <c r="AI77" s="3" t="s">
        <v>366</v>
      </c>
      <c r="AJ77" s="3" t="s">
        <v>88</v>
      </c>
    </row>
    <row r="78" spans="1:36">
      <c r="A78" s="5">
        <v>43288</v>
      </c>
      <c r="B78" s="3" t="s">
        <v>421</v>
      </c>
      <c r="C78" s="3" t="s">
        <v>422</v>
      </c>
      <c r="D78" s="3" t="s">
        <v>423</v>
      </c>
      <c r="E78" s="3" t="s">
        <v>424</v>
      </c>
      <c r="F78" s="3" t="s">
        <v>84</v>
      </c>
      <c r="G78" s="3">
        <v>18</v>
      </c>
      <c r="H78" s="3">
        <v>0</v>
      </c>
      <c r="I78" s="3">
        <v>18</v>
      </c>
      <c r="J78" s="3">
        <v>0</v>
      </c>
      <c r="K78" s="3">
        <v>0</v>
      </c>
      <c r="L78" s="3">
        <v>0</v>
      </c>
      <c r="M78" s="3">
        <v>0</v>
      </c>
      <c r="N78" s="3" t="s">
        <v>85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2</v>
      </c>
      <c r="V78" s="3">
        <v>2</v>
      </c>
      <c r="W78" s="3" t="s">
        <v>93</v>
      </c>
      <c r="X78" s="3">
        <v>15.99</v>
      </c>
      <c r="Y78" s="3">
        <v>15.99</v>
      </c>
      <c r="Z78" s="3">
        <v>15.99</v>
      </c>
      <c r="AA78" s="3">
        <v>0</v>
      </c>
      <c r="AB78" s="3" t="s">
        <v>239</v>
      </c>
      <c r="AC78" s="3">
        <v>11</v>
      </c>
      <c r="AD78" s="3">
        <v>12.32</v>
      </c>
      <c r="AE78" s="3">
        <v>364</v>
      </c>
      <c r="AF78" s="3">
        <v>0</v>
      </c>
      <c r="AG78" s="3">
        <v>5.050152</v>
      </c>
      <c r="AH78" s="3">
        <v>0.142857142857142</v>
      </c>
      <c r="AI78" s="3" t="s">
        <v>95</v>
      </c>
      <c r="AJ78" s="3" t="s">
        <v>88</v>
      </c>
    </row>
    <row r="79" spans="1:36">
      <c r="A79" s="5">
        <v>43288</v>
      </c>
      <c r="B79" s="3" t="s">
        <v>425</v>
      </c>
      <c r="C79" s="3" t="s">
        <v>426</v>
      </c>
      <c r="D79" s="3" t="s">
        <v>427</v>
      </c>
      <c r="E79" s="3" t="s">
        <v>428</v>
      </c>
      <c r="F79" s="3" t="s">
        <v>84</v>
      </c>
      <c r="G79" s="3">
        <v>20</v>
      </c>
      <c r="H79" s="3">
        <v>0</v>
      </c>
      <c r="I79" s="3">
        <v>20</v>
      </c>
      <c r="J79" s="3">
        <v>0</v>
      </c>
      <c r="K79" s="3">
        <v>0</v>
      </c>
      <c r="L79" s="3">
        <v>0</v>
      </c>
      <c r="M79" s="3">
        <v>0</v>
      </c>
      <c r="N79" s="3" t="s">
        <v>85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93</v>
      </c>
      <c r="X79" s="3">
        <v>16.99</v>
      </c>
      <c r="Y79" s="3">
        <v>16.99</v>
      </c>
      <c r="Z79" s="3">
        <v>16.99</v>
      </c>
      <c r="AA79" s="3">
        <v>0</v>
      </c>
      <c r="AB79" s="3" t="s">
        <v>239</v>
      </c>
      <c r="AC79" s="3">
        <v>10</v>
      </c>
      <c r="AD79" s="3">
        <v>10.01</v>
      </c>
      <c r="AE79" s="3">
        <v>364</v>
      </c>
      <c r="AF79" s="3">
        <v>0</v>
      </c>
      <c r="AG79" s="3">
        <v>14.208858</v>
      </c>
      <c r="AH79" s="3">
        <v>0</v>
      </c>
      <c r="AI79" s="3" t="s">
        <v>95</v>
      </c>
      <c r="AJ79" s="3" t="s">
        <v>88</v>
      </c>
    </row>
    <row r="80" spans="1:36">
      <c r="A80" s="5">
        <v>43288</v>
      </c>
      <c r="B80" s="3" t="s">
        <v>429</v>
      </c>
      <c r="C80" s="3" t="s">
        <v>430</v>
      </c>
      <c r="D80" s="3" t="s">
        <v>431</v>
      </c>
      <c r="E80" s="3" t="s">
        <v>432</v>
      </c>
      <c r="F80" s="3" t="s">
        <v>84</v>
      </c>
      <c r="G80" s="3">
        <v>3</v>
      </c>
      <c r="H80" s="3">
        <v>0</v>
      </c>
      <c r="I80" s="3">
        <v>0</v>
      </c>
      <c r="J80" s="3">
        <v>0</v>
      </c>
      <c r="K80" s="3">
        <v>0</v>
      </c>
      <c r="L80" s="3">
        <v>3</v>
      </c>
      <c r="M80" s="3">
        <v>0</v>
      </c>
      <c r="N80" s="3" t="s">
        <v>85</v>
      </c>
      <c r="O80" s="3">
        <v>0</v>
      </c>
      <c r="P80" s="3">
        <v>0</v>
      </c>
      <c r="Q80" s="3">
        <v>3</v>
      </c>
      <c r="R80" s="3">
        <v>1.5</v>
      </c>
      <c r="S80" s="3">
        <v>0</v>
      </c>
      <c r="T80" s="3">
        <v>0</v>
      </c>
      <c r="U80" s="3">
        <v>0</v>
      </c>
      <c r="V80" s="3">
        <v>0</v>
      </c>
      <c r="W80" s="3" t="s">
        <v>93</v>
      </c>
      <c r="X80" s="3">
        <v>12.9</v>
      </c>
      <c r="Y80" s="3">
        <v>12.9</v>
      </c>
      <c r="Z80" s="3">
        <v>12.9</v>
      </c>
      <c r="AA80" s="3">
        <v>0</v>
      </c>
      <c r="AB80" s="3" t="s">
        <v>94</v>
      </c>
      <c r="AC80" s="3">
        <v>0</v>
      </c>
      <c r="AD80" s="3">
        <v>10.32</v>
      </c>
      <c r="AE80" s="3">
        <v>63</v>
      </c>
      <c r="AF80" s="3">
        <v>0</v>
      </c>
      <c r="AG80" s="3">
        <v>0.896002</v>
      </c>
      <c r="AH80" s="3">
        <v>0</v>
      </c>
      <c r="AI80" s="3" t="s">
        <v>106</v>
      </c>
      <c r="AJ80" s="3" t="s">
        <v>88</v>
      </c>
    </row>
    <row r="81" spans="1:36">
      <c r="A81" s="5">
        <v>43288</v>
      </c>
      <c r="B81" s="3" t="s">
        <v>433</v>
      </c>
      <c r="C81" s="3" t="s">
        <v>434</v>
      </c>
      <c r="D81" s="3" t="s">
        <v>435</v>
      </c>
      <c r="E81" s="3" t="s">
        <v>436</v>
      </c>
      <c r="F81" s="3" t="s">
        <v>84</v>
      </c>
      <c r="G81" s="3">
        <v>2</v>
      </c>
      <c r="H81" s="3">
        <v>0</v>
      </c>
      <c r="I81" s="3">
        <v>0</v>
      </c>
      <c r="J81" s="3">
        <v>0</v>
      </c>
      <c r="K81" s="3">
        <v>0</v>
      </c>
      <c r="L81" s="3">
        <v>2</v>
      </c>
      <c r="M81" s="3">
        <v>0</v>
      </c>
      <c r="N81" s="3" t="s">
        <v>85</v>
      </c>
      <c r="O81" s="3">
        <v>0</v>
      </c>
      <c r="P81" s="3">
        <v>0</v>
      </c>
      <c r="Q81" s="3">
        <v>2</v>
      </c>
      <c r="R81" s="3">
        <v>1</v>
      </c>
      <c r="S81" s="3">
        <v>0</v>
      </c>
      <c r="T81" s="3">
        <v>0</v>
      </c>
      <c r="U81" s="3">
        <v>0</v>
      </c>
      <c r="V81" s="3">
        <v>0</v>
      </c>
      <c r="W81" s="3" t="s">
        <v>93</v>
      </c>
      <c r="X81" s="3">
        <v>5.63</v>
      </c>
      <c r="Y81" s="3">
        <v>5.63</v>
      </c>
      <c r="Z81" s="3">
        <v>5.63</v>
      </c>
      <c r="AA81" s="3">
        <v>0</v>
      </c>
      <c r="AB81" s="3" t="s">
        <v>86</v>
      </c>
      <c r="AC81" s="3">
        <v>2</v>
      </c>
      <c r="AD81" s="3">
        <v>5.63</v>
      </c>
      <c r="AE81" s="3">
        <v>0</v>
      </c>
      <c r="AF81" s="3">
        <v>0</v>
      </c>
      <c r="AG81" s="3">
        <v>0</v>
      </c>
      <c r="AH81" s="3">
        <v>0</v>
      </c>
      <c r="AI81" s="3" t="s">
        <v>106</v>
      </c>
      <c r="AJ81" s="3" t="s">
        <v>88</v>
      </c>
    </row>
    <row r="82" spans="1:36">
      <c r="A82" s="5">
        <v>43288</v>
      </c>
      <c r="B82" s="3" t="s">
        <v>437</v>
      </c>
      <c r="C82" s="3" t="s">
        <v>438</v>
      </c>
      <c r="D82" s="3" t="s">
        <v>439</v>
      </c>
      <c r="E82" s="3" t="s">
        <v>440</v>
      </c>
      <c r="F82" s="3" t="s">
        <v>84</v>
      </c>
      <c r="G82" s="3">
        <v>46</v>
      </c>
      <c r="H82" s="3">
        <v>0</v>
      </c>
      <c r="I82" s="3">
        <v>0</v>
      </c>
      <c r="J82" s="3">
        <v>46</v>
      </c>
      <c r="K82" s="3">
        <v>0</v>
      </c>
      <c r="L82" s="3">
        <v>0</v>
      </c>
      <c r="M82" s="3">
        <v>0</v>
      </c>
      <c r="N82" s="3" t="s">
        <v>85</v>
      </c>
      <c r="O82" s="3">
        <v>0</v>
      </c>
      <c r="P82" s="3">
        <v>0</v>
      </c>
      <c r="Q82" s="3">
        <v>0</v>
      </c>
      <c r="R82" s="3">
        <v>0</v>
      </c>
      <c r="S82" s="3">
        <v>3</v>
      </c>
      <c r="T82" s="3">
        <v>10</v>
      </c>
      <c r="U82" s="3">
        <v>14</v>
      </c>
      <c r="V82" s="3">
        <v>14</v>
      </c>
      <c r="W82" s="3" t="s">
        <v>93</v>
      </c>
      <c r="X82" s="3">
        <v>12.99</v>
      </c>
      <c r="Y82" s="3">
        <v>12.99</v>
      </c>
      <c r="Z82" s="3">
        <v>12.99</v>
      </c>
      <c r="AA82" s="3">
        <v>0</v>
      </c>
      <c r="AB82" s="3" t="s">
        <v>239</v>
      </c>
      <c r="AC82" s="3">
        <v>48</v>
      </c>
      <c r="AD82" s="3">
        <v>12.99</v>
      </c>
      <c r="AE82" s="3">
        <v>0</v>
      </c>
      <c r="AF82" s="3">
        <v>0</v>
      </c>
      <c r="AG82" s="3">
        <v>0</v>
      </c>
      <c r="AH82" s="3">
        <v>0.345679012345679</v>
      </c>
      <c r="AI82" s="3" t="s">
        <v>95</v>
      </c>
      <c r="AJ82" s="3" t="s">
        <v>88</v>
      </c>
    </row>
    <row r="83" spans="1:36">
      <c r="A83" s="5">
        <v>43288</v>
      </c>
      <c r="B83" s="3" t="s">
        <v>441</v>
      </c>
      <c r="C83" s="3" t="s">
        <v>442</v>
      </c>
      <c r="D83" s="3" t="s">
        <v>443</v>
      </c>
      <c r="E83" s="3" t="s">
        <v>444</v>
      </c>
      <c r="F83" s="3" t="s">
        <v>84</v>
      </c>
      <c r="G83" s="3">
        <v>3</v>
      </c>
      <c r="H83" s="3">
        <v>0</v>
      </c>
      <c r="I83" s="3">
        <v>0</v>
      </c>
      <c r="J83" s="3">
        <v>0</v>
      </c>
      <c r="K83" s="3">
        <v>0</v>
      </c>
      <c r="L83" s="3">
        <v>3</v>
      </c>
      <c r="M83" s="3">
        <v>0</v>
      </c>
      <c r="N83" s="3" t="s">
        <v>85</v>
      </c>
      <c r="O83" s="3">
        <v>0</v>
      </c>
      <c r="P83" s="3">
        <v>0</v>
      </c>
      <c r="Q83" s="3">
        <v>3</v>
      </c>
      <c r="R83" s="3">
        <v>1.5</v>
      </c>
      <c r="S83" s="3">
        <v>0</v>
      </c>
      <c r="T83" s="3">
        <v>0</v>
      </c>
      <c r="U83" s="3">
        <v>0</v>
      </c>
      <c r="V83" s="3">
        <v>0</v>
      </c>
      <c r="W83" s="3" t="s">
        <v>93</v>
      </c>
      <c r="X83" s="3">
        <v>12.9</v>
      </c>
      <c r="Y83" s="3">
        <v>12.9</v>
      </c>
      <c r="Z83" s="3">
        <v>12.9</v>
      </c>
      <c r="AA83" s="3">
        <v>0</v>
      </c>
      <c r="AB83" s="3" t="s">
        <v>94</v>
      </c>
      <c r="AC83" s="3">
        <v>0</v>
      </c>
      <c r="AD83" s="3">
        <v>10.32</v>
      </c>
      <c r="AE83" s="3">
        <v>63</v>
      </c>
      <c r="AF83" s="3">
        <v>0</v>
      </c>
      <c r="AG83" s="3">
        <v>0.896002</v>
      </c>
      <c r="AH83" s="3">
        <v>0</v>
      </c>
      <c r="AI83" s="3" t="s">
        <v>106</v>
      </c>
      <c r="AJ83" s="3" t="s">
        <v>88</v>
      </c>
    </row>
    <row r="84" spans="1:36">
      <c r="A84" s="5">
        <v>43288</v>
      </c>
      <c r="B84" s="3" t="s">
        <v>445</v>
      </c>
      <c r="C84" s="3" t="s">
        <v>446</v>
      </c>
      <c r="D84" s="3" t="s">
        <v>447</v>
      </c>
      <c r="E84" s="3" t="s">
        <v>448</v>
      </c>
      <c r="F84" s="3" t="s">
        <v>84</v>
      </c>
      <c r="G84" s="3">
        <v>9</v>
      </c>
      <c r="H84" s="3">
        <v>0</v>
      </c>
      <c r="I84" s="3">
        <v>0</v>
      </c>
      <c r="J84" s="3">
        <v>0</v>
      </c>
      <c r="K84" s="3">
        <v>0</v>
      </c>
      <c r="L84" s="3">
        <v>9</v>
      </c>
      <c r="M84" s="3">
        <v>0</v>
      </c>
      <c r="N84" s="3" t="s">
        <v>85</v>
      </c>
      <c r="O84" s="3">
        <v>9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100</v>
      </c>
      <c r="X84" s="3">
        <v>13.9</v>
      </c>
      <c r="Y84" s="3">
        <v>13.9</v>
      </c>
      <c r="Z84" s="3">
        <v>13.9</v>
      </c>
      <c r="AA84" s="3">
        <v>0</v>
      </c>
      <c r="AB84" s="3" t="s">
        <v>94</v>
      </c>
      <c r="AC84" s="3">
        <v>0</v>
      </c>
      <c r="AD84" s="3">
        <v>11.67</v>
      </c>
      <c r="AE84" s="3">
        <v>364</v>
      </c>
      <c r="AF84" s="3">
        <v>0</v>
      </c>
      <c r="AG84" s="3">
        <v>54.080608</v>
      </c>
      <c r="AH84" s="3">
        <v>0</v>
      </c>
      <c r="AI84" s="3" t="s">
        <v>106</v>
      </c>
      <c r="AJ84" s="3" t="s">
        <v>88</v>
      </c>
    </row>
    <row r="85" spans="1:36">
      <c r="A85" s="5">
        <v>43288</v>
      </c>
      <c r="B85" s="3" t="s">
        <v>449</v>
      </c>
      <c r="C85" s="3" t="s">
        <v>450</v>
      </c>
      <c r="D85" s="3" t="s">
        <v>451</v>
      </c>
      <c r="E85" s="3" t="s">
        <v>452</v>
      </c>
      <c r="F85" s="3" t="s">
        <v>84</v>
      </c>
      <c r="G85" s="3">
        <v>16</v>
      </c>
      <c r="H85" s="3">
        <v>0</v>
      </c>
      <c r="I85" s="3">
        <v>0</v>
      </c>
      <c r="J85" s="3">
        <v>0</v>
      </c>
      <c r="K85" s="3">
        <v>0</v>
      </c>
      <c r="L85" s="3">
        <v>16</v>
      </c>
      <c r="M85" s="3">
        <v>0</v>
      </c>
      <c r="N85" s="3" t="s">
        <v>85</v>
      </c>
      <c r="O85" s="3">
        <v>0</v>
      </c>
      <c r="P85" s="3">
        <v>0</v>
      </c>
      <c r="Q85" s="3">
        <v>16</v>
      </c>
      <c r="R85" s="3">
        <v>8</v>
      </c>
      <c r="S85" s="3">
        <v>0</v>
      </c>
      <c r="T85" s="3">
        <v>0</v>
      </c>
      <c r="U85" s="3">
        <v>0</v>
      </c>
      <c r="V85" s="3">
        <v>1</v>
      </c>
      <c r="W85" s="3" t="s">
        <v>100</v>
      </c>
      <c r="X85" s="3">
        <v>13.9</v>
      </c>
      <c r="Y85" s="3">
        <v>13.9</v>
      </c>
      <c r="Z85" s="3">
        <v>13.9</v>
      </c>
      <c r="AA85" s="3">
        <v>0</v>
      </c>
      <c r="AB85" s="3" t="s">
        <v>94</v>
      </c>
      <c r="AC85" s="3">
        <v>1</v>
      </c>
      <c r="AD85" s="3">
        <v>8.54</v>
      </c>
      <c r="AE85" s="3">
        <v>364</v>
      </c>
      <c r="AF85" s="3">
        <v>0</v>
      </c>
      <c r="AG85" s="3">
        <v>50.380221</v>
      </c>
      <c r="AH85" s="3">
        <v>0.0615384615384615</v>
      </c>
      <c r="AI85" s="3" t="s">
        <v>106</v>
      </c>
      <c r="AJ85" s="3" t="s">
        <v>88</v>
      </c>
    </row>
    <row r="86" spans="1:36">
      <c r="A86" s="5">
        <v>43288</v>
      </c>
      <c r="B86" s="3" t="s">
        <v>453</v>
      </c>
      <c r="C86" s="3" t="s">
        <v>454</v>
      </c>
      <c r="D86" s="3" t="s">
        <v>455</v>
      </c>
      <c r="E86" s="3" t="s">
        <v>456</v>
      </c>
      <c r="F86" s="3" t="s">
        <v>84</v>
      </c>
      <c r="G86" s="3">
        <v>19</v>
      </c>
      <c r="H86" s="3">
        <v>0</v>
      </c>
      <c r="I86" s="3">
        <v>0</v>
      </c>
      <c r="J86" s="3">
        <v>19</v>
      </c>
      <c r="K86" s="3">
        <v>0</v>
      </c>
      <c r="L86" s="3">
        <v>0</v>
      </c>
      <c r="M86" s="3">
        <v>0</v>
      </c>
      <c r="N86" s="3" t="s">
        <v>85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1</v>
      </c>
      <c r="U86" s="3">
        <v>1</v>
      </c>
      <c r="V86" s="3">
        <v>1</v>
      </c>
      <c r="W86" s="3" t="s">
        <v>93</v>
      </c>
      <c r="X86" s="3">
        <v>15.99</v>
      </c>
      <c r="Y86" s="3">
        <v>15.99</v>
      </c>
      <c r="Z86" s="3">
        <v>15.99</v>
      </c>
      <c r="AA86" s="3">
        <v>0</v>
      </c>
      <c r="AB86" s="3" t="s">
        <v>239</v>
      </c>
      <c r="AC86" s="3">
        <v>17</v>
      </c>
      <c r="AD86" s="3">
        <v>12.79</v>
      </c>
      <c r="AE86" s="3">
        <v>63</v>
      </c>
      <c r="AF86" s="3">
        <v>0</v>
      </c>
      <c r="AG86" s="3">
        <v>0.711331</v>
      </c>
      <c r="AH86" s="3">
        <v>0.050632911392405</v>
      </c>
      <c r="AI86" s="3" t="s">
        <v>457</v>
      </c>
      <c r="AJ86" s="3" t="s">
        <v>88</v>
      </c>
    </row>
    <row r="87" spans="1:36">
      <c r="A87" s="5">
        <v>43288</v>
      </c>
      <c r="B87" s="3" t="s">
        <v>458</v>
      </c>
      <c r="C87" s="3" t="s">
        <v>459</v>
      </c>
      <c r="D87" s="3" t="s">
        <v>460</v>
      </c>
      <c r="E87" s="3" t="s">
        <v>461</v>
      </c>
      <c r="F87" s="3" t="s">
        <v>84</v>
      </c>
      <c r="G87" s="3">
        <v>1</v>
      </c>
      <c r="H87" s="3">
        <v>0</v>
      </c>
      <c r="I87" s="3">
        <v>0</v>
      </c>
      <c r="J87" s="3">
        <v>0</v>
      </c>
      <c r="K87" s="3">
        <v>0</v>
      </c>
      <c r="L87" s="3">
        <v>1</v>
      </c>
      <c r="M87" s="3">
        <v>0</v>
      </c>
      <c r="N87" s="3" t="s">
        <v>85</v>
      </c>
      <c r="O87" s="3">
        <v>0</v>
      </c>
      <c r="P87" s="3">
        <v>0</v>
      </c>
      <c r="Q87" s="3">
        <v>1</v>
      </c>
      <c r="R87" s="3">
        <v>0.5</v>
      </c>
      <c r="S87" s="3">
        <v>0</v>
      </c>
      <c r="T87" s="3">
        <v>0</v>
      </c>
      <c r="U87" s="3">
        <v>0</v>
      </c>
      <c r="V87" s="3">
        <v>0</v>
      </c>
      <c r="W87" s="3" t="s">
        <v>93</v>
      </c>
      <c r="X87" s="3">
        <v>4.99</v>
      </c>
      <c r="Y87" s="3">
        <v>4.99</v>
      </c>
      <c r="Z87" s="3">
        <v>4.99</v>
      </c>
      <c r="AA87" s="3">
        <v>0</v>
      </c>
      <c r="AB87" s="3" t="s">
        <v>86</v>
      </c>
      <c r="AC87" s="3">
        <v>1</v>
      </c>
      <c r="AD87" s="3">
        <v>4.99</v>
      </c>
      <c r="AE87" s="3">
        <v>0</v>
      </c>
      <c r="AF87" s="3">
        <v>0</v>
      </c>
      <c r="AG87" s="3">
        <v>0</v>
      </c>
      <c r="AH87" s="3">
        <v>0</v>
      </c>
      <c r="AI87" s="3" t="s">
        <v>106</v>
      </c>
      <c r="AJ87" s="3" t="s">
        <v>88</v>
      </c>
    </row>
    <row r="88" spans="1:36">
      <c r="A88" s="5">
        <v>43288</v>
      </c>
      <c r="B88" s="3" t="s">
        <v>462</v>
      </c>
      <c r="C88" s="3" t="s">
        <v>463</v>
      </c>
      <c r="D88" s="3" t="s">
        <v>464</v>
      </c>
      <c r="E88" s="3" t="s">
        <v>465</v>
      </c>
      <c r="F88" s="3" t="s">
        <v>84</v>
      </c>
      <c r="G88" s="3">
        <v>9</v>
      </c>
      <c r="H88" s="3">
        <v>0</v>
      </c>
      <c r="I88" s="3">
        <v>0</v>
      </c>
      <c r="J88" s="3">
        <v>1</v>
      </c>
      <c r="K88" s="3">
        <v>8</v>
      </c>
      <c r="L88" s="3">
        <v>0</v>
      </c>
      <c r="M88" s="3">
        <v>0</v>
      </c>
      <c r="N88" s="3" t="s">
        <v>85</v>
      </c>
      <c r="O88" s="3">
        <v>9</v>
      </c>
      <c r="P88" s="3">
        <v>2.72</v>
      </c>
      <c r="Q88" s="3">
        <v>0</v>
      </c>
      <c r="R88" s="3">
        <v>0</v>
      </c>
      <c r="S88" s="3">
        <v>1</v>
      </c>
      <c r="T88" s="3">
        <v>1</v>
      </c>
      <c r="U88" s="3">
        <v>1</v>
      </c>
      <c r="V88" s="3">
        <v>1</v>
      </c>
      <c r="W88" s="3" t="s">
        <v>93</v>
      </c>
      <c r="X88" s="3">
        <v>8.99</v>
      </c>
      <c r="Y88" s="3">
        <v>8.99</v>
      </c>
      <c r="Z88" s="3">
        <v>8.99</v>
      </c>
      <c r="AA88" s="3">
        <v>0</v>
      </c>
      <c r="AB88" s="3" t="s">
        <v>94</v>
      </c>
      <c r="AC88" s="3">
        <v>0</v>
      </c>
      <c r="AD88" s="3">
        <v>7.19</v>
      </c>
      <c r="AE88" s="3">
        <v>63</v>
      </c>
      <c r="AF88" s="3">
        <v>0</v>
      </c>
      <c r="AG88" s="3">
        <v>37.285275</v>
      </c>
      <c r="AH88" s="3">
        <v>0.102564102564102</v>
      </c>
      <c r="AI88" s="3" t="s">
        <v>466</v>
      </c>
      <c r="AJ88" s="3" t="s">
        <v>88</v>
      </c>
    </row>
    <row r="89" spans="1:36">
      <c r="A89" s="5">
        <v>43288</v>
      </c>
      <c r="B89" s="3" t="s">
        <v>467</v>
      </c>
      <c r="C89" s="3" t="s">
        <v>468</v>
      </c>
      <c r="D89" s="3" t="s">
        <v>469</v>
      </c>
      <c r="E89" s="3" t="s">
        <v>470</v>
      </c>
      <c r="F89" s="3" t="s">
        <v>84</v>
      </c>
      <c r="G89" s="3">
        <v>1</v>
      </c>
      <c r="H89" s="3">
        <v>0</v>
      </c>
      <c r="I89" s="3">
        <v>0</v>
      </c>
      <c r="J89" s="3">
        <v>0</v>
      </c>
      <c r="K89" s="3">
        <v>0</v>
      </c>
      <c r="L89" s="3">
        <v>1</v>
      </c>
      <c r="M89" s="3">
        <v>0</v>
      </c>
      <c r="N89" s="3" t="s">
        <v>85</v>
      </c>
      <c r="O89" s="3">
        <v>0</v>
      </c>
      <c r="P89" s="3">
        <v>0</v>
      </c>
      <c r="Q89" s="3">
        <v>1</v>
      </c>
      <c r="R89" s="3">
        <v>0.5</v>
      </c>
      <c r="S89" s="3">
        <v>0</v>
      </c>
      <c r="T89" s="3">
        <v>0</v>
      </c>
      <c r="U89" s="3">
        <v>0</v>
      </c>
      <c r="V89" s="3">
        <v>0</v>
      </c>
      <c r="W89" s="3" t="s">
        <v>93</v>
      </c>
      <c r="X89" s="3">
        <v>5.36</v>
      </c>
      <c r="Y89" s="3">
        <v>5.36</v>
      </c>
      <c r="Z89" s="3">
        <v>5.36</v>
      </c>
      <c r="AA89" s="3">
        <v>0</v>
      </c>
      <c r="AB89" s="3" t="s">
        <v>86</v>
      </c>
      <c r="AC89" s="3">
        <v>1</v>
      </c>
      <c r="AD89" s="3">
        <v>5.36</v>
      </c>
      <c r="AE89" s="3">
        <v>0</v>
      </c>
      <c r="AF89" s="3">
        <v>0</v>
      </c>
      <c r="AG89" s="3">
        <v>0</v>
      </c>
      <c r="AH89" s="3">
        <v>0</v>
      </c>
      <c r="AI89" s="3" t="s">
        <v>106</v>
      </c>
      <c r="AJ89" s="3" t="s">
        <v>107</v>
      </c>
    </row>
    <row r="90" spans="1:36">
      <c r="A90" s="5">
        <v>43288</v>
      </c>
      <c r="B90" s="3" t="s">
        <v>471</v>
      </c>
      <c r="C90" s="3" t="s">
        <v>472</v>
      </c>
      <c r="D90" s="3" t="s">
        <v>473</v>
      </c>
      <c r="E90" s="3" t="s">
        <v>474</v>
      </c>
      <c r="F90" s="3" t="s">
        <v>84</v>
      </c>
      <c r="G90" s="3">
        <v>10</v>
      </c>
      <c r="H90" s="3">
        <v>0</v>
      </c>
      <c r="I90" s="3">
        <v>1</v>
      </c>
      <c r="J90" s="3">
        <v>9</v>
      </c>
      <c r="K90" s="3">
        <v>0</v>
      </c>
      <c r="L90" s="3">
        <v>0</v>
      </c>
      <c r="M90" s="3">
        <v>0</v>
      </c>
      <c r="N90" s="3" t="s">
        <v>85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3</v>
      </c>
      <c r="W90" s="3" t="s">
        <v>93</v>
      </c>
      <c r="X90" s="3">
        <v>16.99</v>
      </c>
      <c r="Y90" s="3">
        <v>16.99</v>
      </c>
      <c r="Z90" s="3">
        <v>16.99</v>
      </c>
      <c r="AA90" s="3">
        <v>0</v>
      </c>
      <c r="AB90" s="3" t="s">
        <v>239</v>
      </c>
      <c r="AC90" s="3">
        <v>0</v>
      </c>
      <c r="AD90" s="3">
        <v>15.32</v>
      </c>
      <c r="AE90" s="3">
        <v>266</v>
      </c>
      <c r="AF90" s="3">
        <v>0</v>
      </c>
      <c r="AG90" s="3">
        <v>132.388443</v>
      </c>
      <c r="AH90" s="3">
        <v>0.27906976744186</v>
      </c>
      <c r="AI90" s="3" t="s">
        <v>240</v>
      </c>
      <c r="AJ90" s="3" t="s">
        <v>88</v>
      </c>
    </row>
    <row r="91" spans="1:36">
      <c r="A91" s="5">
        <v>43288</v>
      </c>
      <c r="B91" s="3" t="s">
        <v>475</v>
      </c>
      <c r="C91" s="3" t="s">
        <v>476</v>
      </c>
      <c r="D91" s="3" t="s">
        <v>477</v>
      </c>
      <c r="E91" s="3" t="s">
        <v>478</v>
      </c>
      <c r="F91" s="3" t="s">
        <v>84</v>
      </c>
      <c r="G91" s="3">
        <v>8</v>
      </c>
      <c r="H91" s="3">
        <v>0</v>
      </c>
      <c r="I91" s="3">
        <v>0</v>
      </c>
      <c r="J91" s="3">
        <v>0</v>
      </c>
      <c r="K91" s="3">
        <v>0</v>
      </c>
      <c r="L91" s="3">
        <v>8</v>
      </c>
      <c r="M91" s="3">
        <v>0</v>
      </c>
      <c r="N91" s="3" t="s">
        <v>85</v>
      </c>
      <c r="O91" s="3">
        <v>8</v>
      </c>
      <c r="P91" s="3">
        <v>15.4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93</v>
      </c>
      <c r="X91" s="3">
        <v>11.9</v>
      </c>
      <c r="Y91" s="3">
        <v>11.9</v>
      </c>
      <c r="Z91" s="3">
        <v>11.9</v>
      </c>
      <c r="AA91" s="3">
        <v>0</v>
      </c>
      <c r="AB91" s="3" t="s">
        <v>94</v>
      </c>
      <c r="AC91" s="3">
        <v>0</v>
      </c>
      <c r="AD91" s="3">
        <v>9.52</v>
      </c>
      <c r="AE91" s="3">
        <v>63</v>
      </c>
      <c r="AF91" s="3">
        <v>0</v>
      </c>
      <c r="AG91" s="3">
        <v>180.897203</v>
      </c>
      <c r="AH91" s="3">
        <v>0</v>
      </c>
      <c r="AI91" s="3" t="s">
        <v>371</v>
      </c>
      <c r="AJ91" s="3" t="s">
        <v>88</v>
      </c>
    </row>
    <row r="92" spans="1:36">
      <c r="A92" s="5">
        <v>43288</v>
      </c>
      <c r="B92" s="3" t="s">
        <v>479</v>
      </c>
      <c r="C92" s="3" t="s">
        <v>480</v>
      </c>
      <c r="D92" s="3" t="s">
        <v>481</v>
      </c>
      <c r="E92" s="3" t="s">
        <v>482</v>
      </c>
      <c r="F92" s="3" t="s">
        <v>84</v>
      </c>
      <c r="G92" s="3">
        <v>45</v>
      </c>
      <c r="H92" s="3">
        <v>0</v>
      </c>
      <c r="I92" s="3">
        <v>0</v>
      </c>
      <c r="J92" s="3">
        <v>0</v>
      </c>
      <c r="K92" s="3">
        <v>0</v>
      </c>
      <c r="L92" s="3">
        <v>45</v>
      </c>
      <c r="M92" s="3">
        <v>0</v>
      </c>
      <c r="N92" s="3" t="s">
        <v>85</v>
      </c>
      <c r="O92" s="3">
        <v>45</v>
      </c>
      <c r="P92" s="3">
        <v>59.38</v>
      </c>
      <c r="Q92" s="3">
        <v>0</v>
      </c>
      <c r="R92" s="3">
        <v>0</v>
      </c>
      <c r="S92" s="3">
        <v>0</v>
      </c>
      <c r="T92" s="3">
        <v>0</v>
      </c>
      <c r="U92" s="3">
        <v>1</v>
      </c>
      <c r="V92" s="3">
        <v>1</v>
      </c>
      <c r="W92" s="3" t="s">
        <v>100</v>
      </c>
      <c r="X92" s="3">
        <v>7.99</v>
      </c>
      <c r="Y92" s="3">
        <v>7.99</v>
      </c>
      <c r="Z92" s="3">
        <v>7.99</v>
      </c>
      <c r="AA92" s="3">
        <v>0</v>
      </c>
      <c r="AB92" s="3" t="s">
        <v>94</v>
      </c>
      <c r="AC92" s="3">
        <v>1</v>
      </c>
      <c r="AD92" s="3">
        <v>6.39</v>
      </c>
      <c r="AE92" s="3">
        <v>252</v>
      </c>
      <c r="AF92" s="3">
        <v>0</v>
      </c>
      <c r="AG92" s="3">
        <v>712.866152</v>
      </c>
      <c r="AH92" s="3">
        <v>0.0219780219780219</v>
      </c>
      <c r="AI92" s="3" t="s">
        <v>194</v>
      </c>
      <c r="AJ92" s="3" t="s">
        <v>88</v>
      </c>
    </row>
    <row r="93" spans="1:36">
      <c r="A93" s="5">
        <v>43288</v>
      </c>
      <c r="B93" s="3" t="s">
        <v>483</v>
      </c>
      <c r="C93" s="3" t="s">
        <v>484</v>
      </c>
      <c r="D93" s="3" t="s">
        <v>485</v>
      </c>
      <c r="E93" s="3" t="s">
        <v>486</v>
      </c>
      <c r="F93" s="3" t="s">
        <v>84</v>
      </c>
      <c r="G93" s="3">
        <v>33</v>
      </c>
      <c r="H93" s="3">
        <v>0</v>
      </c>
      <c r="I93" s="3">
        <v>0</v>
      </c>
      <c r="J93" s="3">
        <v>0</v>
      </c>
      <c r="K93" s="3">
        <v>11</v>
      </c>
      <c r="L93" s="3">
        <v>22</v>
      </c>
      <c r="M93" s="3">
        <v>0</v>
      </c>
      <c r="N93" s="3" t="s">
        <v>85</v>
      </c>
      <c r="O93" s="3">
        <v>33</v>
      </c>
      <c r="P93" s="3">
        <v>22.24</v>
      </c>
      <c r="Q93" s="3">
        <v>0</v>
      </c>
      <c r="R93" s="3">
        <v>0</v>
      </c>
      <c r="S93" s="3">
        <v>0</v>
      </c>
      <c r="T93" s="3">
        <v>1</v>
      </c>
      <c r="U93" s="3">
        <v>1</v>
      </c>
      <c r="V93" s="3">
        <v>1</v>
      </c>
      <c r="W93" s="3" t="s">
        <v>93</v>
      </c>
      <c r="X93" s="3">
        <v>8.79</v>
      </c>
      <c r="Y93" s="3">
        <v>8.79</v>
      </c>
      <c r="Z93" s="3">
        <v>8.79</v>
      </c>
      <c r="AA93" s="3">
        <v>0</v>
      </c>
      <c r="AB93" s="3" t="s">
        <v>94</v>
      </c>
      <c r="AC93" s="3">
        <v>5</v>
      </c>
      <c r="AD93" s="3">
        <v>8.05</v>
      </c>
      <c r="AE93" s="3">
        <v>133</v>
      </c>
      <c r="AF93" s="3">
        <v>0</v>
      </c>
      <c r="AG93" s="3">
        <v>343.165905</v>
      </c>
      <c r="AH93" s="3">
        <v>0.0296296296296296</v>
      </c>
      <c r="AI93" s="3" t="s">
        <v>487</v>
      </c>
      <c r="AJ93" s="3" t="s">
        <v>88</v>
      </c>
    </row>
    <row r="94" spans="1:36">
      <c r="A94" s="5">
        <v>43288</v>
      </c>
      <c r="B94" s="3" t="s">
        <v>488</v>
      </c>
      <c r="C94" s="3" t="s">
        <v>489</v>
      </c>
      <c r="D94" s="3" t="s">
        <v>490</v>
      </c>
      <c r="E94" s="3" t="s">
        <v>491</v>
      </c>
      <c r="F94" s="3" t="s">
        <v>84</v>
      </c>
      <c r="G94" s="3">
        <v>2</v>
      </c>
      <c r="H94" s="3">
        <v>0</v>
      </c>
      <c r="I94" s="3">
        <v>0</v>
      </c>
      <c r="J94" s="3">
        <v>0</v>
      </c>
      <c r="K94" s="3">
        <v>0</v>
      </c>
      <c r="L94" s="3">
        <v>2</v>
      </c>
      <c r="M94" s="3">
        <v>0</v>
      </c>
      <c r="N94" s="3" t="s">
        <v>85</v>
      </c>
      <c r="O94" s="3">
        <v>0</v>
      </c>
      <c r="P94" s="3">
        <v>0</v>
      </c>
      <c r="Q94" s="3">
        <v>2</v>
      </c>
      <c r="R94" s="3">
        <v>1</v>
      </c>
      <c r="S94" s="3">
        <v>0</v>
      </c>
      <c r="T94" s="3">
        <v>1</v>
      </c>
      <c r="U94" s="3">
        <v>1</v>
      </c>
      <c r="V94" s="3">
        <v>1</v>
      </c>
      <c r="W94" s="3" t="s">
        <v>93</v>
      </c>
      <c r="X94" s="3">
        <v>12.9</v>
      </c>
      <c r="Y94" s="3">
        <v>12.9</v>
      </c>
      <c r="Z94" s="3">
        <v>12.9</v>
      </c>
      <c r="AA94" s="3">
        <v>0</v>
      </c>
      <c r="AB94" s="3" t="s">
        <v>86</v>
      </c>
      <c r="AC94" s="3">
        <v>2</v>
      </c>
      <c r="AD94" s="3">
        <v>12.9</v>
      </c>
      <c r="AE94" s="3">
        <v>0</v>
      </c>
      <c r="AF94" s="3">
        <v>0</v>
      </c>
      <c r="AG94" s="3">
        <v>0</v>
      </c>
      <c r="AH94" s="3">
        <v>0.363636363636363</v>
      </c>
      <c r="AI94" s="3" t="s">
        <v>106</v>
      </c>
      <c r="AJ94" s="3" t="s">
        <v>107</v>
      </c>
    </row>
    <row r="95" spans="1:36">
      <c r="A95" s="5">
        <v>43288</v>
      </c>
      <c r="B95" s="3" t="s">
        <v>492</v>
      </c>
      <c r="C95" s="3" t="s">
        <v>493</v>
      </c>
      <c r="D95" s="3" t="s">
        <v>494</v>
      </c>
      <c r="E95" s="3" t="s">
        <v>495</v>
      </c>
      <c r="F95" s="3" t="s">
        <v>84</v>
      </c>
      <c r="G95" s="3">
        <v>10</v>
      </c>
      <c r="H95" s="3">
        <v>0</v>
      </c>
      <c r="I95" s="3">
        <v>0</v>
      </c>
      <c r="J95" s="3">
        <v>10</v>
      </c>
      <c r="K95" s="3">
        <v>0</v>
      </c>
      <c r="L95" s="3">
        <v>0</v>
      </c>
      <c r="M95" s="3">
        <v>0</v>
      </c>
      <c r="N95" s="3" t="s">
        <v>85</v>
      </c>
      <c r="O95" s="3">
        <v>4</v>
      </c>
      <c r="P95" s="3">
        <v>49.92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 t="s">
        <v>100</v>
      </c>
      <c r="X95" s="3">
        <v>42.99</v>
      </c>
      <c r="Y95" s="3">
        <v>42.99</v>
      </c>
      <c r="Z95" s="3">
        <v>42.99</v>
      </c>
      <c r="AA95" s="3">
        <v>0</v>
      </c>
      <c r="AB95" s="3" t="s">
        <v>94</v>
      </c>
      <c r="AC95" s="3">
        <v>1</v>
      </c>
      <c r="AD95" s="3">
        <v>38.84</v>
      </c>
      <c r="AE95" s="3">
        <v>105</v>
      </c>
      <c r="AF95" s="3">
        <v>0</v>
      </c>
      <c r="AG95" s="3">
        <v>1336.296495</v>
      </c>
      <c r="AH95" s="3">
        <v>0</v>
      </c>
      <c r="AI95" s="3" t="s">
        <v>216</v>
      </c>
      <c r="AJ95" s="3" t="s">
        <v>88</v>
      </c>
    </row>
    <row r="96" spans="1:36">
      <c r="A96" s="5">
        <v>43288</v>
      </c>
      <c r="B96" s="3" t="s">
        <v>496</v>
      </c>
      <c r="C96" s="3" t="s">
        <v>497</v>
      </c>
      <c r="D96" s="3" t="s">
        <v>498</v>
      </c>
      <c r="E96" s="3" t="s">
        <v>499</v>
      </c>
      <c r="F96" s="3" t="s">
        <v>84</v>
      </c>
      <c r="G96" s="3">
        <v>4</v>
      </c>
      <c r="H96" s="3">
        <v>0</v>
      </c>
      <c r="I96" s="3">
        <v>0</v>
      </c>
      <c r="J96" s="3">
        <v>0</v>
      </c>
      <c r="K96" s="3">
        <v>0</v>
      </c>
      <c r="L96" s="3">
        <v>4</v>
      </c>
      <c r="M96" s="3">
        <v>0</v>
      </c>
      <c r="N96" s="3" t="s">
        <v>85</v>
      </c>
      <c r="O96" s="3">
        <v>4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 t="s">
        <v>100</v>
      </c>
      <c r="X96" s="3">
        <v>13.9</v>
      </c>
      <c r="Y96" s="3">
        <v>13.9</v>
      </c>
      <c r="Z96" s="3">
        <v>13.9</v>
      </c>
      <c r="AA96" s="3">
        <v>0</v>
      </c>
      <c r="AB96" s="3" t="s">
        <v>86</v>
      </c>
      <c r="AC96" s="3">
        <v>4</v>
      </c>
      <c r="AD96" s="3">
        <v>13.9</v>
      </c>
      <c r="AE96" s="3">
        <v>0</v>
      </c>
      <c r="AF96" s="3">
        <v>0</v>
      </c>
      <c r="AG96" s="3">
        <v>0</v>
      </c>
      <c r="AH96" s="3">
        <v>0</v>
      </c>
      <c r="AI96" s="3" t="s">
        <v>106</v>
      </c>
      <c r="AJ96" s="3" t="s">
        <v>88</v>
      </c>
    </row>
    <row r="97" spans="1:36">
      <c r="A97" s="5">
        <v>43288</v>
      </c>
      <c r="B97" s="3" t="s">
        <v>500</v>
      </c>
      <c r="C97" s="3" t="s">
        <v>501</v>
      </c>
      <c r="D97" s="3" t="s">
        <v>502</v>
      </c>
      <c r="E97" s="3" t="s">
        <v>503</v>
      </c>
      <c r="F97" s="3" t="s">
        <v>84</v>
      </c>
      <c r="G97" s="3">
        <v>2</v>
      </c>
      <c r="H97" s="3">
        <v>0</v>
      </c>
      <c r="I97" s="3">
        <v>0</v>
      </c>
      <c r="J97" s="3">
        <v>0</v>
      </c>
      <c r="K97" s="3">
        <v>0</v>
      </c>
      <c r="L97" s="3">
        <v>2</v>
      </c>
      <c r="M97" s="3">
        <v>0</v>
      </c>
      <c r="N97" s="3" t="s">
        <v>85</v>
      </c>
      <c r="O97" s="3">
        <v>0</v>
      </c>
      <c r="P97" s="3">
        <v>0</v>
      </c>
      <c r="Q97" s="3">
        <v>2</v>
      </c>
      <c r="R97" s="3">
        <v>1</v>
      </c>
      <c r="S97" s="3">
        <v>0</v>
      </c>
      <c r="T97" s="3">
        <v>0</v>
      </c>
      <c r="U97" s="3">
        <v>0</v>
      </c>
      <c r="V97" s="3">
        <v>0</v>
      </c>
      <c r="W97" s="3" t="s">
        <v>93</v>
      </c>
      <c r="X97" s="3">
        <v>4.45</v>
      </c>
      <c r="Y97" s="3">
        <v>4.45</v>
      </c>
      <c r="Z97" s="3">
        <v>4.45</v>
      </c>
      <c r="AA97" s="3">
        <v>0</v>
      </c>
      <c r="AB97" s="3" t="s">
        <v>86</v>
      </c>
      <c r="AC97" s="3">
        <v>2</v>
      </c>
      <c r="AD97" s="3">
        <v>4.45</v>
      </c>
      <c r="AE97" s="3">
        <v>0</v>
      </c>
      <c r="AF97" s="3">
        <v>0</v>
      </c>
      <c r="AG97" s="3">
        <v>0</v>
      </c>
      <c r="AH97" s="3">
        <v>0</v>
      </c>
      <c r="AI97" s="3" t="s">
        <v>106</v>
      </c>
      <c r="AJ97" s="3" t="s">
        <v>88</v>
      </c>
    </row>
    <row r="98" spans="1:36">
      <c r="A98" s="5">
        <v>43288</v>
      </c>
      <c r="B98" s="3" t="s">
        <v>504</v>
      </c>
      <c r="C98" s="3" t="s">
        <v>505</v>
      </c>
      <c r="D98" s="3" t="s">
        <v>506</v>
      </c>
      <c r="E98" s="3" t="s">
        <v>507</v>
      </c>
      <c r="F98" s="3" t="s">
        <v>84</v>
      </c>
      <c r="G98" s="3">
        <v>1</v>
      </c>
      <c r="H98" s="3">
        <v>0</v>
      </c>
      <c r="I98" s="3">
        <v>0</v>
      </c>
      <c r="J98" s="3">
        <v>0</v>
      </c>
      <c r="K98" s="3">
        <v>0</v>
      </c>
      <c r="L98" s="3">
        <v>1</v>
      </c>
      <c r="M98" s="3">
        <v>0</v>
      </c>
      <c r="N98" s="3" t="s">
        <v>85</v>
      </c>
      <c r="O98" s="3">
        <v>0</v>
      </c>
      <c r="P98" s="3">
        <v>0</v>
      </c>
      <c r="Q98" s="3">
        <v>1</v>
      </c>
      <c r="R98" s="3">
        <v>0.5</v>
      </c>
      <c r="S98" s="3">
        <v>0</v>
      </c>
      <c r="T98" s="3">
        <v>0</v>
      </c>
      <c r="U98" s="3">
        <v>0</v>
      </c>
      <c r="V98" s="3">
        <v>0</v>
      </c>
      <c r="W98" s="3" t="s">
        <v>93</v>
      </c>
      <c r="X98" s="3">
        <v>17.9</v>
      </c>
      <c r="Y98" s="3">
        <v>17.9</v>
      </c>
      <c r="Z98" s="3">
        <v>17.9</v>
      </c>
      <c r="AA98" s="3">
        <v>0</v>
      </c>
      <c r="AB98" s="3" t="s">
        <v>94</v>
      </c>
      <c r="AC98" s="3">
        <v>0</v>
      </c>
      <c r="AD98" s="3">
        <v>14.32</v>
      </c>
      <c r="AE98" s="3">
        <v>63</v>
      </c>
      <c r="AF98" s="3">
        <v>0</v>
      </c>
      <c r="AG98" s="3">
        <v>0.41443</v>
      </c>
      <c r="AH98" s="3">
        <v>0</v>
      </c>
      <c r="AI98" s="3" t="s">
        <v>106</v>
      </c>
      <c r="AJ98" s="3" t="s">
        <v>88</v>
      </c>
    </row>
    <row r="99" spans="1:36">
      <c r="A99" s="5">
        <v>43288</v>
      </c>
      <c r="B99" s="3" t="s">
        <v>508</v>
      </c>
      <c r="C99" s="3" t="s">
        <v>509</v>
      </c>
      <c r="D99" s="3" t="s">
        <v>510</v>
      </c>
      <c r="E99" s="3" t="s">
        <v>511</v>
      </c>
      <c r="F99" s="3" t="s">
        <v>84</v>
      </c>
      <c r="G99" s="3">
        <v>2</v>
      </c>
      <c r="H99" s="3">
        <v>0</v>
      </c>
      <c r="I99" s="3">
        <v>0</v>
      </c>
      <c r="J99" s="3">
        <v>0</v>
      </c>
      <c r="K99" s="3">
        <v>0</v>
      </c>
      <c r="L99" s="3">
        <v>2</v>
      </c>
      <c r="M99" s="3">
        <v>0</v>
      </c>
      <c r="N99" s="3" t="s">
        <v>85</v>
      </c>
      <c r="O99" s="3">
        <v>0</v>
      </c>
      <c r="P99" s="3">
        <v>0</v>
      </c>
      <c r="Q99" s="3">
        <v>2</v>
      </c>
      <c r="R99" s="3">
        <v>1</v>
      </c>
      <c r="S99" s="3">
        <v>0</v>
      </c>
      <c r="T99" s="3">
        <v>0</v>
      </c>
      <c r="U99" s="3">
        <v>0</v>
      </c>
      <c r="V99" s="3">
        <v>0</v>
      </c>
      <c r="W99" s="3" t="s">
        <v>93</v>
      </c>
      <c r="X99" s="3">
        <v>4.66</v>
      </c>
      <c r="Y99" s="3">
        <v>4.66</v>
      </c>
      <c r="Z99" s="3">
        <v>4.66</v>
      </c>
      <c r="AA99" s="3">
        <v>0</v>
      </c>
      <c r="AB99" s="3" t="s">
        <v>86</v>
      </c>
      <c r="AC99" s="3">
        <v>2</v>
      </c>
      <c r="AD99" s="3">
        <v>4.66</v>
      </c>
      <c r="AE99" s="3">
        <v>0</v>
      </c>
      <c r="AF99" s="3">
        <v>0</v>
      </c>
      <c r="AG99" s="3">
        <v>0</v>
      </c>
      <c r="AH99" s="3">
        <v>0</v>
      </c>
      <c r="AI99" s="3" t="s">
        <v>106</v>
      </c>
      <c r="AJ99" s="3" t="s">
        <v>107</v>
      </c>
    </row>
    <row r="100" spans="1:36">
      <c r="A100" s="5">
        <v>43288</v>
      </c>
      <c r="B100" s="3" t="s">
        <v>512</v>
      </c>
      <c r="C100" s="3" t="s">
        <v>513</v>
      </c>
      <c r="D100" s="3" t="s">
        <v>514</v>
      </c>
      <c r="E100" s="3" t="s">
        <v>515</v>
      </c>
      <c r="F100" s="3" t="s">
        <v>84</v>
      </c>
      <c r="G100" s="3">
        <v>3</v>
      </c>
      <c r="H100" s="3">
        <v>0</v>
      </c>
      <c r="I100" s="3">
        <v>0</v>
      </c>
      <c r="J100" s="3">
        <v>0</v>
      </c>
      <c r="K100" s="3">
        <v>0</v>
      </c>
      <c r="L100" s="3">
        <v>3</v>
      </c>
      <c r="M100" s="3">
        <v>0</v>
      </c>
      <c r="N100" s="3" t="s">
        <v>85</v>
      </c>
      <c r="O100" s="3">
        <v>0</v>
      </c>
      <c r="P100" s="3">
        <v>0</v>
      </c>
      <c r="Q100" s="3">
        <v>3</v>
      </c>
      <c r="R100" s="3">
        <v>10.72</v>
      </c>
      <c r="S100" s="3">
        <v>0</v>
      </c>
      <c r="T100" s="3">
        <v>0</v>
      </c>
      <c r="U100" s="3">
        <v>0</v>
      </c>
      <c r="V100" s="3">
        <v>0</v>
      </c>
      <c r="W100" s="3" t="s">
        <v>93</v>
      </c>
      <c r="X100" s="3">
        <v>12.9</v>
      </c>
      <c r="Y100" s="3">
        <v>12.9</v>
      </c>
      <c r="Z100" s="3">
        <v>12.9</v>
      </c>
      <c r="AA100" s="3">
        <v>0</v>
      </c>
      <c r="AB100" s="3" t="s">
        <v>94</v>
      </c>
      <c r="AC100" s="3">
        <v>0</v>
      </c>
      <c r="AD100" s="3">
        <v>10.32</v>
      </c>
      <c r="AE100" s="3">
        <v>63</v>
      </c>
      <c r="AF100" s="3">
        <v>0</v>
      </c>
      <c r="AG100" s="3">
        <v>68.402111</v>
      </c>
      <c r="AH100" s="3">
        <v>0</v>
      </c>
      <c r="AI100" s="3" t="s">
        <v>126</v>
      </c>
      <c r="AJ100" s="3" t="s">
        <v>88</v>
      </c>
    </row>
    <row r="101" spans="1:36">
      <c r="A101" s="5">
        <v>43288</v>
      </c>
      <c r="B101" s="3" t="s">
        <v>516</v>
      </c>
      <c r="C101" s="3" t="s">
        <v>517</v>
      </c>
      <c r="D101" s="3" t="s">
        <v>518</v>
      </c>
      <c r="E101" s="3" t="s">
        <v>519</v>
      </c>
      <c r="F101" s="3" t="s">
        <v>84</v>
      </c>
      <c r="G101" s="3">
        <v>1</v>
      </c>
      <c r="H101" s="3">
        <v>0</v>
      </c>
      <c r="I101" s="3">
        <v>0</v>
      </c>
      <c r="J101" s="3">
        <v>0</v>
      </c>
      <c r="K101" s="3">
        <v>0</v>
      </c>
      <c r="L101" s="3">
        <v>1</v>
      </c>
      <c r="M101" s="3">
        <v>0</v>
      </c>
      <c r="N101" s="3" t="s">
        <v>85</v>
      </c>
      <c r="O101" s="3">
        <v>0</v>
      </c>
      <c r="P101" s="3">
        <v>0</v>
      </c>
      <c r="Q101" s="3">
        <v>1</v>
      </c>
      <c r="R101" s="3">
        <v>0.89</v>
      </c>
      <c r="S101" s="3">
        <v>0</v>
      </c>
      <c r="T101" s="3">
        <v>0</v>
      </c>
      <c r="U101" s="3">
        <v>0</v>
      </c>
      <c r="V101" s="3">
        <v>0</v>
      </c>
      <c r="W101" s="3" t="s">
        <v>93</v>
      </c>
      <c r="X101" s="3">
        <v>4.99</v>
      </c>
      <c r="Y101" s="3">
        <v>4.99</v>
      </c>
      <c r="Z101" s="3">
        <v>4.99</v>
      </c>
      <c r="AA101" s="3">
        <v>0</v>
      </c>
      <c r="AB101" s="3" t="s">
        <v>94</v>
      </c>
      <c r="AC101" s="3">
        <v>0</v>
      </c>
      <c r="AD101" s="3">
        <v>3.99</v>
      </c>
      <c r="AE101" s="3">
        <v>63</v>
      </c>
      <c r="AF101" s="3">
        <v>0</v>
      </c>
      <c r="AG101" s="3">
        <v>5.578479</v>
      </c>
      <c r="AH101" s="3">
        <v>0</v>
      </c>
      <c r="AI101" s="3" t="s">
        <v>229</v>
      </c>
      <c r="AJ101" s="3" t="s">
        <v>88</v>
      </c>
    </row>
    <row r="102" spans="1:36">
      <c r="A102" s="5">
        <v>43288</v>
      </c>
      <c r="B102" s="3" t="s">
        <v>520</v>
      </c>
      <c r="C102" s="3" t="s">
        <v>521</v>
      </c>
      <c r="D102" s="3" t="s">
        <v>522</v>
      </c>
      <c r="E102" s="3" t="s">
        <v>523</v>
      </c>
      <c r="F102" s="3" t="s">
        <v>84</v>
      </c>
      <c r="G102" s="3">
        <v>25</v>
      </c>
      <c r="H102" s="3">
        <v>0</v>
      </c>
      <c r="I102" s="3">
        <v>0</v>
      </c>
      <c r="J102" s="3">
        <v>0</v>
      </c>
      <c r="K102" s="3">
        <v>0</v>
      </c>
      <c r="L102" s="3">
        <v>25</v>
      </c>
      <c r="M102" s="3">
        <v>0</v>
      </c>
      <c r="N102" s="3" t="s">
        <v>85</v>
      </c>
      <c r="O102" s="3">
        <v>25</v>
      </c>
      <c r="P102" s="3">
        <v>34.44</v>
      </c>
      <c r="Q102" s="3">
        <v>0</v>
      </c>
      <c r="R102" s="3">
        <v>0</v>
      </c>
      <c r="S102" s="3">
        <v>1</v>
      </c>
      <c r="T102" s="3">
        <v>2</v>
      </c>
      <c r="U102" s="3">
        <v>3</v>
      </c>
      <c r="V102" s="3">
        <v>3</v>
      </c>
      <c r="W102" s="3"/>
      <c r="X102" s="3">
        <v>7.8</v>
      </c>
      <c r="Y102" s="3">
        <v>7.8</v>
      </c>
      <c r="Z102" s="3">
        <v>7.8</v>
      </c>
      <c r="AA102" s="3">
        <v>0</v>
      </c>
      <c r="AB102" s="3" t="s">
        <v>94</v>
      </c>
      <c r="AC102" s="3">
        <v>4</v>
      </c>
      <c r="AD102" s="3">
        <v>6.24</v>
      </c>
      <c r="AE102" s="3">
        <v>182</v>
      </c>
      <c r="AF102" s="3">
        <v>0</v>
      </c>
      <c r="AG102" s="3">
        <v>77.017762</v>
      </c>
      <c r="AH102" s="3">
        <v>0.111111111111111</v>
      </c>
      <c r="AI102" s="3" t="s">
        <v>101</v>
      </c>
      <c r="AJ102" s="3" t="s">
        <v>88</v>
      </c>
    </row>
    <row r="103" spans="1:36">
      <c r="A103" s="5">
        <v>43288</v>
      </c>
      <c r="B103" s="3" t="s">
        <v>524</v>
      </c>
      <c r="C103" s="3" t="s">
        <v>525</v>
      </c>
      <c r="D103" s="3" t="s">
        <v>526</v>
      </c>
      <c r="E103" s="3" t="s">
        <v>527</v>
      </c>
      <c r="F103" s="3" t="s">
        <v>84</v>
      </c>
      <c r="G103" s="3">
        <v>27</v>
      </c>
      <c r="H103" s="3">
        <v>0</v>
      </c>
      <c r="I103" s="3">
        <v>0</v>
      </c>
      <c r="J103" s="3">
        <v>0</v>
      </c>
      <c r="K103" s="3">
        <v>0</v>
      </c>
      <c r="L103" s="3">
        <v>27</v>
      </c>
      <c r="M103" s="3">
        <v>0</v>
      </c>
      <c r="N103" s="3" t="s">
        <v>85</v>
      </c>
      <c r="O103" s="3">
        <v>27</v>
      </c>
      <c r="P103" s="3">
        <v>36.87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1</v>
      </c>
      <c r="W103" s="3" t="s">
        <v>100</v>
      </c>
      <c r="X103" s="3">
        <v>12.99</v>
      </c>
      <c r="Y103" s="3">
        <v>12.99</v>
      </c>
      <c r="Z103" s="3">
        <v>11.18</v>
      </c>
      <c r="AA103" s="3">
        <v>0</v>
      </c>
      <c r="AB103" s="3" t="s">
        <v>94</v>
      </c>
      <c r="AC103" s="3">
        <v>0</v>
      </c>
      <c r="AD103" s="3">
        <v>10.39</v>
      </c>
      <c r="AE103" s="3">
        <v>364</v>
      </c>
      <c r="AF103" s="3">
        <v>0</v>
      </c>
      <c r="AG103" s="3">
        <v>438.120815</v>
      </c>
      <c r="AH103" s="3">
        <v>0.036697247706422</v>
      </c>
      <c r="AI103" s="3" t="s">
        <v>164</v>
      </c>
      <c r="AJ103" s="3" t="s">
        <v>88</v>
      </c>
    </row>
    <row r="104" spans="1:36">
      <c r="A104" s="5">
        <v>43288</v>
      </c>
      <c r="B104" s="3" t="s">
        <v>528</v>
      </c>
      <c r="C104" s="3" t="s">
        <v>529</v>
      </c>
      <c r="D104" s="3" t="s">
        <v>530</v>
      </c>
      <c r="E104" s="3" t="s">
        <v>531</v>
      </c>
      <c r="F104" s="3" t="s">
        <v>84</v>
      </c>
      <c r="G104" s="3">
        <v>57</v>
      </c>
      <c r="H104" s="3">
        <v>0</v>
      </c>
      <c r="I104" s="3">
        <v>0</v>
      </c>
      <c r="J104" s="3">
        <v>57</v>
      </c>
      <c r="K104" s="3">
        <v>0</v>
      </c>
      <c r="L104" s="3">
        <v>0</v>
      </c>
      <c r="M104" s="3">
        <v>0</v>
      </c>
      <c r="N104" s="3" t="s">
        <v>85</v>
      </c>
      <c r="O104" s="3">
        <v>57</v>
      </c>
      <c r="P104" s="3">
        <v>114.34</v>
      </c>
      <c r="Q104" s="3">
        <v>0</v>
      </c>
      <c r="R104" s="3">
        <v>0</v>
      </c>
      <c r="S104" s="3">
        <v>0</v>
      </c>
      <c r="T104" s="3">
        <v>1</v>
      </c>
      <c r="U104" s="3">
        <v>1</v>
      </c>
      <c r="V104" s="3">
        <v>1</v>
      </c>
      <c r="W104" s="3"/>
      <c r="X104" s="3">
        <v>4.71</v>
      </c>
      <c r="Y104" s="3">
        <v>4.71</v>
      </c>
      <c r="Z104" s="3">
        <v>4.71</v>
      </c>
      <c r="AA104" s="3">
        <v>0</v>
      </c>
      <c r="AB104" s="3" t="s">
        <v>94</v>
      </c>
      <c r="AC104" s="3">
        <v>0</v>
      </c>
      <c r="AD104" s="3">
        <v>4.44</v>
      </c>
      <c r="AE104" s="3">
        <v>364</v>
      </c>
      <c r="AF104" s="3">
        <v>0</v>
      </c>
      <c r="AG104" s="3">
        <v>820.309684</v>
      </c>
      <c r="AH104" s="3">
        <v>0.0173160173160173</v>
      </c>
      <c r="AI104" s="3" t="s">
        <v>87</v>
      </c>
      <c r="AJ104" s="3" t="s">
        <v>88</v>
      </c>
    </row>
    <row r="105" spans="1:36">
      <c r="A105" s="5">
        <v>43288</v>
      </c>
      <c r="B105" s="3" t="s">
        <v>532</v>
      </c>
      <c r="C105" s="3" t="s">
        <v>533</v>
      </c>
      <c r="D105" s="3" t="s">
        <v>534</v>
      </c>
      <c r="E105" s="3" t="s">
        <v>535</v>
      </c>
      <c r="F105" s="3" t="s">
        <v>84</v>
      </c>
      <c r="G105" s="3">
        <v>1</v>
      </c>
      <c r="H105" s="3">
        <v>0</v>
      </c>
      <c r="I105" s="3">
        <v>0</v>
      </c>
      <c r="J105" s="3">
        <v>0</v>
      </c>
      <c r="K105" s="3">
        <v>0</v>
      </c>
      <c r="L105" s="3">
        <v>1</v>
      </c>
      <c r="M105" s="3">
        <v>0</v>
      </c>
      <c r="N105" s="3" t="s">
        <v>85</v>
      </c>
      <c r="O105" s="3">
        <v>0</v>
      </c>
      <c r="P105" s="3">
        <v>0</v>
      </c>
      <c r="Q105" s="3">
        <v>1</v>
      </c>
      <c r="R105" s="3">
        <v>2.46</v>
      </c>
      <c r="S105" s="3">
        <v>0</v>
      </c>
      <c r="T105" s="3">
        <v>0</v>
      </c>
      <c r="U105" s="3">
        <v>0</v>
      </c>
      <c r="V105" s="3">
        <v>0</v>
      </c>
      <c r="W105" s="3" t="s">
        <v>93</v>
      </c>
      <c r="X105" s="3">
        <v>16.9</v>
      </c>
      <c r="Y105" s="3">
        <v>16.9</v>
      </c>
      <c r="Z105" s="3">
        <v>16.9</v>
      </c>
      <c r="AA105" s="3">
        <v>0</v>
      </c>
      <c r="AB105" s="3" t="s">
        <v>94</v>
      </c>
      <c r="AC105" s="3">
        <v>0</v>
      </c>
      <c r="AD105" s="3">
        <v>13.52</v>
      </c>
      <c r="AE105" s="3">
        <v>63</v>
      </c>
      <c r="AF105" s="3">
        <v>0</v>
      </c>
      <c r="AG105" s="3">
        <v>15.881804</v>
      </c>
      <c r="AH105" s="3">
        <v>0</v>
      </c>
      <c r="AI105" s="3" t="s">
        <v>121</v>
      </c>
      <c r="AJ105" s="3" t="s">
        <v>88</v>
      </c>
    </row>
    <row r="106" spans="1:36">
      <c r="A106" s="5">
        <v>43288</v>
      </c>
      <c r="B106" s="3" t="s">
        <v>536</v>
      </c>
      <c r="C106" s="3" t="s">
        <v>537</v>
      </c>
      <c r="D106" s="3" t="s">
        <v>538</v>
      </c>
      <c r="E106" s="3" t="s">
        <v>539</v>
      </c>
      <c r="F106" s="3" t="s">
        <v>84</v>
      </c>
      <c r="G106" s="3">
        <v>19</v>
      </c>
      <c r="H106" s="3">
        <v>0</v>
      </c>
      <c r="I106" s="3">
        <v>0</v>
      </c>
      <c r="J106" s="3">
        <v>19</v>
      </c>
      <c r="K106" s="3">
        <v>0</v>
      </c>
      <c r="L106" s="3">
        <v>0</v>
      </c>
      <c r="M106" s="3">
        <v>0</v>
      </c>
      <c r="N106" s="3" t="s">
        <v>85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1</v>
      </c>
      <c r="V106" s="3">
        <v>1</v>
      </c>
      <c r="W106" s="3" t="s">
        <v>100</v>
      </c>
      <c r="X106" s="3">
        <v>18.99</v>
      </c>
      <c r="Y106" s="3">
        <v>18.99</v>
      </c>
      <c r="Z106" s="3">
        <v>18.99</v>
      </c>
      <c r="AA106" s="3">
        <v>0</v>
      </c>
      <c r="AB106" s="3" t="s">
        <v>94</v>
      </c>
      <c r="AC106" s="3">
        <v>12</v>
      </c>
      <c r="AD106" s="3">
        <v>17.95</v>
      </c>
      <c r="AE106" s="3">
        <v>56</v>
      </c>
      <c r="AF106" s="3">
        <v>0</v>
      </c>
      <c r="AG106" s="3">
        <v>234.40741</v>
      </c>
      <c r="AH106" s="3">
        <v>0.0512820512820512</v>
      </c>
      <c r="AI106" s="3" t="s">
        <v>262</v>
      </c>
      <c r="AJ106" s="3" t="s">
        <v>88</v>
      </c>
    </row>
    <row r="107" spans="1:36">
      <c r="A107" s="5">
        <v>43288</v>
      </c>
      <c r="B107" s="3" t="s">
        <v>540</v>
      </c>
      <c r="C107" s="3" t="s">
        <v>541</v>
      </c>
      <c r="D107" s="3" t="s">
        <v>542</v>
      </c>
      <c r="E107" s="3" t="s">
        <v>543</v>
      </c>
      <c r="F107" s="3" t="s">
        <v>84</v>
      </c>
      <c r="G107" s="3">
        <v>26</v>
      </c>
      <c r="H107" s="3">
        <v>0</v>
      </c>
      <c r="I107" s="3">
        <v>0</v>
      </c>
      <c r="J107" s="3">
        <v>26</v>
      </c>
      <c r="K107" s="3">
        <v>0</v>
      </c>
      <c r="L107" s="3">
        <v>0</v>
      </c>
      <c r="M107" s="3">
        <v>0</v>
      </c>
      <c r="N107" s="3" t="s">
        <v>85</v>
      </c>
      <c r="O107" s="3">
        <v>1</v>
      </c>
      <c r="P107" s="3">
        <v>0.08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 t="s">
        <v>100</v>
      </c>
      <c r="X107" s="3">
        <v>18.99</v>
      </c>
      <c r="Y107" s="3">
        <v>18.99</v>
      </c>
      <c r="Z107" s="3">
        <v>18.99</v>
      </c>
      <c r="AA107" s="3">
        <v>0</v>
      </c>
      <c r="AB107" s="3" t="s">
        <v>94</v>
      </c>
      <c r="AC107" s="3">
        <v>0</v>
      </c>
      <c r="AD107" s="3">
        <v>12.58</v>
      </c>
      <c r="AE107" s="3">
        <v>364</v>
      </c>
      <c r="AF107" s="3">
        <v>0</v>
      </c>
      <c r="AG107" s="3">
        <v>192.146592</v>
      </c>
      <c r="AH107" s="3">
        <v>0</v>
      </c>
      <c r="AI107" s="3" t="s">
        <v>544</v>
      </c>
      <c r="AJ107" s="3" t="s">
        <v>88</v>
      </c>
    </row>
    <row r="108" spans="1:36">
      <c r="A108" s="5">
        <v>43288</v>
      </c>
      <c r="B108" s="3" t="s">
        <v>545</v>
      </c>
      <c r="C108" s="3" t="s">
        <v>546</v>
      </c>
      <c r="D108" s="3" t="s">
        <v>547</v>
      </c>
      <c r="E108" s="3" t="s">
        <v>548</v>
      </c>
      <c r="F108" s="3" t="s">
        <v>84</v>
      </c>
      <c r="G108" s="3">
        <v>27</v>
      </c>
      <c r="H108" s="3">
        <v>0</v>
      </c>
      <c r="I108" s="3">
        <v>0</v>
      </c>
      <c r="J108" s="3">
        <v>0</v>
      </c>
      <c r="K108" s="3">
        <v>1</v>
      </c>
      <c r="L108" s="3">
        <v>26</v>
      </c>
      <c r="M108" s="3">
        <v>0</v>
      </c>
      <c r="N108" s="3" t="s">
        <v>85</v>
      </c>
      <c r="O108" s="3">
        <v>27</v>
      </c>
      <c r="P108" s="3">
        <v>36.87</v>
      </c>
      <c r="Q108" s="3">
        <v>0</v>
      </c>
      <c r="R108" s="3">
        <v>0</v>
      </c>
      <c r="S108" s="3">
        <v>1</v>
      </c>
      <c r="T108" s="3">
        <v>1</v>
      </c>
      <c r="U108" s="3">
        <v>2</v>
      </c>
      <c r="V108" s="3">
        <v>2</v>
      </c>
      <c r="W108" s="3"/>
      <c r="X108" s="3">
        <v>10.39</v>
      </c>
      <c r="Y108" s="3">
        <v>10.39</v>
      </c>
      <c r="Z108" s="3">
        <v>10.39</v>
      </c>
      <c r="AA108" s="3">
        <v>0</v>
      </c>
      <c r="AB108" s="3" t="s">
        <v>86</v>
      </c>
      <c r="AC108" s="3">
        <v>0</v>
      </c>
      <c r="AD108" s="3">
        <v>10.39</v>
      </c>
      <c r="AE108" s="3">
        <v>0</v>
      </c>
      <c r="AF108" s="3">
        <v>28</v>
      </c>
      <c r="AG108" s="3">
        <v>427.641072</v>
      </c>
      <c r="AH108" s="3">
        <v>0.0707964601769911</v>
      </c>
      <c r="AI108" s="3" t="s">
        <v>164</v>
      </c>
      <c r="AJ108" s="3" t="s">
        <v>88</v>
      </c>
    </row>
    <row r="109" spans="1:36">
      <c r="A109" s="5">
        <v>43288</v>
      </c>
      <c r="B109" s="3" t="s">
        <v>549</v>
      </c>
      <c r="C109" s="3" t="s">
        <v>550</v>
      </c>
      <c r="D109" s="3" t="s">
        <v>551</v>
      </c>
      <c r="E109" s="3" t="s">
        <v>552</v>
      </c>
      <c r="F109" s="3" t="s">
        <v>84</v>
      </c>
      <c r="G109" s="3">
        <v>3</v>
      </c>
      <c r="H109" s="3">
        <v>0</v>
      </c>
      <c r="I109" s="3">
        <v>0</v>
      </c>
      <c r="J109" s="3">
        <v>0</v>
      </c>
      <c r="K109" s="3">
        <v>0</v>
      </c>
      <c r="L109" s="3">
        <v>3</v>
      </c>
      <c r="M109" s="3">
        <v>0</v>
      </c>
      <c r="N109" s="3" t="s">
        <v>85</v>
      </c>
      <c r="O109" s="3">
        <v>0</v>
      </c>
      <c r="P109" s="3">
        <v>0</v>
      </c>
      <c r="Q109" s="3">
        <v>3</v>
      </c>
      <c r="R109" s="3">
        <v>1.5</v>
      </c>
      <c r="S109" s="3">
        <v>0</v>
      </c>
      <c r="T109" s="3">
        <v>0</v>
      </c>
      <c r="U109" s="3">
        <v>0</v>
      </c>
      <c r="V109" s="3">
        <v>0</v>
      </c>
      <c r="W109" s="3" t="s">
        <v>93</v>
      </c>
      <c r="X109" s="3">
        <v>12.9</v>
      </c>
      <c r="Y109" s="3">
        <v>12.9</v>
      </c>
      <c r="Z109" s="3">
        <v>12.9</v>
      </c>
      <c r="AA109" s="3">
        <v>0</v>
      </c>
      <c r="AB109" s="3" t="s">
        <v>94</v>
      </c>
      <c r="AC109" s="3">
        <v>0</v>
      </c>
      <c r="AD109" s="3">
        <v>10.32</v>
      </c>
      <c r="AE109" s="3">
        <v>63</v>
      </c>
      <c r="AF109" s="3">
        <v>0</v>
      </c>
      <c r="AG109" s="3">
        <v>0.896002</v>
      </c>
      <c r="AH109" s="3">
        <v>0</v>
      </c>
      <c r="AI109" s="3" t="s">
        <v>106</v>
      </c>
      <c r="AJ109" s="3" t="s">
        <v>107</v>
      </c>
    </row>
    <row r="110" spans="1:36">
      <c r="A110" s="5">
        <v>43288</v>
      </c>
      <c r="B110" s="3" t="s">
        <v>553</v>
      </c>
      <c r="C110" s="3" t="s">
        <v>554</v>
      </c>
      <c r="D110" s="3" t="s">
        <v>555</v>
      </c>
      <c r="E110" s="3" t="s">
        <v>556</v>
      </c>
      <c r="F110" s="3" t="s">
        <v>84</v>
      </c>
      <c r="G110" s="3">
        <v>1</v>
      </c>
      <c r="H110" s="3">
        <v>0</v>
      </c>
      <c r="I110" s="3">
        <v>0</v>
      </c>
      <c r="J110" s="3">
        <v>1</v>
      </c>
      <c r="K110" s="3">
        <v>0</v>
      </c>
      <c r="L110" s="3">
        <v>0</v>
      </c>
      <c r="M110" s="3">
        <v>0</v>
      </c>
      <c r="N110" s="3" t="s">
        <v>85</v>
      </c>
      <c r="O110" s="3">
        <v>1</v>
      </c>
      <c r="P110" s="3">
        <v>11.89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93</v>
      </c>
      <c r="X110" s="3">
        <v>66.9</v>
      </c>
      <c r="Y110" s="3">
        <v>66.9</v>
      </c>
      <c r="Z110" s="3">
        <v>66.9</v>
      </c>
      <c r="AA110" s="3">
        <v>0</v>
      </c>
      <c r="AB110" s="3" t="s">
        <v>239</v>
      </c>
      <c r="AC110" s="3">
        <v>1</v>
      </c>
      <c r="AD110" s="3">
        <v>66.9</v>
      </c>
      <c r="AE110" s="3">
        <v>0</v>
      </c>
      <c r="AF110" s="3">
        <v>0</v>
      </c>
      <c r="AG110" s="3">
        <v>0</v>
      </c>
      <c r="AH110" s="3">
        <v>0</v>
      </c>
      <c r="AI110" s="3" t="s">
        <v>557</v>
      </c>
      <c r="AJ110" s="3" t="s">
        <v>88</v>
      </c>
    </row>
    <row r="111" spans="1:36">
      <c r="A111" s="5">
        <v>43288</v>
      </c>
      <c r="B111" s="3" t="s">
        <v>558</v>
      </c>
      <c r="C111" s="3" t="s">
        <v>559</v>
      </c>
      <c r="D111" s="3" t="s">
        <v>560</v>
      </c>
      <c r="E111" s="3" t="s">
        <v>561</v>
      </c>
      <c r="F111" s="3" t="s">
        <v>84</v>
      </c>
      <c r="G111" s="3">
        <v>5</v>
      </c>
      <c r="H111" s="3">
        <v>0</v>
      </c>
      <c r="I111" s="3">
        <v>0</v>
      </c>
      <c r="J111" s="3">
        <v>0</v>
      </c>
      <c r="K111" s="3">
        <v>0</v>
      </c>
      <c r="L111" s="3">
        <v>5</v>
      </c>
      <c r="M111" s="3">
        <v>0</v>
      </c>
      <c r="N111" s="3" t="s">
        <v>85</v>
      </c>
      <c r="O111" s="3">
        <v>5</v>
      </c>
      <c r="P111" s="3">
        <v>13.65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100</v>
      </c>
      <c r="X111" s="3">
        <v>13.9</v>
      </c>
      <c r="Y111" s="3">
        <v>13.9</v>
      </c>
      <c r="Z111" s="3">
        <v>13.9</v>
      </c>
      <c r="AA111" s="3">
        <v>0</v>
      </c>
      <c r="AB111" s="3" t="s">
        <v>94</v>
      </c>
      <c r="AC111" s="3">
        <v>0</v>
      </c>
      <c r="AD111" s="3">
        <v>11.12</v>
      </c>
      <c r="AE111" s="3">
        <v>364</v>
      </c>
      <c r="AF111" s="3">
        <v>0</v>
      </c>
      <c r="AG111" s="3">
        <v>163.175552</v>
      </c>
      <c r="AH111" s="3">
        <v>0</v>
      </c>
      <c r="AI111" s="3" t="s">
        <v>173</v>
      </c>
      <c r="AJ111" s="3" t="s">
        <v>88</v>
      </c>
    </row>
    <row r="112" spans="1:36">
      <c r="A112" s="5">
        <v>43288</v>
      </c>
      <c r="B112" s="3" t="s">
        <v>562</v>
      </c>
      <c r="C112" s="3" t="s">
        <v>563</v>
      </c>
      <c r="D112" s="3" t="s">
        <v>564</v>
      </c>
      <c r="E112" s="3" t="s">
        <v>565</v>
      </c>
      <c r="F112" s="3" t="s">
        <v>84</v>
      </c>
      <c r="G112" s="3">
        <v>1</v>
      </c>
      <c r="H112" s="3">
        <v>0</v>
      </c>
      <c r="I112" s="3">
        <v>0</v>
      </c>
      <c r="J112" s="3">
        <v>0</v>
      </c>
      <c r="K112" s="3">
        <v>0</v>
      </c>
      <c r="L112" s="3">
        <v>1</v>
      </c>
      <c r="M112" s="3">
        <v>0</v>
      </c>
      <c r="N112" s="3" t="s">
        <v>85</v>
      </c>
      <c r="O112" s="3">
        <v>0</v>
      </c>
      <c r="P112" s="3">
        <v>0</v>
      </c>
      <c r="Q112" s="3">
        <v>1</v>
      </c>
      <c r="R112" s="3">
        <v>0.5</v>
      </c>
      <c r="S112" s="3">
        <v>0</v>
      </c>
      <c r="T112" s="3">
        <v>0</v>
      </c>
      <c r="U112" s="3">
        <v>0</v>
      </c>
      <c r="V112" s="3">
        <v>1</v>
      </c>
      <c r="W112" s="3" t="s">
        <v>93</v>
      </c>
      <c r="X112" s="3">
        <v>17.9</v>
      </c>
      <c r="Y112" s="3">
        <v>17.9</v>
      </c>
      <c r="Z112" s="3">
        <v>17.9</v>
      </c>
      <c r="AA112" s="3">
        <v>0</v>
      </c>
      <c r="AB112" s="3" t="s">
        <v>86</v>
      </c>
      <c r="AC112" s="3">
        <v>1</v>
      </c>
      <c r="AD112" s="3">
        <v>17.9</v>
      </c>
      <c r="AE112" s="3">
        <v>0</v>
      </c>
      <c r="AF112" s="3">
        <v>0</v>
      </c>
      <c r="AG112" s="3">
        <v>0</v>
      </c>
      <c r="AH112" s="3">
        <v>0.8</v>
      </c>
      <c r="AI112" s="3" t="s">
        <v>106</v>
      </c>
      <c r="AJ112" s="3" t="s">
        <v>88</v>
      </c>
    </row>
    <row r="113" spans="1:36">
      <c r="A113" s="5">
        <v>43288</v>
      </c>
      <c r="B113" s="3" t="s">
        <v>566</v>
      </c>
      <c r="C113" s="3" t="s">
        <v>567</v>
      </c>
      <c r="D113" s="3" t="s">
        <v>568</v>
      </c>
      <c r="E113" s="3" t="s">
        <v>569</v>
      </c>
      <c r="F113" s="3" t="s">
        <v>84</v>
      </c>
      <c r="G113" s="3">
        <v>12</v>
      </c>
      <c r="H113" s="3">
        <v>0</v>
      </c>
      <c r="I113" s="3">
        <v>0</v>
      </c>
      <c r="J113" s="3">
        <v>1</v>
      </c>
      <c r="K113" s="3">
        <v>0</v>
      </c>
      <c r="L113" s="3">
        <v>11</v>
      </c>
      <c r="M113" s="3">
        <v>0</v>
      </c>
      <c r="N113" s="3" t="s">
        <v>85</v>
      </c>
      <c r="O113" s="3">
        <v>11</v>
      </c>
      <c r="P113" s="3">
        <v>17.59</v>
      </c>
      <c r="Q113" s="3">
        <v>0</v>
      </c>
      <c r="R113" s="3">
        <v>0</v>
      </c>
      <c r="S113" s="3">
        <v>2</v>
      </c>
      <c r="T113" s="3">
        <v>3</v>
      </c>
      <c r="U113" s="3">
        <v>5</v>
      </c>
      <c r="V113" s="3">
        <v>5</v>
      </c>
      <c r="W113" s="3"/>
      <c r="X113" s="3">
        <v>41.9</v>
      </c>
      <c r="Y113" s="3">
        <v>13.9</v>
      </c>
      <c r="Z113" s="3">
        <v>13.9</v>
      </c>
      <c r="AA113" s="3">
        <v>0</v>
      </c>
      <c r="AB113" s="3" t="s">
        <v>94</v>
      </c>
      <c r="AC113" s="3">
        <v>5</v>
      </c>
      <c r="AD113" s="3">
        <v>11.12</v>
      </c>
      <c r="AE113" s="3">
        <v>210</v>
      </c>
      <c r="AF113" s="3">
        <v>0</v>
      </c>
      <c r="AG113" s="3">
        <v>28.187259</v>
      </c>
      <c r="AH113" s="3">
        <v>0.327868852459016</v>
      </c>
      <c r="AI113" s="3" t="s">
        <v>140</v>
      </c>
      <c r="AJ113" s="3" t="s">
        <v>88</v>
      </c>
    </row>
    <row r="114" spans="1:36">
      <c r="A114" s="5">
        <v>43288</v>
      </c>
      <c r="B114" s="3" t="s">
        <v>570</v>
      </c>
      <c r="C114" s="3" t="s">
        <v>571</v>
      </c>
      <c r="D114" s="3" t="s">
        <v>572</v>
      </c>
      <c r="E114" s="3" t="s">
        <v>573</v>
      </c>
      <c r="F114" s="3" t="s">
        <v>84</v>
      </c>
      <c r="G114" s="3">
        <v>2</v>
      </c>
      <c r="H114" s="3">
        <v>0</v>
      </c>
      <c r="I114" s="3">
        <v>0</v>
      </c>
      <c r="J114" s="3">
        <v>0</v>
      </c>
      <c r="K114" s="3">
        <v>0</v>
      </c>
      <c r="L114" s="3">
        <v>2</v>
      </c>
      <c r="M114" s="3">
        <v>0</v>
      </c>
      <c r="N114" s="3" t="s">
        <v>85</v>
      </c>
      <c r="O114" s="3">
        <v>0</v>
      </c>
      <c r="P114" s="3">
        <v>0</v>
      </c>
      <c r="Q114" s="3">
        <v>2</v>
      </c>
      <c r="R114" s="3">
        <v>1</v>
      </c>
      <c r="S114" s="3">
        <v>0</v>
      </c>
      <c r="T114" s="3">
        <v>0</v>
      </c>
      <c r="U114" s="3">
        <v>0</v>
      </c>
      <c r="V114" s="3">
        <v>0</v>
      </c>
      <c r="W114" s="3" t="s">
        <v>93</v>
      </c>
      <c r="X114" s="3">
        <v>4.45</v>
      </c>
      <c r="Y114" s="3">
        <v>4.45</v>
      </c>
      <c r="Z114" s="3">
        <v>4.45</v>
      </c>
      <c r="AA114" s="3">
        <v>0</v>
      </c>
      <c r="AB114" s="3" t="s">
        <v>86</v>
      </c>
      <c r="AC114" s="3">
        <v>2</v>
      </c>
      <c r="AD114" s="3">
        <v>4.45</v>
      </c>
      <c r="AE114" s="3">
        <v>0</v>
      </c>
      <c r="AF114" s="3">
        <v>0</v>
      </c>
      <c r="AG114" s="3">
        <v>0</v>
      </c>
      <c r="AH114" s="3">
        <v>0</v>
      </c>
      <c r="AI114" s="3" t="s">
        <v>106</v>
      </c>
      <c r="AJ114" s="3" t="s">
        <v>107</v>
      </c>
    </row>
    <row r="115" spans="1:36">
      <c r="A115" s="5">
        <v>43288</v>
      </c>
      <c r="B115" s="3" t="s">
        <v>574</v>
      </c>
      <c r="C115" s="3" t="s">
        <v>575</v>
      </c>
      <c r="D115" s="3" t="s">
        <v>576</v>
      </c>
      <c r="E115" s="3" t="s">
        <v>577</v>
      </c>
      <c r="F115" s="3" t="s">
        <v>84</v>
      </c>
      <c r="G115" s="3">
        <v>3</v>
      </c>
      <c r="H115" s="3">
        <v>0</v>
      </c>
      <c r="I115" s="3">
        <v>0</v>
      </c>
      <c r="J115" s="3">
        <v>0</v>
      </c>
      <c r="K115" s="3">
        <v>0</v>
      </c>
      <c r="L115" s="3">
        <v>3</v>
      </c>
      <c r="M115" s="3">
        <v>0</v>
      </c>
      <c r="N115" s="3" t="s">
        <v>85</v>
      </c>
      <c r="O115" s="3">
        <v>3</v>
      </c>
      <c r="P115" s="3">
        <v>4.83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93</v>
      </c>
      <c r="X115" s="3">
        <v>11.99</v>
      </c>
      <c r="Y115" s="3">
        <v>11.99</v>
      </c>
      <c r="Z115" s="3">
        <v>10.75</v>
      </c>
      <c r="AA115" s="3">
        <v>0</v>
      </c>
      <c r="AB115" s="3" t="s">
        <v>94</v>
      </c>
      <c r="AC115" s="3">
        <v>0</v>
      </c>
      <c r="AD115" s="3">
        <v>9.99</v>
      </c>
      <c r="AE115" s="3">
        <v>63</v>
      </c>
      <c r="AF115" s="3">
        <v>0</v>
      </c>
      <c r="AG115" s="3">
        <v>56.810147</v>
      </c>
      <c r="AH115" s="3">
        <v>0</v>
      </c>
      <c r="AI115" s="3" t="s">
        <v>578</v>
      </c>
      <c r="AJ115" s="3" t="s">
        <v>88</v>
      </c>
    </row>
    <row r="116" spans="1:36">
      <c r="A116" s="5">
        <v>43288</v>
      </c>
      <c r="B116" s="3" t="s">
        <v>579</v>
      </c>
      <c r="C116" s="3" t="s">
        <v>580</v>
      </c>
      <c r="D116" s="3" t="s">
        <v>581</v>
      </c>
      <c r="E116" s="3" t="s">
        <v>582</v>
      </c>
      <c r="F116" s="3" t="s">
        <v>84</v>
      </c>
      <c r="G116" s="3">
        <v>28</v>
      </c>
      <c r="H116" s="3">
        <v>0</v>
      </c>
      <c r="I116" s="3">
        <v>0</v>
      </c>
      <c r="J116" s="3">
        <v>0</v>
      </c>
      <c r="K116" s="3">
        <v>0</v>
      </c>
      <c r="L116" s="3">
        <v>28</v>
      </c>
      <c r="M116" s="3">
        <v>0</v>
      </c>
      <c r="N116" s="3" t="s">
        <v>85</v>
      </c>
      <c r="O116" s="3">
        <v>28</v>
      </c>
      <c r="P116" s="3">
        <v>38.23</v>
      </c>
      <c r="Q116" s="3">
        <v>0</v>
      </c>
      <c r="R116" s="3">
        <v>0</v>
      </c>
      <c r="S116" s="3">
        <v>0</v>
      </c>
      <c r="T116" s="3">
        <v>1</v>
      </c>
      <c r="U116" s="3">
        <v>1</v>
      </c>
      <c r="V116" s="3">
        <v>1</v>
      </c>
      <c r="W116" s="3"/>
      <c r="X116" s="3">
        <v>10.39</v>
      </c>
      <c r="Y116" s="3">
        <v>10.39</v>
      </c>
      <c r="Z116" s="3">
        <v>10.39</v>
      </c>
      <c r="AA116" s="3">
        <v>0</v>
      </c>
      <c r="AB116" s="3" t="s">
        <v>94</v>
      </c>
      <c r="AC116" s="3">
        <v>3</v>
      </c>
      <c r="AD116" s="3">
        <v>9.34</v>
      </c>
      <c r="AE116" s="3">
        <v>98</v>
      </c>
      <c r="AF116" s="3">
        <v>0</v>
      </c>
      <c r="AG116" s="3">
        <v>535.558237</v>
      </c>
      <c r="AH116" s="3">
        <v>0.0347826086956521</v>
      </c>
      <c r="AI116" s="3" t="s">
        <v>164</v>
      </c>
      <c r="AJ116" s="3" t="s">
        <v>88</v>
      </c>
    </row>
    <row r="117" spans="1:36">
      <c r="A117" s="5">
        <v>43288</v>
      </c>
      <c r="B117" s="3" t="s">
        <v>583</v>
      </c>
      <c r="C117" s="3" t="s">
        <v>584</v>
      </c>
      <c r="D117" s="3" t="s">
        <v>585</v>
      </c>
      <c r="E117" s="3" t="s">
        <v>586</v>
      </c>
      <c r="F117" s="3" t="s">
        <v>84</v>
      </c>
      <c r="G117" s="3">
        <v>8</v>
      </c>
      <c r="H117" s="3">
        <v>0</v>
      </c>
      <c r="I117" s="3">
        <v>0</v>
      </c>
      <c r="J117" s="3">
        <v>0</v>
      </c>
      <c r="K117" s="3">
        <v>0</v>
      </c>
      <c r="L117" s="3">
        <v>8</v>
      </c>
      <c r="M117" s="3">
        <v>0</v>
      </c>
      <c r="N117" s="3" t="s">
        <v>85</v>
      </c>
      <c r="O117" s="3">
        <v>8</v>
      </c>
      <c r="P117" s="3">
        <v>15.4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93</v>
      </c>
      <c r="X117" s="3">
        <v>11.9</v>
      </c>
      <c r="Y117" s="3">
        <v>11.9</v>
      </c>
      <c r="Z117" s="3">
        <v>11.9</v>
      </c>
      <c r="AA117" s="3">
        <v>0</v>
      </c>
      <c r="AB117" s="3" t="s">
        <v>94</v>
      </c>
      <c r="AC117" s="3">
        <v>0</v>
      </c>
      <c r="AD117" s="3">
        <v>9.52</v>
      </c>
      <c r="AE117" s="3">
        <v>63</v>
      </c>
      <c r="AF117" s="3">
        <v>0</v>
      </c>
      <c r="AG117" s="3">
        <v>180.897203</v>
      </c>
      <c r="AH117" s="3">
        <v>0</v>
      </c>
      <c r="AI117" s="3" t="s">
        <v>371</v>
      </c>
      <c r="AJ117" s="3" t="s">
        <v>88</v>
      </c>
    </row>
    <row r="118" spans="1:36">
      <c r="A118" s="5">
        <v>43288</v>
      </c>
      <c r="B118" s="3" t="s">
        <v>587</v>
      </c>
      <c r="C118" s="3" t="s">
        <v>588</v>
      </c>
      <c r="D118" s="3" t="s">
        <v>589</v>
      </c>
      <c r="E118" s="3" t="s">
        <v>590</v>
      </c>
      <c r="F118" s="3" t="s">
        <v>84</v>
      </c>
      <c r="G118" s="3">
        <v>32</v>
      </c>
      <c r="H118" s="3">
        <v>0</v>
      </c>
      <c r="I118" s="3">
        <v>0</v>
      </c>
      <c r="J118" s="3">
        <v>0</v>
      </c>
      <c r="K118" s="3">
        <v>0</v>
      </c>
      <c r="L118" s="3">
        <v>32</v>
      </c>
      <c r="M118" s="3">
        <v>0</v>
      </c>
      <c r="N118" s="3" t="s">
        <v>85</v>
      </c>
      <c r="O118" s="3">
        <v>32</v>
      </c>
      <c r="P118" s="3">
        <v>44.08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3" t="s">
        <v>100</v>
      </c>
      <c r="X118" s="3">
        <v>7.99</v>
      </c>
      <c r="Y118" s="3">
        <v>7.99</v>
      </c>
      <c r="Z118" s="3">
        <v>7.99</v>
      </c>
      <c r="AA118" s="3">
        <v>0</v>
      </c>
      <c r="AB118" s="3" t="s">
        <v>94</v>
      </c>
      <c r="AC118" s="3">
        <v>0</v>
      </c>
      <c r="AD118" s="3">
        <v>6.39</v>
      </c>
      <c r="AE118" s="3">
        <v>364</v>
      </c>
      <c r="AF118" s="3">
        <v>0</v>
      </c>
      <c r="AG118" s="3">
        <v>518.415367</v>
      </c>
      <c r="AH118" s="3">
        <v>0</v>
      </c>
      <c r="AI118" s="3" t="s">
        <v>101</v>
      </c>
      <c r="AJ118" s="3" t="s">
        <v>88</v>
      </c>
    </row>
    <row r="119" spans="1:36">
      <c r="A119" s="5">
        <v>43288</v>
      </c>
      <c r="B119" s="3" t="s">
        <v>591</v>
      </c>
      <c r="C119" s="3" t="s">
        <v>592</v>
      </c>
      <c r="D119" s="3" t="s">
        <v>593</v>
      </c>
      <c r="E119" s="3" t="s">
        <v>594</v>
      </c>
      <c r="F119" s="3" t="s">
        <v>84</v>
      </c>
      <c r="G119" s="3">
        <v>1</v>
      </c>
      <c r="H119" s="3">
        <v>0</v>
      </c>
      <c r="I119" s="3">
        <v>0</v>
      </c>
      <c r="J119" s="3">
        <v>0</v>
      </c>
      <c r="K119" s="3">
        <v>0</v>
      </c>
      <c r="L119" s="3">
        <v>1</v>
      </c>
      <c r="M119" s="3">
        <v>0</v>
      </c>
      <c r="N119" s="3" t="s">
        <v>85</v>
      </c>
      <c r="O119" s="3">
        <v>1</v>
      </c>
      <c r="P119" s="3">
        <v>1.33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 t="s">
        <v>93</v>
      </c>
      <c r="X119" s="3">
        <v>17.9</v>
      </c>
      <c r="Y119" s="3">
        <v>17.9</v>
      </c>
      <c r="Z119" s="3">
        <v>17.9</v>
      </c>
      <c r="AA119" s="3">
        <v>0</v>
      </c>
      <c r="AB119" s="3" t="s">
        <v>94</v>
      </c>
      <c r="AC119" s="3">
        <v>0</v>
      </c>
      <c r="AD119" s="3">
        <v>14.32</v>
      </c>
      <c r="AE119" s="3">
        <v>63</v>
      </c>
      <c r="AF119" s="3">
        <v>0</v>
      </c>
      <c r="AG119" s="3">
        <v>15.828142</v>
      </c>
      <c r="AH119" s="3">
        <v>0</v>
      </c>
      <c r="AI119" s="3" t="s">
        <v>595</v>
      </c>
      <c r="AJ119" s="3" t="s">
        <v>88</v>
      </c>
    </row>
    <row r="120" spans="1:36">
      <c r="A120" s="5">
        <v>43288</v>
      </c>
      <c r="B120" s="3" t="s">
        <v>596</v>
      </c>
      <c r="C120" s="3" t="s">
        <v>597</v>
      </c>
      <c r="D120" s="3" t="s">
        <v>598</v>
      </c>
      <c r="E120" s="3" t="s">
        <v>599</v>
      </c>
      <c r="F120" s="3" t="s">
        <v>84</v>
      </c>
      <c r="G120" s="3">
        <v>4</v>
      </c>
      <c r="H120" s="3">
        <v>0</v>
      </c>
      <c r="I120" s="3">
        <v>0</v>
      </c>
      <c r="J120" s="3">
        <v>0</v>
      </c>
      <c r="K120" s="3">
        <v>4</v>
      </c>
      <c r="L120" s="3">
        <v>0</v>
      </c>
      <c r="M120" s="3">
        <v>0</v>
      </c>
      <c r="N120" s="3" t="s">
        <v>85</v>
      </c>
      <c r="O120" s="3">
        <v>4</v>
      </c>
      <c r="P120" s="3">
        <v>1.21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1</v>
      </c>
      <c r="W120" s="3" t="s">
        <v>93</v>
      </c>
      <c r="X120" s="3">
        <v>8.99</v>
      </c>
      <c r="Y120" s="3">
        <v>8.99</v>
      </c>
      <c r="Z120" s="3">
        <v>8.99</v>
      </c>
      <c r="AA120" s="3">
        <v>0</v>
      </c>
      <c r="AB120" s="3" t="s">
        <v>86</v>
      </c>
      <c r="AC120" s="3">
        <v>4</v>
      </c>
      <c r="AD120" s="3">
        <v>8.99</v>
      </c>
      <c r="AE120" s="3">
        <v>0</v>
      </c>
      <c r="AF120" s="3">
        <v>0</v>
      </c>
      <c r="AG120" s="3">
        <v>0</v>
      </c>
      <c r="AH120" s="3">
        <v>0.235294117647058</v>
      </c>
      <c r="AI120" s="3" t="s">
        <v>466</v>
      </c>
      <c r="AJ120" s="3" t="s">
        <v>88</v>
      </c>
    </row>
    <row r="121" spans="1:36">
      <c r="A121" s="5">
        <v>43288</v>
      </c>
      <c r="B121" s="3" t="s">
        <v>600</v>
      </c>
      <c r="C121" s="3" t="s">
        <v>601</v>
      </c>
      <c r="D121" s="3" t="s">
        <v>602</v>
      </c>
      <c r="E121" s="3" t="s">
        <v>603</v>
      </c>
      <c r="F121" s="3" t="s">
        <v>84</v>
      </c>
      <c r="G121" s="3">
        <v>2</v>
      </c>
      <c r="H121" s="3">
        <v>0</v>
      </c>
      <c r="I121" s="3">
        <v>0</v>
      </c>
      <c r="J121" s="3">
        <v>0</v>
      </c>
      <c r="K121" s="3">
        <v>0</v>
      </c>
      <c r="L121" s="3">
        <v>2</v>
      </c>
      <c r="M121" s="3">
        <v>0</v>
      </c>
      <c r="N121" s="3" t="s">
        <v>85</v>
      </c>
      <c r="O121" s="3">
        <v>2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 t="s">
        <v>93</v>
      </c>
      <c r="X121" s="3">
        <v>16.9</v>
      </c>
      <c r="Y121" s="3">
        <v>16.9</v>
      </c>
      <c r="Z121" s="3">
        <v>16.9</v>
      </c>
      <c r="AA121" s="3">
        <v>0</v>
      </c>
      <c r="AB121" s="3" t="s">
        <v>86</v>
      </c>
      <c r="AC121" s="3">
        <v>2</v>
      </c>
      <c r="AD121" s="3">
        <v>16.9</v>
      </c>
      <c r="AE121" s="3">
        <v>0</v>
      </c>
      <c r="AF121" s="3">
        <v>0</v>
      </c>
      <c r="AG121" s="3">
        <v>0</v>
      </c>
      <c r="AH121" s="3">
        <v>0</v>
      </c>
      <c r="AI121" s="3" t="s">
        <v>95</v>
      </c>
      <c r="AJ121" s="3" t="s">
        <v>88</v>
      </c>
    </row>
    <row r="122" spans="1:36">
      <c r="A122" s="5">
        <v>43288</v>
      </c>
      <c r="B122" s="3" t="s">
        <v>604</v>
      </c>
      <c r="C122" s="3" t="s">
        <v>605</v>
      </c>
      <c r="D122" s="3" t="s">
        <v>606</v>
      </c>
      <c r="E122" s="3" t="s">
        <v>607</v>
      </c>
      <c r="F122" s="3" t="s">
        <v>84</v>
      </c>
      <c r="G122" s="3">
        <v>13</v>
      </c>
      <c r="H122" s="3">
        <v>0</v>
      </c>
      <c r="I122" s="3">
        <v>0</v>
      </c>
      <c r="J122" s="3">
        <v>0</v>
      </c>
      <c r="K122" s="3">
        <v>0</v>
      </c>
      <c r="L122" s="3">
        <v>13</v>
      </c>
      <c r="M122" s="3">
        <v>0</v>
      </c>
      <c r="N122" s="3" t="s">
        <v>85</v>
      </c>
      <c r="O122" s="3">
        <v>12</v>
      </c>
      <c r="P122" s="3">
        <v>32.77</v>
      </c>
      <c r="Q122" s="3">
        <v>1</v>
      </c>
      <c r="R122" s="3">
        <v>5.46</v>
      </c>
      <c r="S122" s="3">
        <v>0</v>
      </c>
      <c r="T122" s="3">
        <v>0</v>
      </c>
      <c r="U122" s="3">
        <v>0</v>
      </c>
      <c r="V122" s="3">
        <v>0</v>
      </c>
      <c r="W122" s="3" t="s">
        <v>100</v>
      </c>
      <c r="X122" s="3">
        <v>13.9</v>
      </c>
      <c r="Y122" s="3">
        <v>13.9</v>
      </c>
      <c r="Z122" s="3">
        <v>13.9</v>
      </c>
      <c r="AA122" s="3">
        <v>0</v>
      </c>
      <c r="AB122" s="3" t="s">
        <v>94</v>
      </c>
      <c r="AC122" s="3">
        <v>0</v>
      </c>
      <c r="AD122" s="3">
        <v>11.12</v>
      </c>
      <c r="AE122" s="3">
        <v>63</v>
      </c>
      <c r="AF122" s="3">
        <v>0</v>
      </c>
      <c r="AG122" s="3">
        <v>452.419499</v>
      </c>
      <c r="AH122" s="3">
        <v>0</v>
      </c>
      <c r="AI122" s="3" t="s">
        <v>173</v>
      </c>
      <c r="AJ122" s="3" t="s">
        <v>88</v>
      </c>
    </row>
    <row r="123" spans="1:36">
      <c r="A123" s="5">
        <v>43288</v>
      </c>
      <c r="B123" s="3" t="s">
        <v>608</v>
      </c>
      <c r="C123" s="3" t="s">
        <v>609</v>
      </c>
      <c r="D123" s="3" t="s">
        <v>610</v>
      </c>
      <c r="E123" s="3" t="s">
        <v>611</v>
      </c>
      <c r="F123" s="3" t="s">
        <v>84</v>
      </c>
      <c r="G123" s="3">
        <v>3</v>
      </c>
      <c r="H123" s="3">
        <v>0</v>
      </c>
      <c r="I123" s="3">
        <v>0</v>
      </c>
      <c r="J123" s="3">
        <v>0</v>
      </c>
      <c r="K123" s="3">
        <v>3</v>
      </c>
      <c r="L123" s="3">
        <v>0</v>
      </c>
      <c r="M123" s="3">
        <v>0</v>
      </c>
      <c r="N123" s="3" t="s">
        <v>85</v>
      </c>
      <c r="O123" s="3">
        <v>3</v>
      </c>
      <c r="P123" s="3">
        <v>18.99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 t="s">
        <v>100</v>
      </c>
      <c r="X123" s="3">
        <v>69.99</v>
      </c>
      <c r="Y123" s="3">
        <v>42.99</v>
      </c>
      <c r="Z123" s="3">
        <v>39.99</v>
      </c>
      <c r="AA123" s="3">
        <v>0</v>
      </c>
      <c r="AB123" s="3" t="s">
        <v>94</v>
      </c>
      <c r="AC123" s="3">
        <v>0</v>
      </c>
      <c r="AD123" s="3">
        <v>36.04</v>
      </c>
      <c r="AE123" s="3">
        <v>35</v>
      </c>
      <c r="AF123" s="3">
        <v>0</v>
      </c>
      <c r="AG123" s="3">
        <v>238.476831</v>
      </c>
      <c r="AH123" s="3">
        <v>0</v>
      </c>
      <c r="AI123" s="3" t="s">
        <v>135</v>
      </c>
      <c r="AJ123" s="3" t="s">
        <v>612</v>
      </c>
    </row>
    <row r="124" spans="1:36">
      <c r="A124" s="5">
        <v>43288</v>
      </c>
      <c r="B124" s="3" t="s">
        <v>613</v>
      </c>
      <c r="C124" s="3" t="s">
        <v>614</v>
      </c>
      <c r="D124" s="3" t="s">
        <v>615</v>
      </c>
      <c r="E124" s="3" t="s">
        <v>616</v>
      </c>
      <c r="F124" s="3" t="s">
        <v>84</v>
      </c>
      <c r="G124" s="3">
        <v>3</v>
      </c>
      <c r="H124" s="3">
        <v>0</v>
      </c>
      <c r="I124" s="3">
        <v>0</v>
      </c>
      <c r="J124" s="3">
        <v>0</v>
      </c>
      <c r="K124" s="3">
        <v>0</v>
      </c>
      <c r="L124" s="3">
        <v>3</v>
      </c>
      <c r="M124" s="3">
        <v>0</v>
      </c>
      <c r="N124" s="3" t="s">
        <v>85</v>
      </c>
      <c r="O124" s="3">
        <v>1</v>
      </c>
      <c r="P124" s="3">
        <v>2.12</v>
      </c>
      <c r="Q124" s="3">
        <v>2</v>
      </c>
      <c r="R124" s="3">
        <v>8.46</v>
      </c>
      <c r="S124" s="3">
        <v>0</v>
      </c>
      <c r="T124" s="3">
        <v>0</v>
      </c>
      <c r="U124" s="3">
        <v>0</v>
      </c>
      <c r="V124" s="3">
        <v>0</v>
      </c>
      <c r="W124" s="3" t="s">
        <v>93</v>
      </c>
      <c r="X124" s="3">
        <v>12.9</v>
      </c>
      <c r="Y124" s="3">
        <v>12.9</v>
      </c>
      <c r="Z124" s="3">
        <v>12.9</v>
      </c>
      <c r="AA124" s="3">
        <v>0</v>
      </c>
      <c r="AB124" s="3" t="s">
        <v>94</v>
      </c>
      <c r="AC124" s="3">
        <v>0</v>
      </c>
      <c r="AD124" s="3">
        <v>10.32</v>
      </c>
      <c r="AE124" s="3">
        <v>63</v>
      </c>
      <c r="AF124" s="3">
        <v>0</v>
      </c>
      <c r="AG124" s="3">
        <v>81.053364</v>
      </c>
      <c r="AH124" s="3">
        <v>0</v>
      </c>
      <c r="AI124" s="3" t="s">
        <v>617</v>
      </c>
      <c r="AJ124" s="3" t="s">
        <v>88</v>
      </c>
    </row>
    <row r="125" spans="1:36">
      <c r="A125" s="5">
        <v>43288</v>
      </c>
      <c r="B125" s="3" t="s">
        <v>618</v>
      </c>
      <c r="C125" s="3" t="s">
        <v>619</v>
      </c>
      <c r="D125" s="3" t="s">
        <v>620</v>
      </c>
      <c r="E125" s="3" t="s">
        <v>621</v>
      </c>
      <c r="F125" s="3" t="s">
        <v>84</v>
      </c>
      <c r="G125" s="3">
        <v>30</v>
      </c>
      <c r="H125" s="3">
        <v>0</v>
      </c>
      <c r="I125" s="3">
        <v>0</v>
      </c>
      <c r="J125" s="3">
        <v>0</v>
      </c>
      <c r="K125" s="3">
        <v>0</v>
      </c>
      <c r="L125" s="3">
        <v>30</v>
      </c>
      <c r="M125" s="3">
        <v>0</v>
      </c>
      <c r="N125" s="3" t="s">
        <v>85</v>
      </c>
      <c r="O125" s="3">
        <v>30</v>
      </c>
      <c r="P125" s="3">
        <v>40.96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 t="s">
        <v>100</v>
      </c>
      <c r="X125" s="3">
        <v>12.99</v>
      </c>
      <c r="Y125" s="3">
        <v>12.99</v>
      </c>
      <c r="Z125" s="3">
        <v>11.18</v>
      </c>
      <c r="AA125" s="3">
        <v>0</v>
      </c>
      <c r="AB125" s="3" t="s">
        <v>94</v>
      </c>
      <c r="AC125" s="3">
        <v>0</v>
      </c>
      <c r="AD125" s="3">
        <v>10.39</v>
      </c>
      <c r="AE125" s="3">
        <v>63</v>
      </c>
      <c r="AF125" s="3">
        <v>0</v>
      </c>
      <c r="AG125" s="3">
        <v>484.960988</v>
      </c>
      <c r="AH125" s="3">
        <v>0</v>
      </c>
      <c r="AI125" s="3" t="s">
        <v>164</v>
      </c>
      <c r="AJ125" s="3" t="s">
        <v>88</v>
      </c>
    </row>
    <row r="126" spans="1:36">
      <c r="A126" s="5">
        <v>43288</v>
      </c>
      <c r="B126" s="3" t="s">
        <v>622</v>
      </c>
      <c r="C126" s="3" t="s">
        <v>623</v>
      </c>
      <c r="D126" s="3" t="s">
        <v>624</v>
      </c>
      <c r="E126" s="3" t="s">
        <v>625</v>
      </c>
      <c r="F126" s="3" t="s">
        <v>84</v>
      </c>
      <c r="G126" s="3">
        <v>1</v>
      </c>
      <c r="H126" s="3">
        <v>0</v>
      </c>
      <c r="I126" s="3">
        <v>0</v>
      </c>
      <c r="J126" s="3">
        <v>0</v>
      </c>
      <c r="K126" s="3">
        <v>0</v>
      </c>
      <c r="L126" s="3">
        <v>1</v>
      </c>
      <c r="M126" s="3">
        <v>0</v>
      </c>
      <c r="N126" s="3" t="s">
        <v>85</v>
      </c>
      <c r="O126" s="3">
        <v>0</v>
      </c>
      <c r="P126" s="3">
        <v>0</v>
      </c>
      <c r="Q126" s="3">
        <v>1</v>
      </c>
      <c r="R126" s="3">
        <v>0.5</v>
      </c>
      <c r="S126" s="3">
        <v>0</v>
      </c>
      <c r="T126" s="3">
        <v>0</v>
      </c>
      <c r="U126" s="3">
        <v>0</v>
      </c>
      <c r="V126" s="3">
        <v>0</v>
      </c>
      <c r="W126" s="3" t="s">
        <v>93</v>
      </c>
      <c r="X126" s="3">
        <v>66.9</v>
      </c>
      <c r="Y126" s="3">
        <v>66.9</v>
      </c>
      <c r="Z126" s="3">
        <v>66.9</v>
      </c>
      <c r="AA126" s="3">
        <v>0</v>
      </c>
      <c r="AB126" s="3" t="s">
        <v>94</v>
      </c>
      <c r="AC126" s="3">
        <v>0</v>
      </c>
      <c r="AD126" s="3">
        <v>53.52</v>
      </c>
      <c r="AE126" s="3">
        <v>63</v>
      </c>
      <c r="AF126" s="3">
        <v>0</v>
      </c>
      <c r="AG126" s="3">
        <v>6.461958</v>
      </c>
      <c r="AH126" s="3">
        <v>0</v>
      </c>
      <c r="AI126" s="3" t="s">
        <v>95</v>
      </c>
      <c r="AJ126" s="3" t="s">
        <v>88</v>
      </c>
    </row>
    <row r="127" spans="1:36">
      <c r="A127" s="5">
        <v>43288</v>
      </c>
      <c r="B127" s="3" t="s">
        <v>626</v>
      </c>
      <c r="C127" s="3" t="s">
        <v>627</v>
      </c>
      <c r="D127" s="3" t="s">
        <v>628</v>
      </c>
      <c r="E127" s="3" t="s">
        <v>629</v>
      </c>
      <c r="F127" s="3" t="s">
        <v>84</v>
      </c>
      <c r="G127" s="3">
        <v>4</v>
      </c>
      <c r="H127" s="3">
        <v>0</v>
      </c>
      <c r="I127" s="3">
        <v>0</v>
      </c>
      <c r="J127" s="3">
        <v>0</v>
      </c>
      <c r="K127" s="3">
        <v>0</v>
      </c>
      <c r="L127" s="3">
        <v>4</v>
      </c>
      <c r="M127" s="3">
        <v>0</v>
      </c>
      <c r="N127" s="3" t="s">
        <v>85</v>
      </c>
      <c r="O127" s="3">
        <v>1</v>
      </c>
      <c r="P127" s="3">
        <v>1.26</v>
      </c>
      <c r="Q127" s="3">
        <v>3</v>
      </c>
      <c r="R127" s="3">
        <v>7.54</v>
      </c>
      <c r="S127" s="3">
        <v>0</v>
      </c>
      <c r="T127" s="3">
        <v>2</v>
      </c>
      <c r="U127" s="3">
        <v>4</v>
      </c>
      <c r="V127" s="3">
        <v>5</v>
      </c>
      <c r="W127" s="3"/>
      <c r="X127" s="3">
        <v>13.9</v>
      </c>
      <c r="Y127" s="3">
        <v>13.9</v>
      </c>
      <c r="Z127" s="3">
        <v>13.9</v>
      </c>
      <c r="AA127" s="3">
        <v>0</v>
      </c>
      <c r="AB127" s="3" t="s">
        <v>94</v>
      </c>
      <c r="AC127" s="3">
        <v>0</v>
      </c>
      <c r="AD127" s="3">
        <v>9.68</v>
      </c>
      <c r="AE127" s="3">
        <v>56</v>
      </c>
      <c r="AF127" s="3">
        <v>0</v>
      </c>
      <c r="AG127" s="3">
        <v>30.780715</v>
      </c>
      <c r="AH127" s="3">
        <v>0.689655172413793</v>
      </c>
      <c r="AI127" s="3" t="s">
        <v>630</v>
      </c>
      <c r="AJ127" s="3" t="s">
        <v>88</v>
      </c>
    </row>
    <row r="128" spans="1:36">
      <c r="A128" s="5">
        <v>43288</v>
      </c>
      <c r="B128" s="3" t="s">
        <v>631</v>
      </c>
      <c r="C128" s="3" t="s">
        <v>632</v>
      </c>
      <c r="D128" s="3" t="s">
        <v>633</v>
      </c>
      <c r="E128" s="3" t="s">
        <v>634</v>
      </c>
      <c r="F128" s="3" t="s">
        <v>84</v>
      </c>
      <c r="G128" s="3">
        <v>33</v>
      </c>
      <c r="H128" s="3">
        <v>0</v>
      </c>
      <c r="I128" s="3">
        <v>0</v>
      </c>
      <c r="J128" s="3">
        <v>0</v>
      </c>
      <c r="K128" s="3">
        <v>0</v>
      </c>
      <c r="L128" s="3">
        <v>33</v>
      </c>
      <c r="M128" s="3">
        <v>0</v>
      </c>
      <c r="N128" s="3" t="s">
        <v>85</v>
      </c>
      <c r="O128" s="3">
        <v>33</v>
      </c>
      <c r="P128" s="3">
        <v>45.46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 t="s">
        <v>100</v>
      </c>
      <c r="X128" s="3">
        <v>8.7</v>
      </c>
      <c r="Y128" s="3">
        <v>8.7</v>
      </c>
      <c r="Z128" s="3">
        <v>8.7</v>
      </c>
      <c r="AA128" s="3">
        <v>0</v>
      </c>
      <c r="AB128" s="3" t="s">
        <v>94</v>
      </c>
      <c r="AC128" s="3">
        <v>4</v>
      </c>
      <c r="AD128" s="3">
        <v>7.75</v>
      </c>
      <c r="AE128" s="3">
        <v>84</v>
      </c>
      <c r="AF128" s="3">
        <v>0</v>
      </c>
      <c r="AG128" s="3">
        <v>598.881195</v>
      </c>
      <c r="AH128" s="3">
        <v>0</v>
      </c>
      <c r="AI128" s="3" t="s">
        <v>101</v>
      </c>
      <c r="AJ128" s="3" t="s">
        <v>88</v>
      </c>
    </row>
    <row r="129" spans="1:36">
      <c r="A129" s="5">
        <v>43288</v>
      </c>
      <c r="B129" s="3" t="s">
        <v>635</v>
      </c>
      <c r="C129" s="3" t="s">
        <v>636</v>
      </c>
      <c r="D129" s="3" t="s">
        <v>637</v>
      </c>
      <c r="E129" s="3" t="s">
        <v>638</v>
      </c>
      <c r="F129" s="3" t="s">
        <v>84</v>
      </c>
      <c r="G129" s="3">
        <v>1</v>
      </c>
      <c r="H129" s="3">
        <v>0</v>
      </c>
      <c r="I129" s="3">
        <v>0</v>
      </c>
      <c r="J129" s="3">
        <v>0</v>
      </c>
      <c r="K129" s="3">
        <v>0</v>
      </c>
      <c r="L129" s="3">
        <v>1</v>
      </c>
      <c r="M129" s="3">
        <v>0</v>
      </c>
      <c r="N129" s="3" t="s">
        <v>85</v>
      </c>
      <c r="O129" s="3">
        <v>0</v>
      </c>
      <c r="P129" s="3">
        <v>0</v>
      </c>
      <c r="Q129" s="3">
        <v>1</v>
      </c>
      <c r="R129" s="3">
        <v>0.5</v>
      </c>
      <c r="S129" s="3">
        <v>0</v>
      </c>
      <c r="T129" s="3">
        <v>0</v>
      </c>
      <c r="U129" s="3">
        <v>0</v>
      </c>
      <c r="V129" s="3">
        <v>0</v>
      </c>
      <c r="W129" s="3" t="s">
        <v>93</v>
      </c>
      <c r="X129" s="3">
        <v>5.36</v>
      </c>
      <c r="Y129" s="3">
        <v>5.36</v>
      </c>
      <c r="Z129" s="3">
        <v>5.36</v>
      </c>
      <c r="AA129" s="3">
        <v>0</v>
      </c>
      <c r="AB129" s="3" t="s">
        <v>86</v>
      </c>
      <c r="AC129" s="3">
        <v>1</v>
      </c>
      <c r="AD129" s="3">
        <v>5.36</v>
      </c>
      <c r="AE129" s="3">
        <v>0</v>
      </c>
      <c r="AF129" s="3">
        <v>0</v>
      </c>
      <c r="AG129" s="3">
        <v>0</v>
      </c>
      <c r="AH129" s="3">
        <v>0</v>
      </c>
      <c r="AI129" s="3" t="s">
        <v>106</v>
      </c>
      <c r="AJ129" s="3" t="s">
        <v>88</v>
      </c>
    </row>
    <row r="130" spans="1:36">
      <c r="A130" s="5">
        <v>43288</v>
      </c>
      <c r="B130" s="3" t="s">
        <v>639</v>
      </c>
      <c r="C130" s="3" t="s">
        <v>640</v>
      </c>
      <c r="D130" s="3" t="s">
        <v>641</v>
      </c>
      <c r="E130" s="3" t="s">
        <v>642</v>
      </c>
      <c r="F130" s="3" t="s">
        <v>84</v>
      </c>
      <c r="G130" s="3">
        <v>2</v>
      </c>
      <c r="H130" s="3">
        <v>0</v>
      </c>
      <c r="I130" s="3">
        <v>0</v>
      </c>
      <c r="J130" s="3">
        <v>0</v>
      </c>
      <c r="K130" s="3">
        <v>0</v>
      </c>
      <c r="L130" s="3">
        <v>2</v>
      </c>
      <c r="M130" s="3">
        <v>0</v>
      </c>
      <c r="N130" s="3" t="s">
        <v>85</v>
      </c>
      <c r="O130" s="3">
        <v>0</v>
      </c>
      <c r="P130" s="3">
        <v>0</v>
      </c>
      <c r="Q130" s="3">
        <v>2</v>
      </c>
      <c r="R130" s="3">
        <v>1</v>
      </c>
      <c r="S130" s="3">
        <v>0</v>
      </c>
      <c r="T130" s="3">
        <v>0</v>
      </c>
      <c r="U130" s="3">
        <v>0</v>
      </c>
      <c r="V130" s="3">
        <v>0</v>
      </c>
      <c r="W130" s="3" t="s">
        <v>93</v>
      </c>
      <c r="X130" s="3">
        <v>5.63</v>
      </c>
      <c r="Y130" s="3">
        <v>5.63</v>
      </c>
      <c r="Z130" s="3">
        <v>5.63</v>
      </c>
      <c r="AA130" s="3">
        <v>0</v>
      </c>
      <c r="AB130" s="3" t="s">
        <v>86</v>
      </c>
      <c r="AC130" s="3">
        <v>2</v>
      </c>
      <c r="AD130" s="3">
        <v>5.63</v>
      </c>
      <c r="AE130" s="3">
        <v>0</v>
      </c>
      <c r="AF130" s="3">
        <v>0</v>
      </c>
      <c r="AG130" s="3">
        <v>0</v>
      </c>
      <c r="AH130" s="3">
        <v>0</v>
      </c>
      <c r="AI130" s="3" t="s">
        <v>106</v>
      </c>
      <c r="AJ130" s="3" t="s">
        <v>107</v>
      </c>
    </row>
    <row r="131" spans="1:36">
      <c r="A131" s="5">
        <v>43288</v>
      </c>
      <c r="B131" s="3" t="s">
        <v>643</v>
      </c>
      <c r="C131" s="3" t="s">
        <v>644</v>
      </c>
      <c r="D131" s="3" t="s">
        <v>645</v>
      </c>
      <c r="E131" s="3" t="s">
        <v>646</v>
      </c>
      <c r="F131" s="3" t="s">
        <v>84</v>
      </c>
      <c r="G131" s="3">
        <v>3</v>
      </c>
      <c r="H131" s="3">
        <v>0</v>
      </c>
      <c r="I131" s="3">
        <v>0</v>
      </c>
      <c r="J131" s="3">
        <v>0</v>
      </c>
      <c r="K131" s="3">
        <v>0</v>
      </c>
      <c r="L131" s="3">
        <v>3</v>
      </c>
      <c r="M131" s="3">
        <v>0</v>
      </c>
      <c r="N131" s="3" t="s">
        <v>85</v>
      </c>
      <c r="O131" s="3">
        <v>0</v>
      </c>
      <c r="P131" s="3">
        <v>0</v>
      </c>
      <c r="Q131" s="3">
        <v>3</v>
      </c>
      <c r="R131" s="3">
        <v>1.5</v>
      </c>
      <c r="S131" s="3">
        <v>0</v>
      </c>
      <c r="T131" s="3">
        <v>0</v>
      </c>
      <c r="U131" s="3">
        <v>0</v>
      </c>
      <c r="V131" s="3">
        <v>0</v>
      </c>
      <c r="W131" s="3" t="s">
        <v>93</v>
      </c>
      <c r="X131" s="3">
        <v>66.9</v>
      </c>
      <c r="Y131" s="3">
        <v>66.9</v>
      </c>
      <c r="Z131" s="3">
        <v>66.9</v>
      </c>
      <c r="AA131" s="3">
        <v>0</v>
      </c>
      <c r="AB131" s="3" t="s">
        <v>94</v>
      </c>
      <c r="AC131" s="3">
        <v>0</v>
      </c>
      <c r="AD131" s="3">
        <v>53.52</v>
      </c>
      <c r="AE131" s="3">
        <v>63</v>
      </c>
      <c r="AF131" s="3">
        <v>0</v>
      </c>
      <c r="AG131" s="3">
        <v>19.385875</v>
      </c>
      <c r="AH131" s="3">
        <v>0</v>
      </c>
      <c r="AI131" s="3" t="s">
        <v>95</v>
      </c>
      <c r="AJ131" s="3" t="s">
        <v>88</v>
      </c>
    </row>
    <row r="132" spans="1:36">
      <c r="A132" s="5">
        <v>43288</v>
      </c>
      <c r="B132" s="3" t="s">
        <v>647</v>
      </c>
      <c r="C132" s="3" t="s">
        <v>648</v>
      </c>
      <c r="D132" s="3" t="s">
        <v>649</v>
      </c>
      <c r="E132" s="3" t="s">
        <v>650</v>
      </c>
      <c r="F132" s="3" t="s">
        <v>84</v>
      </c>
      <c r="G132" s="3">
        <v>2</v>
      </c>
      <c r="H132" s="3">
        <v>0</v>
      </c>
      <c r="I132" s="3">
        <v>0</v>
      </c>
      <c r="J132" s="3">
        <v>0</v>
      </c>
      <c r="K132" s="3">
        <v>0</v>
      </c>
      <c r="L132" s="3">
        <v>2</v>
      </c>
      <c r="M132" s="3">
        <v>0</v>
      </c>
      <c r="N132" s="3" t="s">
        <v>85</v>
      </c>
      <c r="O132" s="3">
        <v>0</v>
      </c>
      <c r="P132" s="3">
        <v>0</v>
      </c>
      <c r="Q132" s="3">
        <v>2</v>
      </c>
      <c r="R132" s="3">
        <v>1</v>
      </c>
      <c r="S132" s="3">
        <v>0</v>
      </c>
      <c r="T132" s="3">
        <v>0</v>
      </c>
      <c r="U132" s="3">
        <v>0</v>
      </c>
      <c r="V132" s="3">
        <v>0</v>
      </c>
      <c r="W132" s="3" t="s">
        <v>93</v>
      </c>
      <c r="X132" s="3">
        <v>4.66</v>
      </c>
      <c r="Y132" s="3">
        <v>4.66</v>
      </c>
      <c r="Z132" s="3">
        <v>4.66</v>
      </c>
      <c r="AA132" s="3">
        <v>0</v>
      </c>
      <c r="AB132" s="3" t="s">
        <v>86</v>
      </c>
      <c r="AC132" s="3">
        <v>2</v>
      </c>
      <c r="AD132" s="3">
        <v>4.66</v>
      </c>
      <c r="AE132" s="3">
        <v>0</v>
      </c>
      <c r="AF132" s="3">
        <v>0</v>
      </c>
      <c r="AG132" s="3">
        <v>0</v>
      </c>
      <c r="AH132" s="3">
        <v>0</v>
      </c>
      <c r="AI132" s="3" t="s">
        <v>106</v>
      </c>
      <c r="AJ132" s="3" t="s">
        <v>88</v>
      </c>
    </row>
    <row r="133" spans="1:36">
      <c r="A133" s="5">
        <v>43288</v>
      </c>
      <c r="B133" s="3" t="s">
        <v>651</v>
      </c>
      <c r="C133" s="3" t="s">
        <v>652</v>
      </c>
      <c r="D133" s="3" t="s">
        <v>653</v>
      </c>
      <c r="E133" s="3" t="s">
        <v>654</v>
      </c>
      <c r="F133" s="3" t="s">
        <v>84</v>
      </c>
      <c r="G133" s="3">
        <v>29</v>
      </c>
      <c r="H133" s="3">
        <v>0</v>
      </c>
      <c r="I133" s="3">
        <v>0</v>
      </c>
      <c r="J133" s="3">
        <v>0</v>
      </c>
      <c r="K133" s="3">
        <v>0</v>
      </c>
      <c r="L133" s="3">
        <v>29</v>
      </c>
      <c r="M133" s="3">
        <v>0</v>
      </c>
      <c r="N133" s="3" t="s">
        <v>85</v>
      </c>
      <c r="O133" s="3">
        <v>29</v>
      </c>
      <c r="P133" s="3">
        <v>39.6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100</v>
      </c>
      <c r="X133" s="3">
        <v>11.59</v>
      </c>
      <c r="Y133" s="3">
        <v>11.59</v>
      </c>
      <c r="Z133" s="3">
        <v>11.59</v>
      </c>
      <c r="AA133" s="3">
        <v>0</v>
      </c>
      <c r="AB133" s="3" t="s">
        <v>94</v>
      </c>
      <c r="AC133" s="3">
        <v>4</v>
      </c>
      <c r="AD133" s="3">
        <v>10.55</v>
      </c>
      <c r="AE133" s="3">
        <v>91</v>
      </c>
      <c r="AF133" s="3">
        <v>0</v>
      </c>
      <c r="AG133" s="3">
        <v>583.368543</v>
      </c>
      <c r="AH133" s="3">
        <v>0</v>
      </c>
      <c r="AI133" s="3" t="s">
        <v>164</v>
      </c>
      <c r="AJ133" s="3" t="s">
        <v>88</v>
      </c>
    </row>
    <row r="134" spans="1:36">
      <c r="A134" s="5">
        <v>43288</v>
      </c>
      <c r="B134" s="3" t="s">
        <v>655</v>
      </c>
      <c r="C134" s="3" t="s">
        <v>656</v>
      </c>
      <c r="D134" s="3" t="s">
        <v>657</v>
      </c>
      <c r="E134" s="3" t="s">
        <v>658</v>
      </c>
      <c r="F134" s="3" t="s">
        <v>84</v>
      </c>
      <c r="G134" s="3">
        <v>29</v>
      </c>
      <c r="H134" s="3">
        <v>0</v>
      </c>
      <c r="I134" s="3">
        <v>0</v>
      </c>
      <c r="J134" s="3">
        <v>0</v>
      </c>
      <c r="K134" s="3">
        <v>0</v>
      </c>
      <c r="L134" s="3">
        <v>29</v>
      </c>
      <c r="M134" s="3">
        <v>0</v>
      </c>
      <c r="N134" s="3" t="s">
        <v>85</v>
      </c>
      <c r="O134" s="3">
        <v>29</v>
      </c>
      <c r="P134" s="3">
        <v>39.95</v>
      </c>
      <c r="Q134" s="3">
        <v>0</v>
      </c>
      <c r="R134" s="3">
        <v>0</v>
      </c>
      <c r="S134" s="3">
        <v>0</v>
      </c>
      <c r="T134" s="3">
        <v>1</v>
      </c>
      <c r="U134" s="3">
        <v>1</v>
      </c>
      <c r="V134" s="3">
        <v>1</v>
      </c>
      <c r="W134" s="3"/>
      <c r="X134" s="3">
        <v>8.08</v>
      </c>
      <c r="Y134" s="3">
        <v>8.08</v>
      </c>
      <c r="Z134" s="3">
        <v>8.08</v>
      </c>
      <c r="AA134" s="3">
        <v>0</v>
      </c>
      <c r="AB134" s="3" t="s">
        <v>94</v>
      </c>
      <c r="AC134" s="3">
        <v>4</v>
      </c>
      <c r="AD134" s="3">
        <v>6.13</v>
      </c>
      <c r="AE134" s="3">
        <v>140</v>
      </c>
      <c r="AF134" s="3">
        <v>0</v>
      </c>
      <c r="AG134" s="3">
        <v>118.788339</v>
      </c>
      <c r="AH134" s="3">
        <v>0.0330578512396694</v>
      </c>
      <c r="AI134" s="3" t="s">
        <v>101</v>
      </c>
      <c r="AJ134" s="3" t="s">
        <v>88</v>
      </c>
    </row>
    <row r="135" spans="1:36">
      <c r="A135" s="5">
        <v>43288</v>
      </c>
      <c r="B135" s="3" t="s">
        <v>659</v>
      </c>
      <c r="C135" s="3" t="s">
        <v>660</v>
      </c>
      <c r="D135" s="3" t="s">
        <v>661</v>
      </c>
      <c r="E135" s="3" t="s">
        <v>662</v>
      </c>
      <c r="F135" s="3" t="s">
        <v>84</v>
      </c>
      <c r="G135" s="3">
        <v>2</v>
      </c>
      <c r="H135" s="3">
        <v>0</v>
      </c>
      <c r="I135" s="3">
        <v>0</v>
      </c>
      <c r="J135" s="3">
        <v>0</v>
      </c>
      <c r="K135" s="3">
        <v>0</v>
      </c>
      <c r="L135" s="3">
        <v>2</v>
      </c>
      <c r="M135" s="3">
        <v>0</v>
      </c>
      <c r="N135" s="3" t="s">
        <v>85</v>
      </c>
      <c r="O135" s="3">
        <v>1</v>
      </c>
      <c r="P135" s="3">
        <v>1.6</v>
      </c>
      <c r="Q135" s="3">
        <v>1</v>
      </c>
      <c r="R135" s="3">
        <v>3.2</v>
      </c>
      <c r="S135" s="3">
        <v>0</v>
      </c>
      <c r="T135" s="3">
        <v>0</v>
      </c>
      <c r="U135" s="3">
        <v>0</v>
      </c>
      <c r="V135" s="3">
        <v>0</v>
      </c>
      <c r="W135" s="3" t="s">
        <v>93</v>
      </c>
      <c r="X135" s="3">
        <v>13.9</v>
      </c>
      <c r="Y135" s="3">
        <v>13.9</v>
      </c>
      <c r="Z135" s="3">
        <v>13.9</v>
      </c>
      <c r="AA135" s="3">
        <v>0</v>
      </c>
      <c r="AB135" s="3" t="s">
        <v>94</v>
      </c>
      <c r="AC135" s="3">
        <v>1</v>
      </c>
      <c r="AD135" s="3">
        <v>13.19</v>
      </c>
      <c r="AE135" s="3">
        <v>7</v>
      </c>
      <c r="AF135" s="3">
        <v>0</v>
      </c>
      <c r="AG135" s="3">
        <v>54.799567</v>
      </c>
      <c r="AH135" s="3">
        <v>0</v>
      </c>
      <c r="AI135" s="3" t="s">
        <v>663</v>
      </c>
      <c r="AJ135" s="3" t="s">
        <v>88</v>
      </c>
    </row>
    <row r="136" spans="1:36">
      <c r="A136" s="5">
        <v>43288</v>
      </c>
      <c r="B136" s="3" t="s">
        <v>664</v>
      </c>
      <c r="C136" s="3" t="s">
        <v>665</v>
      </c>
      <c r="D136" s="3" t="s">
        <v>666</v>
      </c>
      <c r="E136" s="3" t="s">
        <v>667</v>
      </c>
      <c r="F136" s="3" t="s">
        <v>84</v>
      </c>
      <c r="G136" s="3">
        <v>1</v>
      </c>
      <c r="H136" s="3">
        <v>0</v>
      </c>
      <c r="I136" s="3">
        <v>0</v>
      </c>
      <c r="J136" s="3">
        <v>0</v>
      </c>
      <c r="K136" s="3">
        <v>0</v>
      </c>
      <c r="L136" s="3">
        <v>1</v>
      </c>
      <c r="M136" s="3">
        <v>0</v>
      </c>
      <c r="N136" s="3" t="s">
        <v>85</v>
      </c>
      <c r="O136" s="3">
        <v>0</v>
      </c>
      <c r="P136" s="3">
        <v>0</v>
      </c>
      <c r="Q136" s="3">
        <v>1</v>
      </c>
      <c r="R136" s="3">
        <v>0.5</v>
      </c>
      <c r="S136" s="3">
        <v>0</v>
      </c>
      <c r="T136" s="3">
        <v>0</v>
      </c>
      <c r="U136" s="3">
        <v>0</v>
      </c>
      <c r="V136" s="3">
        <v>0</v>
      </c>
      <c r="W136" s="3" t="s">
        <v>93</v>
      </c>
      <c r="X136" s="3">
        <v>5.27</v>
      </c>
      <c r="Y136" s="3">
        <v>5.27</v>
      </c>
      <c r="Z136" s="3">
        <v>5.27</v>
      </c>
      <c r="AA136" s="3">
        <v>0</v>
      </c>
      <c r="AB136" s="3" t="s">
        <v>86</v>
      </c>
      <c r="AC136" s="3">
        <v>1</v>
      </c>
      <c r="AD136" s="3">
        <v>5.27</v>
      </c>
      <c r="AE136" s="3">
        <v>0</v>
      </c>
      <c r="AF136" s="3">
        <v>0</v>
      </c>
      <c r="AG136" s="3">
        <v>0</v>
      </c>
      <c r="AH136" s="3">
        <v>0</v>
      </c>
      <c r="AI136" s="3" t="s">
        <v>106</v>
      </c>
      <c r="AJ136" s="3" t="s">
        <v>88</v>
      </c>
    </row>
    <row r="137" spans="1:36">
      <c r="A137" s="5">
        <v>43288</v>
      </c>
      <c r="B137" s="3" t="s">
        <v>668</v>
      </c>
      <c r="C137" s="3" t="s">
        <v>669</v>
      </c>
      <c r="D137" s="3" t="s">
        <v>670</v>
      </c>
      <c r="E137" s="3" t="s">
        <v>671</v>
      </c>
      <c r="F137" s="3" t="s">
        <v>84</v>
      </c>
      <c r="G137" s="3">
        <v>2</v>
      </c>
      <c r="H137" s="3">
        <v>0</v>
      </c>
      <c r="I137" s="3">
        <v>0</v>
      </c>
      <c r="J137" s="3">
        <v>0</v>
      </c>
      <c r="K137" s="3">
        <v>0</v>
      </c>
      <c r="L137" s="3">
        <v>2</v>
      </c>
      <c r="M137" s="3">
        <v>0</v>
      </c>
      <c r="N137" s="3" t="s">
        <v>85</v>
      </c>
      <c r="O137" s="3">
        <v>0</v>
      </c>
      <c r="P137" s="3">
        <v>0</v>
      </c>
      <c r="Q137" s="3">
        <v>2</v>
      </c>
      <c r="R137" s="3">
        <v>1</v>
      </c>
      <c r="S137" s="3">
        <v>0</v>
      </c>
      <c r="T137" s="3">
        <v>0</v>
      </c>
      <c r="U137" s="3">
        <v>0</v>
      </c>
      <c r="V137" s="3">
        <v>0</v>
      </c>
      <c r="W137" s="3" t="s">
        <v>93</v>
      </c>
      <c r="X137" s="3">
        <v>12.9</v>
      </c>
      <c r="Y137" s="3">
        <v>12.9</v>
      </c>
      <c r="Z137" s="3">
        <v>12.9</v>
      </c>
      <c r="AA137" s="3">
        <v>0</v>
      </c>
      <c r="AB137" s="3" t="s">
        <v>86</v>
      </c>
      <c r="AC137" s="3">
        <v>2</v>
      </c>
      <c r="AD137" s="3">
        <v>12.9</v>
      </c>
      <c r="AE137" s="3">
        <v>0</v>
      </c>
      <c r="AF137" s="3">
        <v>0</v>
      </c>
      <c r="AG137" s="3">
        <v>0</v>
      </c>
      <c r="AH137" s="3">
        <v>0</v>
      </c>
      <c r="AI137" s="3" t="s">
        <v>106</v>
      </c>
      <c r="AJ137" s="3" t="s">
        <v>107</v>
      </c>
    </row>
    <row r="138" spans="1:36">
      <c r="A138" s="5">
        <v>43288</v>
      </c>
      <c r="B138" s="3" t="s">
        <v>672</v>
      </c>
      <c r="C138" s="3" t="s">
        <v>673</v>
      </c>
      <c r="D138" s="3" t="s">
        <v>674</v>
      </c>
      <c r="E138" s="3" t="s">
        <v>675</v>
      </c>
      <c r="F138" s="3" t="s">
        <v>84</v>
      </c>
      <c r="G138" s="3">
        <v>2</v>
      </c>
      <c r="H138" s="3">
        <v>0</v>
      </c>
      <c r="I138" s="3">
        <v>0</v>
      </c>
      <c r="J138" s="3">
        <v>0</v>
      </c>
      <c r="K138" s="3">
        <v>0</v>
      </c>
      <c r="L138" s="3">
        <v>2</v>
      </c>
      <c r="M138" s="3">
        <v>0</v>
      </c>
      <c r="N138" s="3" t="s">
        <v>85</v>
      </c>
      <c r="O138" s="3">
        <v>0</v>
      </c>
      <c r="P138" s="3">
        <v>0</v>
      </c>
      <c r="Q138" s="3">
        <v>2</v>
      </c>
      <c r="R138" s="3">
        <v>1.85</v>
      </c>
      <c r="S138" s="3">
        <v>0</v>
      </c>
      <c r="T138" s="3">
        <v>0</v>
      </c>
      <c r="U138" s="3">
        <v>0</v>
      </c>
      <c r="V138" s="3">
        <v>0</v>
      </c>
      <c r="W138" s="3" t="s">
        <v>93</v>
      </c>
      <c r="X138" s="3">
        <v>4.66</v>
      </c>
      <c r="Y138" s="3">
        <v>4.66</v>
      </c>
      <c r="Z138" s="3">
        <v>4.66</v>
      </c>
      <c r="AA138" s="3">
        <v>0</v>
      </c>
      <c r="AB138" s="3" t="s">
        <v>94</v>
      </c>
      <c r="AC138" s="3">
        <v>0</v>
      </c>
      <c r="AD138" s="3">
        <v>3.73</v>
      </c>
      <c r="AE138" s="3">
        <v>63</v>
      </c>
      <c r="AF138" s="3">
        <v>0</v>
      </c>
      <c r="AG138" s="3">
        <v>11.68406</v>
      </c>
      <c r="AH138" s="3">
        <v>0</v>
      </c>
      <c r="AI138" s="3" t="s">
        <v>203</v>
      </c>
      <c r="AJ138" s="3" t="s">
        <v>88</v>
      </c>
    </row>
    <row r="139" spans="1:36">
      <c r="A139" s="5">
        <v>43288</v>
      </c>
      <c r="B139" s="3" t="s">
        <v>676</v>
      </c>
      <c r="C139" s="3" t="s">
        <v>677</v>
      </c>
      <c r="D139" s="3" t="s">
        <v>678</v>
      </c>
      <c r="E139" s="3" t="s">
        <v>679</v>
      </c>
      <c r="F139" s="3" t="s">
        <v>84</v>
      </c>
      <c r="G139" s="3">
        <v>10</v>
      </c>
      <c r="H139" s="3">
        <v>0</v>
      </c>
      <c r="I139" s="3">
        <v>0</v>
      </c>
      <c r="J139" s="3">
        <v>10</v>
      </c>
      <c r="K139" s="3">
        <v>0</v>
      </c>
      <c r="L139" s="3">
        <v>0</v>
      </c>
      <c r="M139" s="3">
        <v>0</v>
      </c>
      <c r="N139" s="3" t="s">
        <v>85</v>
      </c>
      <c r="O139" s="3">
        <v>10</v>
      </c>
      <c r="P139" s="3">
        <v>20.06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 t="s">
        <v>100</v>
      </c>
      <c r="X139" s="3">
        <v>20.99</v>
      </c>
      <c r="Y139" s="3">
        <v>20.99</v>
      </c>
      <c r="Z139" s="3">
        <v>20.99</v>
      </c>
      <c r="AA139" s="3">
        <v>0</v>
      </c>
      <c r="AB139" s="3" t="s">
        <v>94</v>
      </c>
      <c r="AC139" s="3">
        <v>0</v>
      </c>
      <c r="AD139" s="3">
        <v>16.79</v>
      </c>
      <c r="AE139" s="3">
        <v>63</v>
      </c>
      <c r="AF139" s="3">
        <v>0</v>
      </c>
      <c r="AG139" s="3">
        <v>247.869411</v>
      </c>
      <c r="AH139" s="3">
        <v>0</v>
      </c>
      <c r="AI139" s="3" t="s">
        <v>87</v>
      </c>
      <c r="AJ139" s="3" t="s">
        <v>88</v>
      </c>
    </row>
    <row r="140" spans="1:36">
      <c r="A140" s="5">
        <v>43288</v>
      </c>
      <c r="B140" s="3" t="s">
        <v>680</v>
      </c>
      <c r="C140" s="3" t="s">
        <v>681</v>
      </c>
      <c r="D140" s="3" t="s">
        <v>682</v>
      </c>
      <c r="E140" s="3" t="s">
        <v>683</v>
      </c>
      <c r="F140" s="3" t="s">
        <v>84</v>
      </c>
      <c r="G140" s="3">
        <v>41</v>
      </c>
      <c r="H140" s="3">
        <v>0</v>
      </c>
      <c r="I140" s="3">
        <v>0</v>
      </c>
      <c r="J140" s="3">
        <v>0</v>
      </c>
      <c r="K140" s="3">
        <v>0</v>
      </c>
      <c r="L140" s="3">
        <v>41</v>
      </c>
      <c r="M140" s="3">
        <v>0</v>
      </c>
      <c r="N140" s="3" t="s">
        <v>85</v>
      </c>
      <c r="O140" s="3">
        <v>41</v>
      </c>
      <c r="P140" s="3">
        <v>56.42</v>
      </c>
      <c r="Q140" s="3">
        <v>0</v>
      </c>
      <c r="R140" s="3">
        <v>0</v>
      </c>
      <c r="S140" s="3">
        <v>0</v>
      </c>
      <c r="T140" s="3">
        <v>1</v>
      </c>
      <c r="U140" s="3">
        <v>1</v>
      </c>
      <c r="V140" s="3">
        <v>1</v>
      </c>
      <c r="W140" s="3" t="s">
        <v>93</v>
      </c>
      <c r="X140" s="3">
        <v>8.86</v>
      </c>
      <c r="Y140" s="3">
        <v>8.86</v>
      </c>
      <c r="Z140" s="3">
        <v>8.86</v>
      </c>
      <c r="AA140" s="3">
        <v>0</v>
      </c>
      <c r="AB140" s="3" t="s">
        <v>239</v>
      </c>
      <c r="AC140" s="3">
        <v>0</v>
      </c>
      <c r="AD140" s="3">
        <v>7.46</v>
      </c>
      <c r="AE140" s="3">
        <v>364</v>
      </c>
      <c r="AF140" s="3">
        <v>0</v>
      </c>
      <c r="AG140" s="3">
        <v>670.681017</v>
      </c>
      <c r="AH140" s="3">
        <v>0.0239520958083832</v>
      </c>
      <c r="AI140" s="3" t="s">
        <v>684</v>
      </c>
      <c r="AJ140" s="3" t="s">
        <v>88</v>
      </c>
    </row>
    <row r="141" spans="1:36">
      <c r="A141" s="5">
        <v>43288</v>
      </c>
      <c r="B141" s="3" t="s">
        <v>685</v>
      </c>
      <c r="C141" s="3" t="s">
        <v>686</v>
      </c>
      <c r="D141" s="3" t="s">
        <v>687</v>
      </c>
      <c r="E141" s="3" t="s">
        <v>688</v>
      </c>
      <c r="F141" s="3" t="s">
        <v>84</v>
      </c>
      <c r="G141" s="3">
        <v>1</v>
      </c>
      <c r="H141" s="3">
        <v>0</v>
      </c>
      <c r="I141" s="3">
        <v>0</v>
      </c>
      <c r="J141" s="3">
        <v>0</v>
      </c>
      <c r="K141" s="3">
        <v>0</v>
      </c>
      <c r="L141" s="3">
        <v>1</v>
      </c>
      <c r="M141" s="3">
        <v>0</v>
      </c>
      <c r="N141" s="3" t="s">
        <v>85</v>
      </c>
      <c r="O141" s="3">
        <v>0</v>
      </c>
      <c r="P141" s="3">
        <v>0</v>
      </c>
      <c r="Q141" s="3">
        <v>1</v>
      </c>
      <c r="R141" s="3">
        <v>0.5</v>
      </c>
      <c r="S141" s="3">
        <v>0</v>
      </c>
      <c r="T141" s="3">
        <v>0</v>
      </c>
      <c r="U141" s="3">
        <v>0</v>
      </c>
      <c r="V141" s="3">
        <v>0</v>
      </c>
      <c r="W141" s="3" t="s">
        <v>93</v>
      </c>
      <c r="X141" s="3">
        <v>17.9</v>
      </c>
      <c r="Y141" s="3">
        <v>17.9</v>
      </c>
      <c r="Z141" s="3">
        <v>17.9</v>
      </c>
      <c r="AA141" s="3">
        <v>0</v>
      </c>
      <c r="AB141" s="3" t="s">
        <v>94</v>
      </c>
      <c r="AC141" s="3">
        <v>0</v>
      </c>
      <c r="AD141" s="3">
        <v>14.32</v>
      </c>
      <c r="AE141" s="3">
        <v>63</v>
      </c>
      <c r="AF141" s="3">
        <v>0</v>
      </c>
      <c r="AG141" s="3">
        <v>0.41443</v>
      </c>
      <c r="AH141" s="3">
        <v>0</v>
      </c>
      <c r="AI141" s="3" t="s">
        <v>106</v>
      </c>
      <c r="AJ141" s="3" t="s">
        <v>88</v>
      </c>
    </row>
    <row r="142" spans="1:36">
      <c r="A142" s="5">
        <v>43288</v>
      </c>
      <c r="B142" s="3" t="s">
        <v>689</v>
      </c>
      <c r="C142" s="3" t="s">
        <v>690</v>
      </c>
      <c r="D142" s="3" t="s">
        <v>691</v>
      </c>
      <c r="E142" s="3" t="s">
        <v>692</v>
      </c>
      <c r="F142" s="3" t="s">
        <v>84</v>
      </c>
      <c r="G142" s="3">
        <v>28</v>
      </c>
      <c r="H142" s="3">
        <v>0</v>
      </c>
      <c r="I142" s="3">
        <v>0</v>
      </c>
      <c r="J142" s="3">
        <v>0</v>
      </c>
      <c r="K142" s="3">
        <v>0</v>
      </c>
      <c r="L142" s="3">
        <v>28</v>
      </c>
      <c r="M142" s="3">
        <v>0</v>
      </c>
      <c r="N142" s="3" t="s">
        <v>85</v>
      </c>
      <c r="O142" s="3">
        <v>28</v>
      </c>
      <c r="P142" s="3">
        <v>38.23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100</v>
      </c>
      <c r="X142" s="3">
        <v>12.99</v>
      </c>
      <c r="Y142" s="3">
        <v>12.99</v>
      </c>
      <c r="Z142" s="3">
        <v>12.61</v>
      </c>
      <c r="AA142" s="3">
        <v>0</v>
      </c>
      <c r="AB142" s="3" t="s">
        <v>94</v>
      </c>
      <c r="AC142" s="3">
        <v>7</v>
      </c>
      <c r="AD142" s="3">
        <v>11.74</v>
      </c>
      <c r="AE142" s="3">
        <v>70</v>
      </c>
      <c r="AF142" s="3">
        <v>0</v>
      </c>
      <c r="AG142" s="3">
        <v>591.531174</v>
      </c>
      <c r="AH142" s="3">
        <v>0</v>
      </c>
      <c r="AI142" s="3" t="s">
        <v>164</v>
      </c>
      <c r="AJ142" s="3" t="s">
        <v>88</v>
      </c>
    </row>
    <row r="143" spans="1:36">
      <c r="A143" s="5">
        <v>43288</v>
      </c>
      <c r="B143" s="3" t="s">
        <v>693</v>
      </c>
      <c r="C143" s="3" t="s">
        <v>694</v>
      </c>
      <c r="D143" s="3" t="s">
        <v>695</v>
      </c>
      <c r="E143" s="3" t="s">
        <v>696</v>
      </c>
      <c r="F143" s="3" t="s">
        <v>84</v>
      </c>
      <c r="G143" s="3">
        <v>4</v>
      </c>
      <c r="H143" s="3">
        <v>0</v>
      </c>
      <c r="I143" s="3">
        <v>1</v>
      </c>
      <c r="J143" s="3">
        <v>3</v>
      </c>
      <c r="K143" s="3">
        <v>0</v>
      </c>
      <c r="L143" s="3">
        <v>0</v>
      </c>
      <c r="M143" s="3">
        <v>0</v>
      </c>
      <c r="N143" s="3" t="s">
        <v>85</v>
      </c>
      <c r="O143" s="3">
        <v>3</v>
      </c>
      <c r="P143" s="3">
        <v>0.69</v>
      </c>
      <c r="Q143" s="3">
        <v>0</v>
      </c>
      <c r="R143" s="3">
        <v>0</v>
      </c>
      <c r="S143" s="3">
        <v>0</v>
      </c>
      <c r="T143" s="3">
        <v>0</v>
      </c>
      <c r="U143" s="3">
        <v>1</v>
      </c>
      <c r="V143" s="3">
        <v>2</v>
      </c>
      <c r="W143" s="3" t="s">
        <v>100</v>
      </c>
      <c r="X143" s="3">
        <v>18.99</v>
      </c>
      <c r="Y143" s="3">
        <v>18.99</v>
      </c>
      <c r="Z143" s="3">
        <v>18.99</v>
      </c>
      <c r="AA143" s="3">
        <v>0</v>
      </c>
      <c r="AB143" s="3" t="s">
        <v>94</v>
      </c>
      <c r="AC143" s="3">
        <v>0</v>
      </c>
      <c r="AD143" s="3">
        <v>17.05</v>
      </c>
      <c r="AE143" s="3">
        <v>245</v>
      </c>
      <c r="AF143" s="3">
        <v>0</v>
      </c>
      <c r="AG143" s="3">
        <v>49.403369</v>
      </c>
      <c r="AH143" s="3">
        <v>0.5</v>
      </c>
      <c r="AI143" s="3" t="s">
        <v>366</v>
      </c>
      <c r="AJ143" s="3" t="s">
        <v>88</v>
      </c>
    </row>
    <row r="144" spans="1:36">
      <c r="A144" s="5">
        <v>43288</v>
      </c>
      <c r="B144" s="3" t="s">
        <v>697</v>
      </c>
      <c r="C144" s="3" t="s">
        <v>698</v>
      </c>
      <c r="D144" s="3" t="s">
        <v>699</v>
      </c>
      <c r="E144" s="3" t="s">
        <v>700</v>
      </c>
      <c r="F144" s="3" t="s">
        <v>84</v>
      </c>
      <c r="G144" s="3">
        <v>48</v>
      </c>
      <c r="H144" s="3">
        <v>0</v>
      </c>
      <c r="I144" s="3">
        <v>0</v>
      </c>
      <c r="J144" s="3">
        <v>0</v>
      </c>
      <c r="K144" s="3">
        <v>1</v>
      </c>
      <c r="L144" s="3">
        <v>47</v>
      </c>
      <c r="M144" s="3">
        <v>0</v>
      </c>
      <c r="N144" s="3" t="s">
        <v>85</v>
      </c>
      <c r="O144" s="3">
        <v>48</v>
      </c>
      <c r="P144" s="3">
        <v>66.06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93</v>
      </c>
      <c r="X144" s="3">
        <v>12.99</v>
      </c>
      <c r="Y144" s="3">
        <v>12.99</v>
      </c>
      <c r="Z144" s="3">
        <v>9.73</v>
      </c>
      <c r="AA144" s="3">
        <v>0</v>
      </c>
      <c r="AB144" s="3" t="s">
        <v>94</v>
      </c>
      <c r="AC144" s="3">
        <v>0</v>
      </c>
      <c r="AD144" s="3">
        <v>9.04</v>
      </c>
      <c r="AE144" s="3">
        <v>364</v>
      </c>
      <c r="AF144" s="3">
        <v>0</v>
      </c>
      <c r="AG144" s="3">
        <v>804.221101</v>
      </c>
      <c r="AH144" s="3">
        <v>0</v>
      </c>
      <c r="AI144" s="3" t="s">
        <v>684</v>
      </c>
      <c r="AJ144" s="3" t="s">
        <v>88</v>
      </c>
    </row>
    <row r="145" spans="1:36">
      <c r="A145" s="5">
        <v>43288</v>
      </c>
      <c r="B145" s="3" t="s">
        <v>701</v>
      </c>
      <c r="C145" s="3" t="s">
        <v>702</v>
      </c>
      <c r="D145" s="3" t="s">
        <v>703</v>
      </c>
      <c r="E145" s="3" t="s">
        <v>704</v>
      </c>
      <c r="F145" s="3" t="s">
        <v>84</v>
      </c>
      <c r="G145" s="3">
        <v>2</v>
      </c>
      <c r="H145" s="3">
        <v>0</v>
      </c>
      <c r="I145" s="3">
        <v>0</v>
      </c>
      <c r="J145" s="3">
        <v>0</v>
      </c>
      <c r="K145" s="3">
        <v>0</v>
      </c>
      <c r="L145" s="3">
        <v>2</v>
      </c>
      <c r="M145" s="3">
        <v>0</v>
      </c>
      <c r="N145" s="3" t="s">
        <v>85</v>
      </c>
      <c r="O145" s="3">
        <v>2</v>
      </c>
      <c r="P145" s="3">
        <v>3.2</v>
      </c>
      <c r="Q145" s="3">
        <v>0</v>
      </c>
      <c r="R145" s="3">
        <v>0</v>
      </c>
      <c r="S145" s="3">
        <v>0</v>
      </c>
      <c r="T145" s="3">
        <v>0</v>
      </c>
      <c r="U145" s="3">
        <v>2</v>
      </c>
      <c r="V145" s="3">
        <v>2</v>
      </c>
      <c r="W145" s="3" t="s">
        <v>100</v>
      </c>
      <c r="X145" s="3">
        <v>13.9</v>
      </c>
      <c r="Y145" s="3">
        <v>13.9</v>
      </c>
      <c r="Z145" s="3">
        <v>13.9</v>
      </c>
      <c r="AA145" s="3">
        <v>0</v>
      </c>
      <c r="AB145" s="3" t="s">
        <v>86</v>
      </c>
      <c r="AC145" s="3">
        <v>2</v>
      </c>
      <c r="AD145" s="3">
        <v>13.9</v>
      </c>
      <c r="AE145" s="3">
        <v>0</v>
      </c>
      <c r="AF145" s="3">
        <v>0</v>
      </c>
      <c r="AG145" s="3">
        <v>0</v>
      </c>
      <c r="AH145" s="3">
        <v>0.666666666666666</v>
      </c>
      <c r="AI145" s="3" t="s">
        <v>140</v>
      </c>
      <c r="AJ145" s="3" t="s">
        <v>88</v>
      </c>
    </row>
    <row r="146" spans="1:36">
      <c r="A146" s="5">
        <v>43288</v>
      </c>
      <c r="B146" s="3" t="s">
        <v>705</v>
      </c>
      <c r="C146" s="3" t="s">
        <v>706</v>
      </c>
      <c r="D146" s="3" t="s">
        <v>707</v>
      </c>
      <c r="E146" s="3" t="s">
        <v>708</v>
      </c>
      <c r="F146" s="3" t="s">
        <v>84</v>
      </c>
      <c r="G146" s="3">
        <v>41</v>
      </c>
      <c r="H146" s="3">
        <v>0</v>
      </c>
      <c r="I146" s="3">
        <v>0</v>
      </c>
      <c r="J146" s="3">
        <v>1</v>
      </c>
      <c r="K146" s="3">
        <v>0</v>
      </c>
      <c r="L146" s="3">
        <v>40</v>
      </c>
      <c r="M146" s="3">
        <v>0</v>
      </c>
      <c r="N146" s="3" t="s">
        <v>85</v>
      </c>
      <c r="O146" s="3">
        <v>40</v>
      </c>
      <c r="P146" s="3">
        <v>56.04</v>
      </c>
      <c r="Q146" s="3">
        <v>0</v>
      </c>
      <c r="R146" s="3">
        <v>0</v>
      </c>
      <c r="S146" s="3">
        <v>0</v>
      </c>
      <c r="T146" s="3">
        <v>2</v>
      </c>
      <c r="U146" s="3">
        <v>4</v>
      </c>
      <c r="V146" s="3">
        <v>4</v>
      </c>
      <c r="W146" s="3" t="s">
        <v>93</v>
      </c>
      <c r="X146" s="3">
        <v>7.68</v>
      </c>
      <c r="Y146" s="3">
        <v>7.68</v>
      </c>
      <c r="Z146" s="3">
        <v>7.68</v>
      </c>
      <c r="AA146" s="3">
        <v>0</v>
      </c>
      <c r="AB146" s="3" t="s">
        <v>239</v>
      </c>
      <c r="AC146" s="3">
        <v>6</v>
      </c>
      <c r="AD146" s="3">
        <v>5.88</v>
      </c>
      <c r="AE146" s="3">
        <v>147</v>
      </c>
      <c r="AF146" s="3">
        <v>0</v>
      </c>
      <c r="AG146" s="3">
        <v>176.548209</v>
      </c>
      <c r="AH146" s="3">
        <v>0.0919540229885057</v>
      </c>
      <c r="AI146" s="3" t="s">
        <v>328</v>
      </c>
      <c r="AJ146" s="3" t="s">
        <v>88</v>
      </c>
    </row>
    <row r="147" spans="1:36">
      <c r="A147" s="5">
        <v>43288</v>
      </c>
      <c r="B147" s="3" t="s">
        <v>709</v>
      </c>
      <c r="C147" s="3" t="s">
        <v>710</v>
      </c>
      <c r="D147" s="3" t="s">
        <v>711</v>
      </c>
      <c r="E147" s="3" t="s">
        <v>712</v>
      </c>
      <c r="F147" s="3" t="s">
        <v>84</v>
      </c>
      <c r="G147" s="3">
        <v>2</v>
      </c>
      <c r="H147" s="3">
        <v>0</v>
      </c>
      <c r="I147" s="3">
        <v>0</v>
      </c>
      <c r="J147" s="3">
        <v>0</v>
      </c>
      <c r="K147" s="3">
        <v>0</v>
      </c>
      <c r="L147" s="3">
        <v>2</v>
      </c>
      <c r="M147" s="3">
        <v>0</v>
      </c>
      <c r="N147" s="3" t="s">
        <v>85</v>
      </c>
      <c r="O147" s="3">
        <v>0</v>
      </c>
      <c r="P147" s="3">
        <v>0</v>
      </c>
      <c r="Q147" s="3">
        <v>2</v>
      </c>
      <c r="R147" s="3">
        <v>1</v>
      </c>
      <c r="S147" s="3">
        <v>0</v>
      </c>
      <c r="T147" s="3">
        <v>0</v>
      </c>
      <c r="U147" s="3">
        <v>0</v>
      </c>
      <c r="V147" s="3">
        <v>0</v>
      </c>
      <c r="W147" s="3" t="s">
        <v>93</v>
      </c>
      <c r="X147" s="3">
        <v>4.66</v>
      </c>
      <c r="Y147" s="3">
        <v>4.66</v>
      </c>
      <c r="Z147" s="3">
        <v>4.66</v>
      </c>
      <c r="AA147" s="3">
        <v>0</v>
      </c>
      <c r="AB147" s="3" t="s">
        <v>86</v>
      </c>
      <c r="AC147" s="3">
        <v>2</v>
      </c>
      <c r="AD147" s="3">
        <v>4.66</v>
      </c>
      <c r="AE147" s="3">
        <v>0</v>
      </c>
      <c r="AF147" s="3">
        <v>0</v>
      </c>
      <c r="AG147" s="3">
        <v>0</v>
      </c>
      <c r="AH147" s="3">
        <v>0</v>
      </c>
      <c r="AI147" s="3" t="s">
        <v>106</v>
      </c>
      <c r="AJ147" s="3" t="s">
        <v>88</v>
      </c>
    </row>
    <row r="148" spans="1:36">
      <c r="A148" s="5">
        <v>43288</v>
      </c>
      <c r="B148" s="3" t="s">
        <v>713</v>
      </c>
      <c r="C148" s="3" t="s">
        <v>714</v>
      </c>
      <c r="D148" s="3" t="s">
        <v>715</v>
      </c>
      <c r="E148" s="3" t="s">
        <v>716</v>
      </c>
      <c r="F148" s="3" t="s">
        <v>84</v>
      </c>
      <c r="G148" s="3">
        <v>2</v>
      </c>
      <c r="H148" s="3">
        <v>0</v>
      </c>
      <c r="I148" s="3">
        <v>0</v>
      </c>
      <c r="J148" s="3">
        <v>0</v>
      </c>
      <c r="K148" s="3">
        <v>0</v>
      </c>
      <c r="L148" s="3">
        <v>2</v>
      </c>
      <c r="M148" s="3">
        <v>0</v>
      </c>
      <c r="N148" s="3" t="s">
        <v>85</v>
      </c>
      <c r="O148" s="3">
        <v>0</v>
      </c>
      <c r="P148" s="3">
        <v>0</v>
      </c>
      <c r="Q148" s="3">
        <v>2</v>
      </c>
      <c r="R148" s="3">
        <v>1</v>
      </c>
      <c r="S148" s="3">
        <v>0</v>
      </c>
      <c r="T148" s="3">
        <v>0</v>
      </c>
      <c r="U148" s="3">
        <v>0</v>
      </c>
      <c r="V148" s="3">
        <v>0</v>
      </c>
      <c r="W148" s="3" t="s">
        <v>93</v>
      </c>
      <c r="X148" s="3">
        <v>4.66</v>
      </c>
      <c r="Y148" s="3">
        <v>4.66</v>
      </c>
      <c r="Z148" s="3">
        <v>4.66</v>
      </c>
      <c r="AA148" s="3">
        <v>0</v>
      </c>
      <c r="AB148" s="3" t="s">
        <v>86</v>
      </c>
      <c r="AC148" s="3">
        <v>2</v>
      </c>
      <c r="AD148" s="3">
        <v>4.66</v>
      </c>
      <c r="AE148" s="3">
        <v>0</v>
      </c>
      <c r="AF148" s="3">
        <v>0</v>
      </c>
      <c r="AG148" s="3">
        <v>0</v>
      </c>
      <c r="AH148" s="3">
        <v>0</v>
      </c>
      <c r="AI148" s="3" t="s">
        <v>106</v>
      </c>
      <c r="AJ148" s="3" t="s">
        <v>88</v>
      </c>
    </row>
    <row r="149" spans="1:36">
      <c r="A149" s="5">
        <v>43288</v>
      </c>
      <c r="B149" s="3" t="s">
        <v>717</v>
      </c>
      <c r="C149" s="3" t="s">
        <v>718</v>
      </c>
      <c r="D149" s="3" t="s">
        <v>719</v>
      </c>
      <c r="E149" s="3" t="s">
        <v>720</v>
      </c>
      <c r="F149" s="3" t="s">
        <v>84</v>
      </c>
      <c r="G149" s="3">
        <v>40</v>
      </c>
      <c r="H149" s="3">
        <v>0</v>
      </c>
      <c r="I149" s="3">
        <v>0</v>
      </c>
      <c r="J149" s="3">
        <v>1</v>
      </c>
      <c r="K149" s="3">
        <v>0</v>
      </c>
      <c r="L149" s="3">
        <v>39</v>
      </c>
      <c r="M149" s="3">
        <v>0</v>
      </c>
      <c r="N149" s="3" t="s">
        <v>85</v>
      </c>
      <c r="O149" s="3">
        <v>39</v>
      </c>
      <c r="P149" s="3">
        <v>0.03</v>
      </c>
      <c r="Q149" s="3">
        <v>0</v>
      </c>
      <c r="R149" s="3">
        <v>0</v>
      </c>
      <c r="S149" s="3">
        <v>2</v>
      </c>
      <c r="T149" s="3">
        <v>3</v>
      </c>
      <c r="U149" s="3">
        <v>4</v>
      </c>
      <c r="V149" s="3">
        <v>6</v>
      </c>
      <c r="W149" s="3" t="s">
        <v>100</v>
      </c>
      <c r="X149" s="3">
        <v>15.99</v>
      </c>
      <c r="Y149" s="3">
        <v>15.99</v>
      </c>
      <c r="Z149" s="3">
        <v>15.99</v>
      </c>
      <c r="AA149" s="3">
        <v>0</v>
      </c>
      <c r="AB149" s="3" t="s">
        <v>94</v>
      </c>
      <c r="AC149" s="3">
        <v>4</v>
      </c>
      <c r="AD149" s="3">
        <v>10.54</v>
      </c>
      <c r="AE149" s="3">
        <v>364</v>
      </c>
      <c r="AF149" s="3">
        <v>0</v>
      </c>
      <c r="AG149" s="3">
        <v>15.094801</v>
      </c>
      <c r="AH149" s="3">
        <v>0.138728323699421</v>
      </c>
      <c r="AI149" s="3" t="s">
        <v>95</v>
      </c>
      <c r="AJ149" s="3" t="s">
        <v>107</v>
      </c>
    </row>
    <row r="150" spans="1:36">
      <c r="A150" s="5">
        <v>43288</v>
      </c>
      <c r="B150" s="3" t="s">
        <v>721</v>
      </c>
      <c r="C150" s="3" t="s">
        <v>722</v>
      </c>
      <c r="D150" s="3" t="s">
        <v>723</v>
      </c>
      <c r="E150" s="3" t="s">
        <v>724</v>
      </c>
      <c r="F150" s="3" t="s">
        <v>84</v>
      </c>
      <c r="G150" s="3">
        <v>3</v>
      </c>
      <c r="H150" s="3">
        <v>0</v>
      </c>
      <c r="I150" s="3">
        <v>0</v>
      </c>
      <c r="J150" s="3">
        <v>0</v>
      </c>
      <c r="K150" s="3">
        <v>0</v>
      </c>
      <c r="L150" s="3">
        <v>3</v>
      </c>
      <c r="M150" s="3">
        <v>0</v>
      </c>
      <c r="N150" s="3" t="s">
        <v>85</v>
      </c>
      <c r="O150" s="3">
        <v>0</v>
      </c>
      <c r="P150" s="3">
        <v>0</v>
      </c>
      <c r="Q150" s="3">
        <v>3</v>
      </c>
      <c r="R150" s="3">
        <v>1.5</v>
      </c>
      <c r="S150" s="3">
        <v>0</v>
      </c>
      <c r="T150" s="3">
        <v>0</v>
      </c>
      <c r="U150" s="3">
        <v>0</v>
      </c>
      <c r="V150" s="3">
        <v>0</v>
      </c>
      <c r="W150" s="3" t="s">
        <v>93</v>
      </c>
      <c r="X150" s="3">
        <v>12.9</v>
      </c>
      <c r="Y150" s="3">
        <v>12.9</v>
      </c>
      <c r="Z150" s="3">
        <v>12.9</v>
      </c>
      <c r="AA150" s="3">
        <v>0</v>
      </c>
      <c r="AB150" s="3" t="s">
        <v>94</v>
      </c>
      <c r="AC150" s="3">
        <v>0</v>
      </c>
      <c r="AD150" s="3">
        <v>10.32</v>
      </c>
      <c r="AE150" s="3">
        <v>63</v>
      </c>
      <c r="AF150" s="3">
        <v>0</v>
      </c>
      <c r="AG150" s="3">
        <v>0.896002</v>
      </c>
      <c r="AH150" s="3">
        <v>0</v>
      </c>
      <c r="AI150" s="3" t="s">
        <v>106</v>
      </c>
      <c r="AJ150" s="3" t="s">
        <v>88</v>
      </c>
    </row>
    <row r="151" spans="1:36">
      <c r="A151" s="5">
        <v>43288</v>
      </c>
      <c r="B151" s="3" t="s">
        <v>725</v>
      </c>
      <c r="C151" s="3" t="s">
        <v>726</v>
      </c>
      <c r="D151" s="3" t="s">
        <v>727</v>
      </c>
      <c r="E151" s="3" t="s">
        <v>728</v>
      </c>
      <c r="F151" s="3" t="s">
        <v>84</v>
      </c>
      <c r="G151" s="3">
        <v>1</v>
      </c>
      <c r="H151" s="3">
        <v>0</v>
      </c>
      <c r="I151" s="3">
        <v>0</v>
      </c>
      <c r="J151" s="3">
        <v>0</v>
      </c>
      <c r="K151" s="3">
        <v>0</v>
      </c>
      <c r="L151" s="3">
        <v>1</v>
      </c>
      <c r="M151" s="3">
        <v>0</v>
      </c>
      <c r="N151" s="3" t="s">
        <v>85</v>
      </c>
      <c r="O151" s="3">
        <v>0</v>
      </c>
      <c r="P151" s="3">
        <v>0</v>
      </c>
      <c r="Q151" s="3">
        <v>1</v>
      </c>
      <c r="R151" s="3">
        <v>2.66</v>
      </c>
      <c r="S151" s="3">
        <v>0</v>
      </c>
      <c r="T151" s="3">
        <v>0</v>
      </c>
      <c r="U151" s="3">
        <v>0</v>
      </c>
      <c r="V151" s="3">
        <v>0</v>
      </c>
      <c r="W151" s="3" t="s">
        <v>93</v>
      </c>
      <c r="X151" s="3">
        <v>15.9</v>
      </c>
      <c r="Y151" s="3">
        <v>15.9</v>
      </c>
      <c r="Z151" s="3">
        <v>15.9</v>
      </c>
      <c r="AA151" s="3">
        <v>0</v>
      </c>
      <c r="AB151" s="3" t="s">
        <v>94</v>
      </c>
      <c r="AC151" s="3">
        <v>0</v>
      </c>
      <c r="AD151" s="3">
        <v>12.72</v>
      </c>
      <c r="AE151" s="3">
        <v>63</v>
      </c>
      <c r="AF151" s="3">
        <v>0</v>
      </c>
      <c r="AG151" s="3">
        <v>17.089</v>
      </c>
      <c r="AH151" s="3">
        <v>0</v>
      </c>
      <c r="AI151" s="3" t="s">
        <v>595</v>
      </c>
      <c r="AJ151" s="3" t="s">
        <v>88</v>
      </c>
    </row>
    <row r="152" spans="1:36">
      <c r="A152" s="5">
        <v>43288</v>
      </c>
      <c r="B152" s="3" t="s">
        <v>729</v>
      </c>
      <c r="C152" s="3" t="s">
        <v>730</v>
      </c>
      <c r="D152" s="3" t="s">
        <v>731</v>
      </c>
      <c r="E152" s="3" t="s">
        <v>732</v>
      </c>
      <c r="F152" s="3" t="s">
        <v>84</v>
      </c>
      <c r="G152" s="3">
        <v>14</v>
      </c>
      <c r="H152" s="3">
        <v>0</v>
      </c>
      <c r="I152" s="3">
        <v>0</v>
      </c>
      <c r="J152" s="3">
        <v>14</v>
      </c>
      <c r="K152" s="3">
        <v>0</v>
      </c>
      <c r="L152" s="3">
        <v>0</v>
      </c>
      <c r="M152" s="3">
        <v>0</v>
      </c>
      <c r="N152" s="3" t="s">
        <v>85</v>
      </c>
      <c r="O152" s="3">
        <v>14</v>
      </c>
      <c r="P152" s="3">
        <v>28.08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 t="s">
        <v>100</v>
      </c>
      <c r="X152" s="3">
        <v>20.99</v>
      </c>
      <c r="Y152" s="3">
        <v>20.99</v>
      </c>
      <c r="Z152" s="3">
        <v>20.99</v>
      </c>
      <c r="AA152" s="3">
        <v>0</v>
      </c>
      <c r="AB152" s="3" t="s">
        <v>94</v>
      </c>
      <c r="AC152" s="3">
        <v>4</v>
      </c>
      <c r="AD152" s="3">
        <v>18.76</v>
      </c>
      <c r="AE152" s="3">
        <v>35</v>
      </c>
      <c r="AF152" s="3">
        <v>0</v>
      </c>
      <c r="AG152" s="3">
        <v>461.053128</v>
      </c>
      <c r="AH152" s="3">
        <v>0</v>
      </c>
      <c r="AI152" s="3" t="s">
        <v>87</v>
      </c>
      <c r="AJ152" s="3" t="s">
        <v>88</v>
      </c>
    </row>
    <row r="153" spans="1:36">
      <c r="A153" s="5">
        <v>43288</v>
      </c>
      <c r="B153" s="3" t="s">
        <v>733</v>
      </c>
      <c r="C153" s="3" t="s">
        <v>734</v>
      </c>
      <c r="D153" s="3" t="s">
        <v>735</v>
      </c>
      <c r="E153" s="3" t="s">
        <v>736</v>
      </c>
      <c r="F153" s="3" t="s">
        <v>84</v>
      </c>
      <c r="G153" s="3">
        <v>1</v>
      </c>
      <c r="H153" s="3">
        <v>0</v>
      </c>
      <c r="I153" s="3">
        <v>0</v>
      </c>
      <c r="J153" s="3">
        <v>0</v>
      </c>
      <c r="K153" s="3">
        <v>0</v>
      </c>
      <c r="L153" s="3">
        <v>1</v>
      </c>
      <c r="M153" s="3">
        <v>0</v>
      </c>
      <c r="N153" s="3" t="s">
        <v>85</v>
      </c>
      <c r="O153" s="3">
        <v>0</v>
      </c>
      <c r="P153" s="3">
        <v>0</v>
      </c>
      <c r="Q153" s="3">
        <v>1</v>
      </c>
      <c r="R153" s="3">
        <v>2.46</v>
      </c>
      <c r="S153" s="3">
        <v>0</v>
      </c>
      <c r="T153" s="3">
        <v>0</v>
      </c>
      <c r="U153" s="3">
        <v>0</v>
      </c>
      <c r="V153" s="3">
        <v>0</v>
      </c>
      <c r="W153" s="3" t="s">
        <v>93</v>
      </c>
      <c r="X153" s="3">
        <v>16.9</v>
      </c>
      <c r="Y153" s="3">
        <v>16.9</v>
      </c>
      <c r="Z153" s="3">
        <v>16.9</v>
      </c>
      <c r="AA153" s="3">
        <v>0</v>
      </c>
      <c r="AB153" s="3" t="s">
        <v>94</v>
      </c>
      <c r="AC153" s="3">
        <v>0</v>
      </c>
      <c r="AD153" s="3">
        <v>13.52</v>
      </c>
      <c r="AE153" s="3">
        <v>63</v>
      </c>
      <c r="AF153" s="3">
        <v>0</v>
      </c>
      <c r="AG153" s="3">
        <v>15.881804</v>
      </c>
      <c r="AH153" s="3">
        <v>0</v>
      </c>
      <c r="AI153" s="3" t="s">
        <v>121</v>
      </c>
      <c r="AJ153" s="3" t="s">
        <v>88</v>
      </c>
    </row>
    <row r="154" spans="1:36">
      <c r="A154" s="5">
        <v>43288</v>
      </c>
      <c r="B154" s="3" t="s">
        <v>737</v>
      </c>
      <c r="C154" s="3" t="s">
        <v>738</v>
      </c>
      <c r="D154" s="3" t="s">
        <v>739</v>
      </c>
      <c r="E154" s="3" t="s">
        <v>740</v>
      </c>
      <c r="F154" s="3" t="s">
        <v>84</v>
      </c>
      <c r="G154" s="3">
        <v>28</v>
      </c>
      <c r="H154" s="3">
        <v>0</v>
      </c>
      <c r="I154" s="3">
        <v>1</v>
      </c>
      <c r="J154" s="3">
        <v>0</v>
      </c>
      <c r="K154" s="3">
        <v>0</v>
      </c>
      <c r="L154" s="3">
        <v>27</v>
      </c>
      <c r="M154" s="3">
        <v>0</v>
      </c>
      <c r="N154" s="3" t="s">
        <v>85</v>
      </c>
      <c r="O154" s="3">
        <v>27</v>
      </c>
      <c r="P154" s="3">
        <v>36.87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 t="s">
        <v>100</v>
      </c>
      <c r="X154" s="3">
        <v>12.99</v>
      </c>
      <c r="Y154" s="3">
        <v>12.99</v>
      </c>
      <c r="Z154" s="3">
        <v>12.99</v>
      </c>
      <c r="AA154" s="3">
        <v>0</v>
      </c>
      <c r="AB154" s="3" t="s">
        <v>94</v>
      </c>
      <c r="AC154" s="3">
        <v>4</v>
      </c>
      <c r="AD154" s="3">
        <v>11.8</v>
      </c>
      <c r="AE154" s="3">
        <v>98</v>
      </c>
      <c r="AF154" s="3">
        <v>0</v>
      </c>
      <c r="AG154" s="3">
        <v>586.509754</v>
      </c>
      <c r="AH154" s="3">
        <v>0</v>
      </c>
      <c r="AI154" s="3" t="s">
        <v>164</v>
      </c>
      <c r="AJ154" s="3" t="s">
        <v>88</v>
      </c>
    </row>
    <row r="155" spans="1:36">
      <c r="A155" s="5">
        <v>43288</v>
      </c>
      <c r="B155" s="3" t="s">
        <v>741</v>
      </c>
      <c r="C155" s="3" t="s">
        <v>742</v>
      </c>
      <c r="D155" s="3" t="s">
        <v>743</v>
      </c>
      <c r="E155" s="3" t="s">
        <v>744</v>
      </c>
      <c r="F155" s="3" t="s">
        <v>84</v>
      </c>
      <c r="G155" s="3">
        <v>10</v>
      </c>
      <c r="H155" s="3">
        <v>0</v>
      </c>
      <c r="I155" s="3">
        <v>0</v>
      </c>
      <c r="J155" s="3">
        <v>0</v>
      </c>
      <c r="K155" s="3">
        <v>1</v>
      </c>
      <c r="L155" s="3">
        <v>9</v>
      </c>
      <c r="M155" s="3">
        <v>0</v>
      </c>
      <c r="N155" s="3" t="s">
        <v>85</v>
      </c>
      <c r="O155" s="3">
        <v>10</v>
      </c>
      <c r="P155" s="3">
        <v>27.31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 t="s">
        <v>100</v>
      </c>
      <c r="X155" s="3">
        <v>13.9</v>
      </c>
      <c r="Y155" s="3">
        <v>13.9</v>
      </c>
      <c r="Z155" s="3">
        <v>13.9</v>
      </c>
      <c r="AA155" s="3">
        <v>0</v>
      </c>
      <c r="AB155" s="3" t="s">
        <v>94</v>
      </c>
      <c r="AC155" s="3">
        <v>0</v>
      </c>
      <c r="AD155" s="3">
        <v>11.12</v>
      </c>
      <c r="AE155" s="3">
        <v>364</v>
      </c>
      <c r="AF155" s="3">
        <v>0</v>
      </c>
      <c r="AG155" s="3">
        <v>324.082636</v>
      </c>
      <c r="AH155" s="3">
        <v>0</v>
      </c>
      <c r="AI155" s="3" t="s">
        <v>173</v>
      </c>
      <c r="AJ155" s="3" t="s">
        <v>88</v>
      </c>
    </row>
    <row r="156" spans="1:36">
      <c r="A156" s="5">
        <v>43288</v>
      </c>
      <c r="B156" s="3" t="s">
        <v>745</v>
      </c>
      <c r="C156" s="3" t="s">
        <v>746</v>
      </c>
      <c r="D156" s="3" t="s">
        <v>747</v>
      </c>
      <c r="E156" s="3" t="s">
        <v>748</v>
      </c>
      <c r="F156" s="3" t="s">
        <v>84</v>
      </c>
      <c r="G156" s="3">
        <v>8</v>
      </c>
      <c r="H156" s="3">
        <v>0</v>
      </c>
      <c r="I156" s="3">
        <v>0</v>
      </c>
      <c r="J156" s="3">
        <v>0</v>
      </c>
      <c r="K156" s="3">
        <v>0</v>
      </c>
      <c r="L156" s="3">
        <v>8</v>
      </c>
      <c r="M156" s="3">
        <v>0</v>
      </c>
      <c r="N156" s="3" t="s">
        <v>85</v>
      </c>
      <c r="O156" s="3">
        <v>0</v>
      </c>
      <c r="P156" s="3">
        <v>0</v>
      </c>
      <c r="Q156" s="3">
        <v>8</v>
      </c>
      <c r="R156" s="3">
        <v>25.59</v>
      </c>
      <c r="S156" s="3">
        <v>0</v>
      </c>
      <c r="T156" s="3">
        <v>1</v>
      </c>
      <c r="U156" s="3">
        <v>2</v>
      </c>
      <c r="V156" s="3">
        <v>2</v>
      </c>
      <c r="W156" s="3"/>
      <c r="X156" s="3">
        <v>13.9</v>
      </c>
      <c r="Y156" s="3">
        <v>13.9</v>
      </c>
      <c r="Z156" s="3">
        <v>13.9</v>
      </c>
      <c r="AA156" s="3">
        <v>0</v>
      </c>
      <c r="AB156" s="3" t="s">
        <v>94</v>
      </c>
      <c r="AC156" s="3">
        <v>0</v>
      </c>
      <c r="AD156" s="3">
        <v>11.51</v>
      </c>
      <c r="AE156" s="3">
        <v>217</v>
      </c>
      <c r="AF156" s="3">
        <v>0</v>
      </c>
      <c r="AG156" s="3">
        <v>167.030559</v>
      </c>
      <c r="AH156" s="3">
        <v>0.216216216216216</v>
      </c>
      <c r="AI156" s="3" t="s">
        <v>140</v>
      </c>
      <c r="AJ156" s="3" t="s">
        <v>88</v>
      </c>
    </row>
    <row r="157" spans="1:36">
      <c r="A157" s="5">
        <v>43288</v>
      </c>
      <c r="B157" s="3" t="s">
        <v>749</v>
      </c>
      <c r="C157" s="3" t="s">
        <v>750</v>
      </c>
      <c r="D157" s="3" t="s">
        <v>751</v>
      </c>
      <c r="E157" s="3" t="s">
        <v>752</v>
      </c>
      <c r="F157" s="3" t="s">
        <v>84</v>
      </c>
      <c r="G157" s="3">
        <v>2</v>
      </c>
      <c r="H157" s="3">
        <v>0</v>
      </c>
      <c r="I157" s="3">
        <v>0</v>
      </c>
      <c r="J157" s="3">
        <v>0</v>
      </c>
      <c r="K157" s="3">
        <v>0</v>
      </c>
      <c r="L157" s="3">
        <v>2</v>
      </c>
      <c r="M157" s="3">
        <v>0</v>
      </c>
      <c r="N157" s="3" t="s">
        <v>85</v>
      </c>
      <c r="O157" s="3">
        <v>0</v>
      </c>
      <c r="P157" s="3">
        <v>0</v>
      </c>
      <c r="Q157" s="3">
        <v>2</v>
      </c>
      <c r="R157" s="3">
        <v>1</v>
      </c>
      <c r="S157" s="3">
        <v>0</v>
      </c>
      <c r="T157" s="3">
        <v>0</v>
      </c>
      <c r="U157" s="3">
        <v>0</v>
      </c>
      <c r="V157" s="3">
        <v>0</v>
      </c>
      <c r="W157" s="3" t="s">
        <v>93</v>
      </c>
      <c r="X157" s="3">
        <v>4.66</v>
      </c>
      <c r="Y157" s="3">
        <v>4.66</v>
      </c>
      <c r="Z157" s="3">
        <v>4.66</v>
      </c>
      <c r="AA157" s="3">
        <v>0</v>
      </c>
      <c r="AB157" s="3" t="s">
        <v>86</v>
      </c>
      <c r="AC157" s="3">
        <v>2</v>
      </c>
      <c r="AD157" s="3">
        <v>4.66</v>
      </c>
      <c r="AE157" s="3">
        <v>0</v>
      </c>
      <c r="AF157" s="3">
        <v>0</v>
      </c>
      <c r="AG157" s="3">
        <v>0</v>
      </c>
      <c r="AH157" s="3">
        <v>0</v>
      </c>
      <c r="AI157" s="3" t="s">
        <v>106</v>
      </c>
      <c r="AJ157" s="3" t="s">
        <v>88</v>
      </c>
    </row>
    <row r="158" spans="1:36">
      <c r="A158" s="5">
        <v>43288</v>
      </c>
      <c r="B158" s="3" t="s">
        <v>753</v>
      </c>
      <c r="C158" s="3" t="s">
        <v>754</v>
      </c>
      <c r="D158" s="3" t="s">
        <v>755</v>
      </c>
      <c r="E158" s="3" t="s">
        <v>756</v>
      </c>
      <c r="F158" s="3" t="s">
        <v>84</v>
      </c>
      <c r="G158" s="3">
        <v>28</v>
      </c>
      <c r="H158" s="3">
        <v>0</v>
      </c>
      <c r="I158" s="3">
        <v>0</v>
      </c>
      <c r="J158" s="3">
        <v>0</v>
      </c>
      <c r="K158" s="3">
        <v>0</v>
      </c>
      <c r="L158" s="3">
        <v>28</v>
      </c>
      <c r="M158" s="3">
        <v>0</v>
      </c>
      <c r="N158" s="3" t="s">
        <v>85</v>
      </c>
      <c r="O158" s="3">
        <v>28</v>
      </c>
      <c r="P158" s="3">
        <v>38.24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100</v>
      </c>
      <c r="X158" s="3">
        <v>12.99</v>
      </c>
      <c r="Y158" s="3">
        <v>12.99</v>
      </c>
      <c r="Z158" s="3">
        <v>12.99</v>
      </c>
      <c r="AA158" s="3">
        <v>0</v>
      </c>
      <c r="AB158" s="3" t="s">
        <v>94</v>
      </c>
      <c r="AC158" s="3">
        <v>2</v>
      </c>
      <c r="AD158" s="3">
        <v>11.56</v>
      </c>
      <c r="AE158" s="3">
        <v>168</v>
      </c>
      <c r="AF158" s="3">
        <v>0</v>
      </c>
      <c r="AG158" s="3">
        <v>569.247065</v>
      </c>
      <c r="AH158" s="3">
        <v>0</v>
      </c>
      <c r="AI158" s="3" t="s">
        <v>164</v>
      </c>
      <c r="AJ158" s="3" t="s">
        <v>88</v>
      </c>
    </row>
    <row r="159" spans="1:36">
      <c r="A159" s="5">
        <v>43288</v>
      </c>
      <c r="B159" s="3" t="s">
        <v>757</v>
      </c>
      <c r="C159" s="3" t="s">
        <v>758</v>
      </c>
      <c r="D159" s="3" t="s">
        <v>759</v>
      </c>
      <c r="E159" s="3" t="s">
        <v>760</v>
      </c>
      <c r="F159" s="3" t="s">
        <v>84</v>
      </c>
      <c r="G159" s="3">
        <v>40</v>
      </c>
      <c r="H159" s="3">
        <v>0</v>
      </c>
      <c r="I159" s="3">
        <v>0</v>
      </c>
      <c r="J159" s="3">
        <v>0</v>
      </c>
      <c r="K159" s="3">
        <v>40</v>
      </c>
      <c r="L159" s="3">
        <v>0</v>
      </c>
      <c r="M159" s="3">
        <v>0</v>
      </c>
      <c r="N159" s="3" t="s">
        <v>85</v>
      </c>
      <c r="O159" s="3">
        <v>40</v>
      </c>
      <c r="P159" s="3">
        <v>12.12</v>
      </c>
      <c r="Q159" s="3">
        <v>0</v>
      </c>
      <c r="R159" s="3">
        <v>0</v>
      </c>
      <c r="S159" s="3">
        <v>0</v>
      </c>
      <c r="T159" s="3">
        <v>1</v>
      </c>
      <c r="U159" s="3">
        <v>1</v>
      </c>
      <c r="V159" s="3">
        <v>1</v>
      </c>
      <c r="W159" s="3" t="s">
        <v>93</v>
      </c>
      <c r="X159" s="3">
        <v>8.79</v>
      </c>
      <c r="Y159" s="3">
        <v>8.79</v>
      </c>
      <c r="Z159" s="3">
        <v>8.79</v>
      </c>
      <c r="AA159" s="3">
        <v>0</v>
      </c>
      <c r="AB159" s="3" t="s">
        <v>94</v>
      </c>
      <c r="AC159" s="3">
        <v>28</v>
      </c>
      <c r="AD159" s="3">
        <v>7.03</v>
      </c>
      <c r="AE159" s="3">
        <v>168</v>
      </c>
      <c r="AF159" s="3">
        <v>0</v>
      </c>
      <c r="AG159" s="3">
        <v>6.614903</v>
      </c>
      <c r="AH159" s="3">
        <v>0.0245398773006134</v>
      </c>
      <c r="AI159" s="3" t="s">
        <v>466</v>
      </c>
      <c r="AJ159" s="3" t="s">
        <v>88</v>
      </c>
    </row>
    <row r="160" spans="1:36">
      <c r="A160" s="5">
        <v>43288</v>
      </c>
      <c r="B160" s="3" t="s">
        <v>761</v>
      </c>
      <c r="C160" s="3" t="s">
        <v>762</v>
      </c>
      <c r="D160" s="3" t="s">
        <v>763</v>
      </c>
      <c r="E160" s="3" t="s">
        <v>764</v>
      </c>
      <c r="F160" s="3" t="s">
        <v>84</v>
      </c>
      <c r="G160" s="3">
        <v>1</v>
      </c>
      <c r="H160" s="3">
        <v>0</v>
      </c>
      <c r="I160" s="3">
        <v>0</v>
      </c>
      <c r="J160" s="3">
        <v>0</v>
      </c>
      <c r="K160" s="3">
        <v>0</v>
      </c>
      <c r="L160" s="3">
        <v>1</v>
      </c>
      <c r="M160" s="3">
        <v>0</v>
      </c>
      <c r="N160" s="3" t="s">
        <v>85</v>
      </c>
      <c r="O160" s="3">
        <v>0</v>
      </c>
      <c r="P160" s="3">
        <v>0</v>
      </c>
      <c r="Q160" s="3">
        <v>1</v>
      </c>
      <c r="R160" s="3">
        <v>3.2</v>
      </c>
      <c r="S160" s="3">
        <v>0</v>
      </c>
      <c r="T160" s="3">
        <v>0</v>
      </c>
      <c r="U160" s="3">
        <v>0</v>
      </c>
      <c r="V160" s="3">
        <v>0</v>
      </c>
      <c r="W160" s="3" t="s">
        <v>100</v>
      </c>
      <c r="X160" s="3">
        <v>13.9</v>
      </c>
      <c r="Y160" s="3">
        <v>13.9</v>
      </c>
      <c r="Z160" s="3">
        <v>13.9</v>
      </c>
      <c r="AA160" s="3">
        <v>0</v>
      </c>
      <c r="AB160" s="3" t="s">
        <v>94</v>
      </c>
      <c r="AC160" s="3">
        <v>0</v>
      </c>
      <c r="AD160" s="3">
        <v>12.29</v>
      </c>
      <c r="AE160" s="3">
        <v>84</v>
      </c>
      <c r="AF160" s="3">
        <v>0</v>
      </c>
      <c r="AG160" s="3">
        <v>23.604491</v>
      </c>
      <c r="AH160" s="3">
        <v>0</v>
      </c>
      <c r="AI160" s="3" t="s">
        <v>140</v>
      </c>
      <c r="AJ160" s="3" t="s">
        <v>88</v>
      </c>
    </row>
    <row r="161" spans="1:36">
      <c r="A161" s="5">
        <v>43288</v>
      </c>
      <c r="B161" s="3" t="s">
        <v>16</v>
      </c>
      <c r="C161" s="3" t="s">
        <v>17</v>
      </c>
      <c r="D161" s="3" t="s">
        <v>18</v>
      </c>
      <c r="E161" s="3" t="s">
        <v>19</v>
      </c>
      <c r="F161" s="3" t="s">
        <v>84</v>
      </c>
      <c r="G161" s="3">
        <v>10</v>
      </c>
      <c r="H161" s="3">
        <v>0</v>
      </c>
      <c r="I161" s="3">
        <v>1</v>
      </c>
      <c r="J161" s="3">
        <v>3</v>
      </c>
      <c r="K161" s="3">
        <v>5</v>
      </c>
      <c r="L161" s="3">
        <v>1</v>
      </c>
      <c r="M161" s="3">
        <v>0</v>
      </c>
      <c r="N161" s="3" t="s">
        <v>85</v>
      </c>
      <c r="O161" s="3">
        <v>7</v>
      </c>
      <c r="P161" s="3">
        <v>9.64</v>
      </c>
      <c r="Q161" s="3">
        <v>0</v>
      </c>
      <c r="R161" s="3">
        <v>0</v>
      </c>
      <c r="S161" s="3">
        <v>0</v>
      </c>
      <c r="T161" s="3">
        <v>5</v>
      </c>
      <c r="U161" s="3">
        <v>7</v>
      </c>
      <c r="V161" s="3">
        <v>9</v>
      </c>
      <c r="W161" s="3"/>
      <c r="X161" s="3">
        <v>9.99</v>
      </c>
      <c r="Y161" s="3">
        <v>9.99</v>
      </c>
      <c r="Z161" s="3">
        <v>9.99</v>
      </c>
      <c r="AA161" s="3">
        <v>0</v>
      </c>
      <c r="AB161" s="3" t="s">
        <v>86</v>
      </c>
      <c r="AC161" s="3">
        <v>10</v>
      </c>
      <c r="AD161" s="3">
        <v>9.99</v>
      </c>
      <c r="AE161" s="3">
        <v>0</v>
      </c>
      <c r="AF161" s="3">
        <v>0</v>
      </c>
      <c r="AG161" s="3">
        <v>0</v>
      </c>
      <c r="AH161" s="3">
        <v>0.610169491525423</v>
      </c>
      <c r="AI161" s="3" t="s">
        <v>101</v>
      </c>
      <c r="AJ161" s="3" t="s">
        <v>88</v>
      </c>
    </row>
    <row r="162" spans="1:36">
      <c r="A162" s="5">
        <v>43288</v>
      </c>
      <c r="B162" s="3" t="s">
        <v>765</v>
      </c>
      <c r="C162" s="3" t="s">
        <v>766</v>
      </c>
      <c r="D162" s="3" t="s">
        <v>767</v>
      </c>
      <c r="E162" s="3" t="s">
        <v>768</v>
      </c>
      <c r="F162" s="3" t="s">
        <v>84</v>
      </c>
      <c r="G162" s="3">
        <v>46</v>
      </c>
      <c r="H162" s="3">
        <v>0</v>
      </c>
      <c r="I162" s="3">
        <v>0</v>
      </c>
      <c r="J162" s="3">
        <v>0</v>
      </c>
      <c r="K162" s="3">
        <v>0</v>
      </c>
      <c r="L162" s="3">
        <v>46</v>
      </c>
      <c r="M162" s="3">
        <v>0</v>
      </c>
      <c r="N162" s="3" t="s">
        <v>85</v>
      </c>
      <c r="O162" s="3">
        <v>46</v>
      </c>
      <c r="P162" s="3">
        <v>60.69</v>
      </c>
      <c r="Q162" s="3">
        <v>0</v>
      </c>
      <c r="R162" s="3">
        <v>0</v>
      </c>
      <c r="S162" s="3">
        <v>1</v>
      </c>
      <c r="T162" s="3">
        <v>2</v>
      </c>
      <c r="U162" s="3">
        <v>2</v>
      </c>
      <c r="V162" s="3">
        <v>2</v>
      </c>
      <c r="W162" s="3"/>
      <c r="X162" s="3">
        <v>7.97</v>
      </c>
      <c r="Y162" s="3">
        <v>7.97</v>
      </c>
      <c r="Z162" s="3">
        <v>7.97</v>
      </c>
      <c r="AA162" s="3">
        <v>0</v>
      </c>
      <c r="AB162" s="3" t="s">
        <v>769</v>
      </c>
      <c r="AC162" s="3">
        <v>0</v>
      </c>
      <c r="AD162" s="3">
        <v>7.97</v>
      </c>
      <c r="AE162" s="3">
        <v>0</v>
      </c>
      <c r="AF162" s="3">
        <v>46</v>
      </c>
      <c r="AG162" s="3">
        <v>819.479171</v>
      </c>
      <c r="AH162" s="3">
        <v>0.0421052631578947</v>
      </c>
      <c r="AI162" s="3" t="s">
        <v>194</v>
      </c>
      <c r="AJ162" s="3" t="s">
        <v>88</v>
      </c>
    </row>
    <row r="163" spans="1:36">
      <c r="A163" s="5">
        <v>43288</v>
      </c>
      <c r="B163" s="3" t="s">
        <v>770</v>
      </c>
      <c r="C163" s="3" t="s">
        <v>771</v>
      </c>
      <c r="D163" s="3" t="s">
        <v>772</v>
      </c>
      <c r="E163" s="3" t="s">
        <v>773</v>
      </c>
      <c r="F163" s="3" t="s">
        <v>84</v>
      </c>
      <c r="G163" s="3">
        <v>2</v>
      </c>
      <c r="H163" s="3">
        <v>0</v>
      </c>
      <c r="I163" s="3">
        <v>0</v>
      </c>
      <c r="J163" s="3">
        <v>0</v>
      </c>
      <c r="K163" s="3">
        <v>0</v>
      </c>
      <c r="L163" s="3">
        <v>2</v>
      </c>
      <c r="M163" s="3">
        <v>0</v>
      </c>
      <c r="N163" s="3" t="s">
        <v>85</v>
      </c>
      <c r="O163" s="3">
        <v>0</v>
      </c>
      <c r="P163" s="3">
        <v>0</v>
      </c>
      <c r="Q163" s="3">
        <v>2</v>
      </c>
      <c r="R163" s="3">
        <v>1.85</v>
      </c>
      <c r="S163" s="3">
        <v>0</v>
      </c>
      <c r="T163" s="3">
        <v>0</v>
      </c>
      <c r="U163" s="3">
        <v>0</v>
      </c>
      <c r="V163" s="3">
        <v>0</v>
      </c>
      <c r="W163" s="3" t="s">
        <v>93</v>
      </c>
      <c r="X163" s="3">
        <v>4.66</v>
      </c>
      <c r="Y163" s="3">
        <v>4.66</v>
      </c>
      <c r="Z163" s="3">
        <v>4.66</v>
      </c>
      <c r="AA163" s="3">
        <v>0</v>
      </c>
      <c r="AB163" s="3" t="s">
        <v>94</v>
      </c>
      <c r="AC163" s="3">
        <v>0</v>
      </c>
      <c r="AD163" s="3">
        <v>3.73</v>
      </c>
      <c r="AE163" s="3">
        <v>63</v>
      </c>
      <c r="AF163" s="3">
        <v>0</v>
      </c>
      <c r="AG163" s="3">
        <v>11.68406</v>
      </c>
      <c r="AH163" s="3">
        <v>0</v>
      </c>
      <c r="AI163" s="3" t="s">
        <v>203</v>
      </c>
      <c r="AJ163" s="3" t="s">
        <v>88</v>
      </c>
    </row>
    <row r="164" spans="1:36">
      <c r="A164" s="5">
        <v>43288</v>
      </c>
      <c r="B164" s="3" t="s">
        <v>774</v>
      </c>
      <c r="C164" s="3" t="s">
        <v>775</v>
      </c>
      <c r="D164" s="3" t="s">
        <v>776</v>
      </c>
      <c r="E164" s="3" t="s">
        <v>777</v>
      </c>
      <c r="F164" s="3" t="s">
        <v>84</v>
      </c>
      <c r="G164" s="3">
        <v>9</v>
      </c>
      <c r="H164" s="3">
        <v>0</v>
      </c>
      <c r="I164" s="3">
        <v>0</v>
      </c>
      <c r="J164" s="3">
        <v>9</v>
      </c>
      <c r="K164" s="3">
        <v>0</v>
      </c>
      <c r="L164" s="3">
        <v>0</v>
      </c>
      <c r="M164" s="3">
        <v>0</v>
      </c>
      <c r="N164" s="3" t="s">
        <v>85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 t="s">
        <v>93</v>
      </c>
      <c r="X164" s="3">
        <v>15.99</v>
      </c>
      <c r="Y164" s="3">
        <v>15.99</v>
      </c>
      <c r="Z164" s="3">
        <v>15.99</v>
      </c>
      <c r="AA164" s="3">
        <v>0</v>
      </c>
      <c r="AB164" s="3" t="s">
        <v>239</v>
      </c>
      <c r="AC164" s="3">
        <v>0</v>
      </c>
      <c r="AD164" s="3">
        <v>12.79</v>
      </c>
      <c r="AE164" s="3">
        <v>63</v>
      </c>
      <c r="AF164" s="3">
        <v>0</v>
      </c>
      <c r="AG164" s="3">
        <v>153.554813</v>
      </c>
      <c r="AH164" s="3">
        <v>0</v>
      </c>
      <c r="AI164" s="3" t="s">
        <v>361</v>
      </c>
      <c r="AJ164" s="3" t="s">
        <v>88</v>
      </c>
    </row>
    <row r="165" spans="1:36">
      <c r="A165" s="5">
        <v>43288</v>
      </c>
      <c r="B165" s="3" t="s">
        <v>778</v>
      </c>
      <c r="C165" s="3" t="s">
        <v>779</v>
      </c>
      <c r="D165" s="3" t="s">
        <v>780</v>
      </c>
      <c r="E165" s="3" t="s">
        <v>781</v>
      </c>
      <c r="F165" s="3" t="s">
        <v>84</v>
      </c>
      <c r="G165" s="3">
        <v>10</v>
      </c>
      <c r="H165" s="3">
        <v>0</v>
      </c>
      <c r="I165" s="3">
        <v>0</v>
      </c>
      <c r="J165" s="3">
        <v>10</v>
      </c>
      <c r="K165" s="3">
        <v>0</v>
      </c>
      <c r="L165" s="3">
        <v>0</v>
      </c>
      <c r="M165" s="3">
        <v>0</v>
      </c>
      <c r="N165" s="3" t="s">
        <v>85</v>
      </c>
      <c r="O165" s="3">
        <v>5</v>
      </c>
      <c r="P165" s="3">
        <v>0.39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 t="s">
        <v>100</v>
      </c>
      <c r="X165" s="3">
        <v>18.99</v>
      </c>
      <c r="Y165" s="3">
        <v>18.99</v>
      </c>
      <c r="Z165" s="3">
        <v>18.99</v>
      </c>
      <c r="AA165" s="3">
        <v>0</v>
      </c>
      <c r="AB165" s="3" t="s">
        <v>94</v>
      </c>
      <c r="AC165" s="3">
        <v>0</v>
      </c>
      <c r="AD165" s="3">
        <v>15.19</v>
      </c>
      <c r="AE165" s="3">
        <v>63</v>
      </c>
      <c r="AF165" s="3">
        <v>0</v>
      </c>
      <c r="AG165" s="3">
        <v>13.319288</v>
      </c>
      <c r="AH165" s="3">
        <v>0</v>
      </c>
      <c r="AI165" s="3" t="s">
        <v>262</v>
      </c>
      <c r="AJ165" s="3" t="s">
        <v>88</v>
      </c>
    </row>
    <row r="166" spans="1:36">
      <c r="A166" s="5">
        <v>43288</v>
      </c>
      <c r="B166" s="3" t="s">
        <v>782</v>
      </c>
      <c r="C166" s="3" t="s">
        <v>783</v>
      </c>
      <c r="D166" s="3" t="s">
        <v>784</v>
      </c>
      <c r="E166" s="3" t="s">
        <v>785</v>
      </c>
      <c r="F166" s="3" t="s">
        <v>84</v>
      </c>
      <c r="G166" s="3">
        <v>8</v>
      </c>
      <c r="H166" s="3">
        <v>0</v>
      </c>
      <c r="I166" s="3">
        <v>0</v>
      </c>
      <c r="J166" s="3">
        <v>8</v>
      </c>
      <c r="K166" s="3">
        <v>0</v>
      </c>
      <c r="L166" s="3">
        <v>0</v>
      </c>
      <c r="M166" s="3">
        <v>0</v>
      </c>
      <c r="N166" s="3" t="s">
        <v>85</v>
      </c>
      <c r="O166" s="3">
        <v>7</v>
      </c>
      <c r="P166" s="3">
        <v>61.51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100</v>
      </c>
      <c r="X166" s="3">
        <v>42.99</v>
      </c>
      <c r="Y166" s="3">
        <v>42.99</v>
      </c>
      <c r="Z166" s="3">
        <v>42.99</v>
      </c>
      <c r="AA166" s="3">
        <v>0</v>
      </c>
      <c r="AB166" s="3" t="s">
        <v>94</v>
      </c>
      <c r="AC166" s="3">
        <v>0</v>
      </c>
      <c r="AD166" s="3">
        <v>34.39</v>
      </c>
      <c r="AE166" s="3">
        <v>175</v>
      </c>
      <c r="AF166" s="3">
        <v>0</v>
      </c>
      <c r="AG166" s="3">
        <v>774.069275</v>
      </c>
      <c r="AH166" s="3">
        <v>0</v>
      </c>
      <c r="AI166" s="3" t="s">
        <v>308</v>
      </c>
      <c r="AJ166" s="3" t="s">
        <v>88</v>
      </c>
    </row>
    <row r="167" spans="1:36">
      <c r="A167" s="5">
        <v>43288</v>
      </c>
      <c r="B167" s="3" t="s">
        <v>786</v>
      </c>
      <c r="C167" s="3" t="s">
        <v>787</v>
      </c>
      <c r="D167" s="3" t="s">
        <v>788</v>
      </c>
      <c r="E167" s="3" t="s">
        <v>789</v>
      </c>
      <c r="F167" s="3" t="s">
        <v>84</v>
      </c>
      <c r="G167" s="3">
        <v>14</v>
      </c>
      <c r="H167" s="3">
        <v>0</v>
      </c>
      <c r="I167" s="3">
        <v>0</v>
      </c>
      <c r="J167" s="3">
        <v>14</v>
      </c>
      <c r="K167" s="3">
        <v>0</v>
      </c>
      <c r="L167" s="3">
        <v>0</v>
      </c>
      <c r="M167" s="3">
        <v>0</v>
      </c>
      <c r="N167" s="3" t="s">
        <v>85</v>
      </c>
      <c r="O167" s="3">
        <v>14</v>
      </c>
      <c r="P167" s="3">
        <v>28.09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1</v>
      </c>
      <c r="W167" s="3" t="s">
        <v>100</v>
      </c>
      <c r="X167" s="3">
        <v>20.99</v>
      </c>
      <c r="Y167" s="3">
        <v>20.99</v>
      </c>
      <c r="Z167" s="3">
        <v>20.99</v>
      </c>
      <c r="AA167" s="3">
        <v>0</v>
      </c>
      <c r="AB167" s="3" t="s">
        <v>94</v>
      </c>
      <c r="AC167" s="3">
        <v>4</v>
      </c>
      <c r="AD167" s="3">
        <v>18.72</v>
      </c>
      <c r="AE167" s="3">
        <v>35</v>
      </c>
      <c r="AF167" s="3">
        <v>0</v>
      </c>
      <c r="AG167" s="3">
        <v>460.132398</v>
      </c>
      <c r="AH167" s="3">
        <v>0.0701754385964912</v>
      </c>
      <c r="AI167" s="3" t="s">
        <v>87</v>
      </c>
      <c r="AJ167" s="3" t="s">
        <v>88</v>
      </c>
    </row>
    <row r="168" spans="1:36">
      <c r="A168" s="5">
        <v>43288</v>
      </c>
      <c r="B168" s="3" t="s">
        <v>790</v>
      </c>
      <c r="C168" s="3" t="s">
        <v>791</v>
      </c>
      <c r="D168" s="3" t="s">
        <v>792</v>
      </c>
      <c r="E168" s="3" t="s">
        <v>793</v>
      </c>
      <c r="F168" s="3" t="s">
        <v>84</v>
      </c>
      <c r="G168" s="3">
        <v>1</v>
      </c>
      <c r="H168" s="3">
        <v>0</v>
      </c>
      <c r="I168" s="3">
        <v>0</v>
      </c>
      <c r="J168" s="3">
        <v>0</v>
      </c>
      <c r="K168" s="3">
        <v>0</v>
      </c>
      <c r="L168" s="3">
        <v>1</v>
      </c>
      <c r="M168" s="3">
        <v>0</v>
      </c>
      <c r="N168" s="3" t="s">
        <v>85</v>
      </c>
      <c r="O168" s="3">
        <v>0</v>
      </c>
      <c r="P168" s="3">
        <v>0</v>
      </c>
      <c r="Q168" s="3">
        <v>1</v>
      </c>
      <c r="R168" s="3">
        <v>0.89</v>
      </c>
      <c r="S168" s="3">
        <v>0</v>
      </c>
      <c r="T168" s="3">
        <v>0</v>
      </c>
      <c r="U168" s="3">
        <v>0</v>
      </c>
      <c r="V168" s="3">
        <v>0</v>
      </c>
      <c r="W168" s="3" t="s">
        <v>93</v>
      </c>
      <c r="X168" s="3">
        <v>4.99</v>
      </c>
      <c r="Y168" s="3">
        <v>4.99</v>
      </c>
      <c r="Z168" s="3">
        <v>4.99</v>
      </c>
      <c r="AA168" s="3">
        <v>0</v>
      </c>
      <c r="AB168" s="3" t="s">
        <v>94</v>
      </c>
      <c r="AC168" s="3">
        <v>0</v>
      </c>
      <c r="AD168" s="3">
        <v>3.99</v>
      </c>
      <c r="AE168" s="3">
        <v>63</v>
      </c>
      <c r="AF168" s="3">
        <v>0</v>
      </c>
      <c r="AG168" s="3">
        <v>5.578479</v>
      </c>
      <c r="AH168" s="3">
        <v>0</v>
      </c>
      <c r="AI168" s="3" t="s">
        <v>229</v>
      </c>
      <c r="AJ168" s="3" t="s">
        <v>88</v>
      </c>
    </row>
    <row r="169" spans="1:36">
      <c r="A169" s="5">
        <v>43288</v>
      </c>
      <c r="B169" s="3" t="s">
        <v>794</v>
      </c>
      <c r="C169" s="3" t="s">
        <v>795</v>
      </c>
      <c r="D169" s="3" t="s">
        <v>796</v>
      </c>
      <c r="E169" s="3" t="s">
        <v>299</v>
      </c>
      <c r="F169" s="3" t="s">
        <v>84</v>
      </c>
      <c r="G169" s="3">
        <v>15</v>
      </c>
      <c r="H169" s="3">
        <v>0</v>
      </c>
      <c r="I169" s="3">
        <v>0</v>
      </c>
      <c r="J169" s="3">
        <v>15</v>
      </c>
      <c r="K169" s="3">
        <v>0</v>
      </c>
      <c r="L169" s="3">
        <v>0</v>
      </c>
      <c r="M169" s="3">
        <v>0</v>
      </c>
      <c r="N169" s="3" t="s">
        <v>85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 t="s">
        <v>93</v>
      </c>
      <c r="X169" s="3">
        <v>15.99</v>
      </c>
      <c r="Y169" s="3">
        <v>15.99</v>
      </c>
      <c r="Z169" s="3">
        <v>15.99</v>
      </c>
      <c r="AA169" s="3">
        <v>0</v>
      </c>
      <c r="AB169" s="3" t="s">
        <v>239</v>
      </c>
      <c r="AC169" s="3">
        <v>0</v>
      </c>
      <c r="AD169" s="3">
        <v>12.79</v>
      </c>
      <c r="AE169" s="3">
        <v>63</v>
      </c>
      <c r="AF169" s="3">
        <v>0</v>
      </c>
      <c r="AG169" s="3">
        <v>255.924688</v>
      </c>
      <c r="AH169" s="3">
        <v>0</v>
      </c>
      <c r="AI169" s="3" t="s">
        <v>361</v>
      </c>
      <c r="AJ169" s="3" t="s">
        <v>88</v>
      </c>
    </row>
    <row r="170" spans="1:36">
      <c r="A170" s="5">
        <v>43288</v>
      </c>
      <c r="B170" s="3" t="s">
        <v>797</v>
      </c>
      <c r="C170" s="3" t="s">
        <v>798</v>
      </c>
      <c r="D170" s="3" t="s">
        <v>799</v>
      </c>
      <c r="E170" s="3" t="s">
        <v>800</v>
      </c>
      <c r="F170" s="3" t="s">
        <v>84</v>
      </c>
      <c r="G170" s="3">
        <v>28</v>
      </c>
      <c r="H170" s="3">
        <v>0</v>
      </c>
      <c r="I170" s="3">
        <v>0</v>
      </c>
      <c r="J170" s="3">
        <v>0</v>
      </c>
      <c r="K170" s="3">
        <v>0</v>
      </c>
      <c r="L170" s="3">
        <v>28</v>
      </c>
      <c r="M170" s="3">
        <v>0</v>
      </c>
      <c r="N170" s="3" t="s">
        <v>85</v>
      </c>
      <c r="O170" s="3">
        <v>28</v>
      </c>
      <c r="P170" s="3">
        <v>38.23</v>
      </c>
      <c r="Q170" s="3">
        <v>0</v>
      </c>
      <c r="R170" s="3">
        <v>0</v>
      </c>
      <c r="S170" s="3">
        <v>0</v>
      </c>
      <c r="T170" s="3">
        <v>0</v>
      </c>
      <c r="U170" s="3">
        <v>0</v>
      </c>
      <c r="V170" s="3">
        <v>0</v>
      </c>
      <c r="W170" s="3" t="s">
        <v>100</v>
      </c>
      <c r="X170" s="3">
        <v>12.99</v>
      </c>
      <c r="Y170" s="3">
        <v>12.99</v>
      </c>
      <c r="Z170" s="3">
        <v>12.99</v>
      </c>
      <c r="AA170" s="3">
        <v>0</v>
      </c>
      <c r="AB170" s="3" t="s">
        <v>94</v>
      </c>
      <c r="AC170" s="3">
        <v>4</v>
      </c>
      <c r="AD170" s="3">
        <v>11.78</v>
      </c>
      <c r="AE170" s="3">
        <v>98</v>
      </c>
      <c r="AF170" s="3">
        <v>0</v>
      </c>
      <c r="AG170" s="3">
        <v>586.964468</v>
      </c>
      <c r="AH170" s="3">
        <v>0</v>
      </c>
      <c r="AI170" s="3" t="s">
        <v>164</v>
      </c>
      <c r="AJ170" s="3" t="s">
        <v>88</v>
      </c>
    </row>
    <row r="171" spans="1:36">
      <c r="A171" s="5">
        <v>43288</v>
      </c>
      <c r="B171" s="3" t="s">
        <v>801</v>
      </c>
      <c r="C171" s="3" t="s">
        <v>802</v>
      </c>
      <c r="D171" s="3" t="s">
        <v>803</v>
      </c>
      <c r="E171" s="3" t="s">
        <v>804</v>
      </c>
      <c r="F171" s="3" t="s">
        <v>84</v>
      </c>
      <c r="G171" s="3">
        <v>35</v>
      </c>
      <c r="H171" s="3">
        <v>0</v>
      </c>
      <c r="I171" s="3">
        <v>1</v>
      </c>
      <c r="J171" s="3">
        <v>5</v>
      </c>
      <c r="K171" s="3">
        <v>1</v>
      </c>
      <c r="L171" s="3">
        <v>28</v>
      </c>
      <c r="M171" s="3">
        <v>0</v>
      </c>
      <c r="N171" s="3" t="s">
        <v>85</v>
      </c>
      <c r="O171" s="3">
        <v>33</v>
      </c>
      <c r="P171" s="3">
        <v>43.54</v>
      </c>
      <c r="Q171" s="3">
        <v>0</v>
      </c>
      <c r="R171" s="3">
        <v>0</v>
      </c>
      <c r="S171" s="3">
        <v>1</v>
      </c>
      <c r="T171" s="3">
        <v>1</v>
      </c>
      <c r="U171" s="3">
        <v>3</v>
      </c>
      <c r="V171" s="3">
        <v>5</v>
      </c>
      <c r="W171" s="3"/>
      <c r="X171" s="3">
        <v>9.99</v>
      </c>
      <c r="Y171" s="3">
        <v>9.99</v>
      </c>
      <c r="Z171" s="3">
        <v>9.99</v>
      </c>
      <c r="AA171" s="3">
        <v>0</v>
      </c>
      <c r="AB171" s="3" t="s">
        <v>94</v>
      </c>
      <c r="AC171" s="3">
        <v>0</v>
      </c>
      <c r="AD171" s="3">
        <v>5.4</v>
      </c>
      <c r="AE171" s="3">
        <v>84</v>
      </c>
      <c r="AF171" s="3">
        <v>0</v>
      </c>
      <c r="AG171" s="3">
        <v>539.631282</v>
      </c>
      <c r="AH171" s="3">
        <v>0.136054421768707</v>
      </c>
      <c r="AI171" s="3" t="s">
        <v>194</v>
      </c>
      <c r="AJ171" s="3" t="s">
        <v>88</v>
      </c>
    </row>
    <row r="172" spans="1:36">
      <c r="A172" s="5">
        <v>43288</v>
      </c>
      <c r="B172" s="3" t="s">
        <v>805</v>
      </c>
      <c r="C172" s="3" t="s">
        <v>806</v>
      </c>
      <c r="D172" s="3" t="s">
        <v>807</v>
      </c>
      <c r="E172" s="3" t="s">
        <v>808</v>
      </c>
      <c r="F172" s="3" t="s">
        <v>84</v>
      </c>
      <c r="G172" s="3">
        <v>22</v>
      </c>
      <c r="H172" s="3">
        <v>0</v>
      </c>
      <c r="I172" s="3">
        <v>0</v>
      </c>
      <c r="J172" s="3">
        <v>0</v>
      </c>
      <c r="K172" s="3">
        <v>1</v>
      </c>
      <c r="L172" s="3">
        <v>21</v>
      </c>
      <c r="M172" s="3">
        <v>0</v>
      </c>
      <c r="N172" s="3" t="s">
        <v>85</v>
      </c>
      <c r="O172" s="3">
        <v>22</v>
      </c>
      <c r="P172" s="3">
        <v>30.28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93</v>
      </c>
      <c r="X172" s="3">
        <v>12.99</v>
      </c>
      <c r="Y172" s="3">
        <v>12.99</v>
      </c>
      <c r="Z172" s="3">
        <v>12.99</v>
      </c>
      <c r="AA172" s="3">
        <v>0</v>
      </c>
      <c r="AB172" s="3" t="s">
        <v>239</v>
      </c>
      <c r="AC172" s="3">
        <v>0</v>
      </c>
      <c r="AD172" s="3">
        <v>9.69</v>
      </c>
      <c r="AE172" s="3">
        <v>245</v>
      </c>
      <c r="AF172" s="3">
        <v>0</v>
      </c>
      <c r="AG172" s="3">
        <v>400.499152</v>
      </c>
      <c r="AH172" s="3">
        <v>0</v>
      </c>
      <c r="AI172" s="3" t="s">
        <v>684</v>
      </c>
      <c r="AJ172" s="3" t="s">
        <v>88</v>
      </c>
    </row>
    <row r="173" spans="1:36">
      <c r="A173" s="5">
        <v>43288</v>
      </c>
      <c r="B173" s="3" t="s">
        <v>809</v>
      </c>
      <c r="C173" s="3" t="s">
        <v>810</v>
      </c>
      <c r="D173" s="3" t="s">
        <v>811</v>
      </c>
      <c r="E173" s="3" t="s">
        <v>812</v>
      </c>
      <c r="F173" s="3" t="s">
        <v>84</v>
      </c>
      <c r="G173" s="3">
        <v>17</v>
      </c>
      <c r="H173" s="3">
        <v>0</v>
      </c>
      <c r="I173" s="3">
        <v>0</v>
      </c>
      <c r="J173" s="3">
        <v>17</v>
      </c>
      <c r="K173" s="3">
        <v>0</v>
      </c>
      <c r="L173" s="3">
        <v>0</v>
      </c>
      <c r="M173" s="3">
        <v>0</v>
      </c>
      <c r="N173" s="3" t="s">
        <v>85</v>
      </c>
      <c r="O173" s="3">
        <v>0</v>
      </c>
      <c r="P173" s="3">
        <v>0</v>
      </c>
      <c r="Q173" s="3">
        <v>0</v>
      </c>
      <c r="R173" s="3">
        <v>0</v>
      </c>
      <c r="S173" s="3">
        <v>1</v>
      </c>
      <c r="T173" s="3">
        <v>1</v>
      </c>
      <c r="U173" s="3">
        <v>3</v>
      </c>
      <c r="V173" s="3">
        <v>3</v>
      </c>
      <c r="W173" s="3" t="s">
        <v>93</v>
      </c>
      <c r="X173" s="3">
        <v>15.99</v>
      </c>
      <c r="Y173" s="3">
        <v>15.99</v>
      </c>
      <c r="Z173" s="3">
        <v>15.99</v>
      </c>
      <c r="AA173" s="3">
        <v>0</v>
      </c>
      <c r="AB173" s="3" t="s">
        <v>239</v>
      </c>
      <c r="AC173" s="3">
        <v>2</v>
      </c>
      <c r="AD173" s="3">
        <v>11.4</v>
      </c>
      <c r="AE173" s="3">
        <v>105</v>
      </c>
      <c r="AF173" s="3">
        <v>0</v>
      </c>
      <c r="AG173" s="3">
        <v>156.888082</v>
      </c>
      <c r="AH173" s="3">
        <v>0.16</v>
      </c>
      <c r="AI173" s="3" t="s">
        <v>361</v>
      </c>
      <c r="AJ173" s="3" t="s">
        <v>88</v>
      </c>
    </row>
    <row r="174" spans="1:36">
      <c r="A174" s="5">
        <v>43288</v>
      </c>
      <c r="B174" s="3" t="s">
        <v>813</v>
      </c>
      <c r="C174" s="3" t="s">
        <v>814</v>
      </c>
      <c r="D174" s="3" t="s">
        <v>815</v>
      </c>
      <c r="E174" s="3" t="s">
        <v>816</v>
      </c>
      <c r="F174" s="3" t="s">
        <v>84</v>
      </c>
      <c r="G174" s="3">
        <v>4</v>
      </c>
      <c r="H174" s="3">
        <v>0</v>
      </c>
      <c r="I174" s="3">
        <v>2</v>
      </c>
      <c r="J174" s="3">
        <v>2</v>
      </c>
      <c r="K174" s="3">
        <v>0</v>
      </c>
      <c r="L174" s="3">
        <v>0</v>
      </c>
      <c r="M174" s="3">
        <v>0</v>
      </c>
      <c r="N174" s="3" t="s">
        <v>85</v>
      </c>
      <c r="O174" s="3">
        <v>1</v>
      </c>
      <c r="P174" s="3">
        <v>6.33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1</v>
      </c>
      <c r="W174" s="3" t="s">
        <v>100</v>
      </c>
      <c r="X174" s="3">
        <v>42.99</v>
      </c>
      <c r="Y174" s="3">
        <v>42.99</v>
      </c>
      <c r="Z174" s="3">
        <v>42.49</v>
      </c>
      <c r="AA174" s="3">
        <v>0</v>
      </c>
      <c r="AB174" s="3" t="s">
        <v>94</v>
      </c>
      <c r="AC174" s="3">
        <v>0</v>
      </c>
      <c r="AD174" s="3">
        <v>38.69</v>
      </c>
      <c r="AE174" s="3">
        <v>119</v>
      </c>
      <c r="AF174" s="3">
        <v>0</v>
      </c>
      <c r="AG174" s="3">
        <v>300.713626</v>
      </c>
      <c r="AH174" s="3">
        <v>0.266666666666666</v>
      </c>
      <c r="AI174" s="3" t="s">
        <v>135</v>
      </c>
      <c r="AJ174" s="3" t="s">
        <v>88</v>
      </c>
    </row>
    <row r="175" spans="1:36">
      <c r="A175" s="5">
        <v>43288</v>
      </c>
      <c r="B175" s="3" t="s">
        <v>817</v>
      </c>
      <c r="C175" s="3" t="s">
        <v>818</v>
      </c>
      <c r="D175" s="3" t="s">
        <v>819</v>
      </c>
      <c r="E175" s="3" t="s">
        <v>820</v>
      </c>
      <c r="F175" s="3" t="s">
        <v>84</v>
      </c>
      <c r="G175" s="3">
        <v>6</v>
      </c>
      <c r="H175" s="3">
        <v>0</v>
      </c>
      <c r="I175" s="3">
        <v>0</v>
      </c>
      <c r="J175" s="3">
        <v>0</v>
      </c>
      <c r="K175" s="3">
        <v>6</v>
      </c>
      <c r="L175" s="3">
        <v>0</v>
      </c>
      <c r="M175" s="3">
        <v>0</v>
      </c>
      <c r="N175" s="3" t="s">
        <v>85</v>
      </c>
      <c r="O175" s="3">
        <v>6</v>
      </c>
      <c r="P175" s="3">
        <v>52.72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 t="s">
        <v>100</v>
      </c>
      <c r="X175" s="3">
        <v>42.99</v>
      </c>
      <c r="Y175" s="3">
        <v>42.99</v>
      </c>
      <c r="Z175" s="3">
        <v>34.39</v>
      </c>
      <c r="AA175" s="3">
        <v>0</v>
      </c>
      <c r="AB175" s="3" t="s">
        <v>94</v>
      </c>
      <c r="AC175" s="3">
        <v>0</v>
      </c>
      <c r="AD175" s="3">
        <v>34.39</v>
      </c>
      <c r="AE175" s="3">
        <v>63</v>
      </c>
      <c r="AF175" s="3">
        <v>0</v>
      </c>
      <c r="AG175" s="3">
        <v>568.07339</v>
      </c>
      <c r="AH175" s="3">
        <v>0</v>
      </c>
      <c r="AI175" s="3" t="s">
        <v>308</v>
      </c>
      <c r="AJ175" s="3" t="s">
        <v>88</v>
      </c>
    </row>
    <row r="176" spans="1:36">
      <c r="A176" s="5">
        <v>43288</v>
      </c>
      <c r="B176" s="3" t="s">
        <v>821</v>
      </c>
      <c r="C176" s="3" t="s">
        <v>822</v>
      </c>
      <c r="D176" s="3" t="s">
        <v>823</v>
      </c>
      <c r="E176" s="3" t="s">
        <v>824</v>
      </c>
      <c r="F176" s="3" t="s">
        <v>84</v>
      </c>
      <c r="G176" s="3">
        <v>33</v>
      </c>
      <c r="H176" s="3">
        <v>0</v>
      </c>
      <c r="I176" s="3">
        <v>0</v>
      </c>
      <c r="J176" s="3">
        <v>0</v>
      </c>
      <c r="K176" s="3">
        <v>0</v>
      </c>
      <c r="L176" s="3">
        <v>33</v>
      </c>
      <c r="M176" s="3">
        <v>0</v>
      </c>
      <c r="N176" s="3" t="s">
        <v>85</v>
      </c>
      <c r="O176" s="3">
        <v>33</v>
      </c>
      <c r="P176" s="3">
        <v>45.46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100</v>
      </c>
      <c r="X176" s="3">
        <v>8.71</v>
      </c>
      <c r="Y176" s="3">
        <v>8.71</v>
      </c>
      <c r="Z176" s="3">
        <v>8.71</v>
      </c>
      <c r="AA176" s="3">
        <v>0</v>
      </c>
      <c r="AB176" s="3" t="s">
        <v>94</v>
      </c>
      <c r="AC176" s="3">
        <v>4</v>
      </c>
      <c r="AD176" s="3">
        <v>7.76</v>
      </c>
      <c r="AE176" s="3">
        <v>84</v>
      </c>
      <c r="AF176" s="3">
        <v>0</v>
      </c>
      <c r="AG176" s="3">
        <v>598.881612</v>
      </c>
      <c r="AH176" s="3">
        <v>0</v>
      </c>
      <c r="AI176" s="3" t="s">
        <v>101</v>
      </c>
      <c r="AJ176" s="3" t="s">
        <v>88</v>
      </c>
    </row>
    <row r="177" spans="1:36">
      <c r="A177" s="5">
        <v>43288</v>
      </c>
      <c r="B177" s="3" t="s">
        <v>825</v>
      </c>
      <c r="C177" s="3" t="s">
        <v>826</v>
      </c>
      <c r="D177" s="3" t="s">
        <v>827</v>
      </c>
      <c r="E177" s="3" t="s">
        <v>828</v>
      </c>
      <c r="F177" s="3" t="s">
        <v>84</v>
      </c>
      <c r="G177" s="3">
        <v>71</v>
      </c>
      <c r="H177" s="3">
        <v>0</v>
      </c>
      <c r="I177" s="3">
        <v>0</v>
      </c>
      <c r="J177" s="3">
        <v>71</v>
      </c>
      <c r="K177" s="3">
        <v>0</v>
      </c>
      <c r="L177" s="3">
        <v>0</v>
      </c>
      <c r="M177" s="3">
        <v>0</v>
      </c>
      <c r="N177" s="3" t="s">
        <v>85</v>
      </c>
      <c r="O177" s="3">
        <v>71</v>
      </c>
      <c r="P177" s="3">
        <v>142.42</v>
      </c>
      <c r="Q177" s="3">
        <v>0</v>
      </c>
      <c r="R177" s="3">
        <v>0</v>
      </c>
      <c r="S177" s="3">
        <v>0</v>
      </c>
      <c r="T177" s="3">
        <v>2</v>
      </c>
      <c r="U177" s="3">
        <v>3</v>
      </c>
      <c r="V177" s="3">
        <v>3</v>
      </c>
      <c r="W177" s="3"/>
      <c r="X177" s="3">
        <v>5.59</v>
      </c>
      <c r="Y177" s="3">
        <v>5.59</v>
      </c>
      <c r="Z177" s="3">
        <v>5.59</v>
      </c>
      <c r="AA177" s="3">
        <v>0</v>
      </c>
      <c r="AB177" s="3" t="s">
        <v>94</v>
      </c>
      <c r="AC177" s="3">
        <v>3</v>
      </c>
      <c r="AD177" s="3">
        <v>4.44</v>
      </c>
      <c r="AE177" s="3">
        <v>238</v>
      </c>
      <c r="AF177" s="3">
        <v>0</v>
      </c>
      <c r="AG177" s="3">
        <v>386.221165</v>
      </c>
      <c r="AH177" s="3">
        <v>0.0410958904109589</v>
      </c>
      <c r="AI177" s="3" t="s">
        <v>87</v>
      </c>
      <c r="AJ177" s="3" t="s">
        <v>88</v>
      </c>
    </row>
    <row r="178" spans="1:36">
      <c r="A178" s="5">
        <v>43288</v>
      </c>
      <c r="B178" s="3" t="s">
        <v>829</v>
      </c>
      <c r="C178" s="3" t="s">
        <v>830</v>
      </c>
      <c r="D178" s="3" t="s">
        <v>831</v>
      </c>
      <c r="E178" s="3" t="s">
        <v>832</v>
      </c>
      <c r="F178" s="3" t="s">
        <v>84</v>
      </c>
      <c r="G178" s="3">
        <v>28</v>
      </c>
      <c r="H178" s="3">
        <v>0</v>
      </c>
      <c r="I178" s="3">
        <v>0</v>
      </c>
      <c r="J178" s="3">
        <v>28</v>
      </c>
      <c r="K178" s="3">
        <v>0</v>
      </c>
      <c r="L178" s="3">
        <v>0</v>
      </c>
      <c r="M178" s="3">
        <v>0</v>
      </c>
      <c r="N178" s="3" t="s">
        <v>85</v>
      </c>
      <c r="O178" s="3">
        <v>3</v>
      </c>
      <c r="P178" s="3">
        <v>0.24</v>
      </c>
      <c r="Q178" s="3">
        <v>0</v>
      </c>
      <c r="R178" s="3">
        <v>0</v>
      </c>
      <c r="S178" s="3">
        <v>0</v>
      </c>
      <c r="T178" s="3">
        <v>1</v>
      </c>
      <c r="U178" s="3">
        <v>1</v>
      </c>
      <c r="V178" s="3">
        <v>1</v>
      </c>
      <c r="W178" s="3"/>
      <c r="X178" s="3">
        <v>15.19</v>
      </c>
      <c r="Y178" s="3">
        <v>15.19</v>
      </c>
      <c r="Z178" s="3">
        <v>15.19</v>
      </c>
      <c r="AA178" s="3">
        <v>0</v>
      </c>
      <c r="AB178" s="3" t="s">
        <v>86</v>
      </c>
      <c r="AC178" s="3">
        <v>28</v>
      </c>
      <c r="AD178" s="3">
        <v>15.19</v>
      </c>
      <c r="AE178" s="3">
        <v>0</v>
      </c>
      <c r="AF178" s="3">
        <v>0</v>
      </c>
      <c r="AG178" s="3">
        <v>0</v>
      </c>
      <c r="AH178" s="3">
        <v>0.0347826086956521</v>
      </c>
      <c r="AI178" s="3" t="s">
        <v>262</v>
      </c>
      <c r="AJ178" s="3" t="s">
        <v>88</v>
      </c>
    </row>
    <row r="179" spans="1:36">
      <c r="A179" s="5">
        <v>43288</v>
      </c>
      <c r="B179" s="3" t="s">
        <v>36</v>
      </c>
      <c r="C179" s="3" t="s">
        <v>37</v>
      </c>
      <c r="D179" s="3" t="s">
        <v>38</v>
      </c>
      <c r="E179" s="3" t="s">
        <v>39</v>
      </c>
      <c r="F179" s="3" t="s">
        <v>84</v>
      </c>
      <c r="G179" s="3">
        <v>5</v>
      </c>
      <c r="H179" s="3">
        <v>0</v>
      </c>
      <c r="I179" s="3">
        <v>1</v>
      </c>
      <c r="J179" s="3">
        <v>4</v>
      </c>
      <c r="K179" s="3">
        <v>0</v>
      </c>
      <c r="L179" s="3">
        <v>0</v>
      </c>
      <c r="M179" s="3">
        <v>0</v>
      </c>
      <c r="N179" s="3" t="s">
        <v>85</v>
      </c>
      <c r="O179" s="3">
        <v>0</v>
      </c>
      <c r="P179" s="3">
        <v>0</v>
      </c>
      <c r="Q179" s="3">
        <v>0</v>
      </c>
      <c r="R179" s="3">
        <v>0</v>
      </c>
      <c r="S179" s="3">
        <v>1</v>
      </c>
      <c r="T179" s="3">
        <v>2</v>
      </c>
      <c r="U179" s="3">
        <v>3</v>
      </c>
      <c r="V179" s="3">
        <v>4</v>
      </c>
      <c r="W179" s="3"/>
      <c r="X179" s="3">
        <v>16.99</v>
      </c>
      <c r="Y179" s="3">
        <v>16.99</v>
      </c>
      <c r="Z179" s="3">
        <v>16.99</v>
      </c>
      <c r="AA179" s="3">
        <v>0</v>
      </c>
      <c r="AB179" s="3" t="s">
        <v>86</v>
      </c>
      <c r="AC179" s="3">
        <v>5</v>
      </c>
      <c r="AD179" s="3">
        <v>16.99</v>
      </c>
      <c r="AE179" s="3">
        <v>0</v>
      </c>
      <c r="AF179" s="3">
        <v>0</v>
      </c>
      <c r="AG179" s="3">
        <v>0</v>
      </c>
      <c r="AH179" s="3">
        <v>0.592592592592592</v>
      </c>
      <c r="AI179" s="3" t="s">
        <v>833</v>
      </c>
      <c r="AJ179" s="3" t="s">
        <v>88</v>
      </c>
    </row>
    <row r="180" spans="1:36">
      <c r="A180" s="5">
        <v>43288</v>
      </c>
      <c r="B180" s="3" t="s">
        <v>834</v>
      </c>
      <c r="C180" s="3" t="s">
        <v>835</v>
      </c>
      <c r="D180" s="3" t="s">
        <v>836</v>
      </c>
      <c r="E180" s="3" t="s">
        <v>837</v>
      </c>
      <c r="F180" s="3" t="s">
        <v>84</v>
      </c>
      <c r="G180" s="3">
        <v>7</v>
      </c>
      <c r="H180" s="3">
        <v>0</v>
      </c>
      <c r="I180" s="3">
        <v>0</v>
      </c>
      <c r="J180" s="3">
        <v>7</v>
      </c>
      <c r="K180" s="3">
        <v>0</v>
      </c>
      <c r="L180" s="3">
        <v>0</v>
      </c>
      <c r="M180" s="3">
        <v>0</v>
      </c>
      <c r="N180" s="3" t="s">
        <v>85</v>
      </c>
      <c r="O180" s="3">
        <v>7</v>
      </c>
      <c r="P180" s="3">
        <v>61.51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100</v>
      </c>
      <c r="X180" s="3">
        <v>69.99</v>
      </c>
      <c r="Y180" s="3">
        <v>42.99</v>
      </c>
      <c r="Z180" s="3">
        <v>42.99</v>
      </c>
      <c r="AA180" s="3">
        <v>0</v>
      </c>
      <c r="AB180" s="3" t="s">
        <v>94</v>
      </c>
      <c r="AC180" s="3">
        <v>0</v>
      </c>
      <c r="AD180" s="3">
        <v>35.3</v>
      </c>
      <c r="AE180" s="3">
        <v>35</v>
      </c>
      <c r="AF180" s="3">
        <v>0</v>
      </c>
      <c r="AG180" s="3">
        <v>730.104444</v>
      </c>
      <c r="AH180" s="3">
        <v>0</v>
      </c>
      <c r="AI180" s="3" t="s">
        <v>308</v>
      </c>
      <c r="AJ180" s="3" t="s">
        <v>88</v>
      </c>
    </row>
    <row r="181" spans="1:36">
      <c r="A181" s="5">
        <v>43288</v>
      </c>
      <c r="B181" s="3" t="s">
        <v>838</v>
      </c>
      <c r="C181" s="3" t="s">
        <v>839</v>
      </c>
      <c r="D181" s="3" t="s">
        <v>840</v>
      </c>
      <c r="E181" s="3" t="s">
        <v>841</v>
      </c>
      <c r="F181" s="3" t="s">
        <v>84</v>
      </c>
      <c r="G181" s="3">
        <v>18</v>
      </c>
      <c r="H181" s="3">
        <v>0</v>
      </c>
      <c r="I181" s="3">
        <v>0</v>
      </c>
      <c r="J181" s="3">
        <v>0</v>
      </c>
      <c r="K181" s="3">
        <v>0</v>
      </c>
      <c r="L181" s="3">
        <v>18</v>
      </c>
      <c r="M181" s="3">
        <v>0</v>
      </c>
      <c r="N181" s="3" t="s">
        <v>85</v>
      </c>
      <c r="O181" s="3">
        <v>18</v>
      </c>
      <c r="P181" s="3">
        <v>49.16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2</v>
      </c>
      <c r="W181" s="3" t="s">
        <v>100</v>
      </c>
      <c r="X181" s="3">
        <v>13.9</v>
      </c>
      <c r="Y181" s="3">
        <v>13.9</v>
      </c>
      <c r="Z181" s="3">
        <v>13.9</v>
      </c>
      <c r="AA181" s="3">
        <v>0</v>
      </c>
      <c r="AB181" s="3" t="s">
        <v>94</v>
      </c>
      <c r="AC181" s="3">
        <v>0</v>
      </c>
      <c r="AD181" s="3">
        <v>11.12</v>
      </c>
      <c r="AE181" s="3">
        <v>364</v>
      </c>
      <c r="AF181" s="3">
        <v>0</v>
      </c>
      <c r="AG181" s="3">
        <v>582.460041</v>
      </c>
      <c r="AH181" s="3">
        <v>0.108108108108108</v>
      </c>
      <c r="AI181" s="3" t="s">
        <v>173</v>
      </c>
      <c r="AJ181" s="3" t="s">
        <v>88</v>
      </c>
    </row>
    <row r="182" spans="1:36">
      <c r="A182" s="5">
        <v>43288</v>
      </c>
      <c r="B182" s="3" t="s">
        <v>842</v>
      </c>
      <c r="C182" s="3" t="s">
        <v>843</v>
      </c>
      <c r="D182" s="3" t="s">
        <v>844</v>
      </c>
      <c r="E182" s="3" t="s">
        <v>845</v>
      </c>
      <c r="F182" s="3" t="s">
        <v>84</v>
      </c>
      <c r="G182" s="3">
        <v>10</v>
      </c>
      <c r="H182" s="3">
        <v>0</v>
      </c>
      <c r="I182" s="3">
        <v>1</v>
      </c>
      <c r="J182" s="3">
        <v>9</v>
      </c>
      <c r="K182" s="3">
        <v>0</v>
      </c>
      <c r="L182" s="3">
        <v>0</v>
      </c>
      <c r="M182" s="3">
        <v>0</v>
      </c>
      <c r="N182" s="3" t="s">
        <v>85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1</v>
      </c>
      <c r="V182" s="3">
        <v>2</v>
      </c>
      <c r="W182" s="3" t="s">
        <v>100</v>
      </c>
      <c r="X182" s="3">
        <v>18.99</v>
      </c>
      <c r="Y182" s="3">
        <v>18.99</v>
      </c>
      <c r="Z182" s="3">
        <v>18.99</v>
      </c>
      <c r="AA182" s="3">
        <v>0</v>
      </c>
      <c r="AB182" s="3" t="s">
        <v>94</v>
      </c>
      <c r="AC182" s="3">
        <v>0</v>
      </c>
      <c r="AD182" s="3">
        <v>15.08</v>
      </c>
      <c r="AE182" s="3">
        <v>364</v>
      </c>
      <c r="AF182" s="3">
        <v>0</v>
      </c>
      <c r="AG182" s="3">
        <v>89.680326</v>
      </c>
      <c r="AH182" s="3">
        <v>0.19047619047619</v>
      </c>
      <c r="AI182" s="3" t="s">
        <v>262</v>
      </c>
      <c r="AJ182" s="3" t="s">
        <v>88</v>
      </c>
    </row>
    <row r="183" spans="1:36">
      <c r="A183" s="5">
        <v>43288</v>
      </c>
      <c r="B183" s="3" t="s">
        <v>846</v>
      </c>
      <c r="C183" s="3" t="s">
        <v>847</v>
      </c>
      <c r="D183" s="3" t="s">
        <v>848</v>
      </c>
      <c r="E183" s="3" t="s">
        <v>849</v>
      </c>
      <c r="F183" s="3" t="s">
        <v>84</v>
      </c>
      <c r="G183" s="3">
        <v>2</v>
      </c>
      <c r="H183" s="3">
        <v>0</v>
      </c>
      <c r="I183" s="3">
        <v>0</v>
      </c>
      <c r="J183" s="3">
        <v>0</v>
      </c>
      <c r="K183" s="3">
        <v>0</v>
      </c>
      <c r="L183" s="3">
        <v>2</v>
      </c>
      <c r="M183" s="3">
        <v>0</v>
      </c>
      <c r="N183" s="3" t="s">
        <v>85</v>
      </c>
      <c r="O183" s="3">
        <v>0</v>
      </c>
      <c r="P183" s="3">
        <v>0</v>
      </c>
      <c r="Q183" s="3">
        <v>2</v>
      </c>
      <c r="R183" s="3">
        <v>4.22</v>
      </c>
      <c r="S183" s="3">
        <v>0</v>
      </c>
      <c r="T183" s="3">
        <v>0</v>
      </c>
      <c r="U183" s="3">
        <v>0</v>
      </c>
      <c r="V183" s="3">
        <v>0</v>
      </c>
      <c r="W183" s="3" t="s">
        <v>93</v>
      </c>
      <c r="X183" s="3">
        <v>17.9</v>
      </c>
      <c r="Y183" s="3">
        <v>17.9</v>
      </c>
      <c r="Z183" s="3">
        <v>17.9</v>
      </c>
      <c r="AA183" s="3">
        <v>0</v>
      </c>
      <c r="AB183" s="3" t="s">
        <v>94</v>
      </c>
      <c r="AC183" s="3">
        <v>0</v>
      </c>
      <c r="AD183" s="3">
        <v>14.32</v>
      </c>
      <c r="AE183" s="3">
        <v>63</v>
      </c>
      <c r="AF183" s="3">
        <v>0</v>
      </c>
      <c r="AG183" s="3">
        <v>27.351384</v>
      </c>
      <c r="AH183" s="3">
        <v>0</v>
      </c>
      <c r="AI183" s="3" t="s">
        <v>850</v>
      </c>
      <c r="AJ183" s="3" t="s">
        <v>88</v>
      </c>
    </row>
    <row r="184" spans="1:36">
      <c r="A184" s="5">
        <v>43288</v>
      </c>
      <c r="B184" s="3" t="s">
        <v>851</v>
      </c>
      <c r="C184" s="3" t="s">
        <v>852</v>
      </c>
      <c r="D184" s="3" t="s">
        <v>853</v>
      </c>
      <c r="E184" s="3" t="s">
        <v>854</v>
      </c>
      <c r="F184" s="3" t="s">
        <v>84</v>
      </c>
      <c r="G184" s="3">
        <v>4</v>
      </c>
      <c r="H184" s="3">
        <v>0</v>
      </c>
      <c r="I184" s="3">
        <v>1</v>
      </c>
      <c r="J184" s="3">
        <v>0</v>
      </c>
      <c r="K184" s="3">
        <v>3</v>
      </c>
      <c r="L184" s="3">
        <v>0</v>
      </c>
      <c r="M184" s="3">
        <v>0</v>
      </c>
      <c r="N184" s="3" t="s">
        <v>85</v>
      </c>
      <c r="O184" s="3">
        <v>3</v>
      </c>
      <c r="P184" s="3">
        <v>26.36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1</v>
      </c>
      <c r="W184" s="3" t="s">
        <v>100</v>
      </c>
      <c r="X184" s="3">
        <v>42.99</v>
      </c>
      <c r="Y184" s="3">
        <v>42.99</v>
      </c>
      <c r="Z184" s="3">
        <v>34.39</v>
      </c>
      <c r="AA184" s="3">
        <v>0</v>
      </c>
      <c r="AB184" s="3" t="s">
        <v>94</v>
      </c>
      <c r="AC184" s="3">
        <v>0</v>
      </c>
      <c r="AD184" s="3">
        <v>34.39</v>
      </c>
      <c r="AE184" s="3">
        <v>364</v>
      </c>
      <c r="AF184" s="3">
        <v>0</v>
      </c>
      <c r="AG184" s="3">
        <v>369.892033</v>
      </c>
      <c r="AH184" s="3">
        <v>0.25</v>
      </c>
      <c r="AI184" s="3" t="s">
        <v>308</v>
      </c>
      <c r="AJ184" s="3" t="s">
        <v>88</v>
      </c>
    </row>
    <row r="185" spans="1:36">
      <c r="A185" s="5">
        <v>43288</v>
      </c>
      <c r="B185" s="3" t="s">
        <v>855</v>
      </c>
      <c r="C185" s="3" t="s">
        <v>856</v>
      </c>
      <c r="D185" s="3" t="s">
        <v>857</v>
      </c>
      <c r="E185" s="3" t="s">
        <v>858</v>
      </c>
      <c r="F185" s="3" t="s">
        <v>84</v>
      </c>
      <c r="G185" s="3">
        <v>1</v>
      </c>
      <c r="H185" s="3">
        <v>0</v>
      </c>
      <c r="I185" s="3">
        <v>0</v>
      </c>
      <c r="J185" s="3">
        <v>1</v>
      </c>
      <c r="K185" s="3">
        <v>0</v>
      </c>
      <c r="L185" s="3">
        <v>0</v>
      </c>
      <c r="M185" s="3">
        <v>0</v>
      </c>
      <c r="N185" s="3" t="s">
        <v>85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 t="s">
        <v>100</v>
      </c>
      <c r="X185" s="3">
        <v>69.99</v>
      </c>
      <c r="Y185" s="3">
        <v>42.99</v>
      </c>
      <c r="Z185" s="3">
        <v>34.39</v>
      </c>
      <c r="AA185" s="3">
        <v>0</v>
      </c>
      <c r="AB185" s="3" t="s">
        <v>86</v>
      </c>
      <c r="AC185" s="3">
        <v>1</v>
      </c>
      <c r="AD185" s="3">
        <v>42.99</v>
      </c>
      <c r="AE185" s="3">
        <v>0</v>
      </c>
      <c r="AF185" s="3">
        <v>0</v>
      </c>
      <c r="AG185" s="3">
        <v>0</v>
      </c>
      <c r="AH185" s="3">
        <v>0</v>
      </c>
      <c r="AI185" s="3" t="s">
        <v>308</v>
      </c>
      <c r="AJ185" s="3" t="s">
        <v>88</v>
      </c>
    </row>
    <row r="186" spans="1:36">
      <c r="A186" s="5">
        <v>43288</v>
      </c>
      <c r="B186" s="3" t="s">
        <v>859</v>
      </c>
      <c r="C186" s="3" t="s">
        <v>860</v>
      </c>
      <c r="D186" s="3" t="s">
        <v>861</v>
      </c>
      <c r="E186" s="3" t="s">
        <v>862</v>
      </c>
      <c r="F186" s="3" t="s">
        <v>84</v>
      </c>
      <c r="G186" s="3">
        <v>8</v>
      </c>
      <c r="H186" s="3">
        <v>0</v>
      </c>
      <c r="I186" s="3">
        <v>0</v>
      </c>
      <c r="J186" s="3">
        <v>8</v>
      </c>
      <c r="K186" s="3">
        <v>0</v>
      </c>
      <c r="L186" s="3">
        <v>0</v>
      </c>
      <c r="M186" s="3">
        <v>0</v>
      </c>
      <c r="N186" s="3" t="s">
        <v>85</v>
      </c>
      <c r="O186" s="3">
        <v>7</v>
      </c>
      <c r="P186" s="3">
        <v>87.35</v>
      </c>
      <c r="Q186" s="3">
        <v>0</v>
      </c>
      <c r="R186" s="3">
        <v>0</v>
      </c>
      <c r="S186" s="3">
        <v>0</v>
      </c>
      <c r="T186" s="3">
        <v>0</v>
      </c>
      <c r="U186" s="3">
        <v>1</v>
      </c>
      <c r="V186" s="3">
        <v>1</v>
      </c>
      <c r="W186" s="3" t="s">
        <v>100</v>
      </c>
      <c r="X186" s="3">
        <v>42.99</v>
      </c>
      <c r="Y186" s="3">
        <v>42.99</v>
      </c>
      <c r="Z186" s="3">
        <v>42.99</v>
      </c>
      <c r="AA186" s="3">
        <v>0</v>
      </c>
      <c r="AB186" s="3" t="s">
        <v>94</v>
      </c>
      <c r="AC186" s="3">
        <v>0</v>
      </c>
      <c r="AD186" s="3">
        <v>34.39</v>
      </c>
      <c r="AE186" s="3">
        <v>259</v>
      </c>
      <c r="AF186" s="3">
        <v>0</v>
      </c>
      <c r="AG186" s="3">
        <v>1021.80008</v>
      </c>
      <c r="AH186" s="3">
        <v>0.0975609756097561</v>
      </c>
      <c r="AI186" s="3" t="s">
        <v>216</v>
      </c>
      <c r="AJ186" s="3" t="s">
        <v>88</v>
      </c>
    </row>
    <row r="187" spans="1:36">
      <c r="A187" s="5">
        <v>43288</v>
      </c>
      <c r="B187" s="3" t="s">
        <v>863</v>
      </c>
      <c r="C187" s="3" t="s">
        <v>864</v>
      </c>
      <c r="D187" s="3" t="s">
        <v>865</v>
      </c>
      <c r="E187" s="3" t="s">
        <v>866</v>
      </c>
      <c r="F187" s="3" t="s">
        <v>84</v>
      </c>
      <c r="G187" s="3">
        <v>4</v>
      </c>
      <c r="H187" s="3">
        <v>0</v>
      </c>
      <c r="I187" s="3">
        <v>0</v>
      </c>
      <c r="J187" s="3">
        <v>0</v>
      </c>
      <c r="K187" s="3">
        <v>4</v>
      </c>
      <c r="L187" s="3">
        <v>0</v>
      </c>
      <c r="M187" s="3">
        <v>0</v>
      </c>
      <c r="N187" s="3" t="s">
        <v>85</v>
      </c>
      <c r="O187" s="3">
        <v>4</v>
      </c>
      <c r="P187" s="3">
        <v>35.15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 t="s">
        <v>100</v>
      </c>
      <c r="X187" s="3">
        <v>42.99</v>
      </c>
      <c r="Y187" s="3">
        <v>42.99</v>
      </c>
      <c r="Z187" s="3">
        <v>34.39</v>
      </c>
      <c r="AA187" s="3">
        <v>0</v>
      </c>
      <c r="AB187" s="3" t="s">
        <v>94</v>
      </c>
      <c r="AC187" s="3">
        <v>0</v>
      </c>
      <c r="AD187" s="3">
        <v>35.08</v>
      </c>
      <c r="AE187" s="3">
        <v>35</v>
      </c>
      <c r="AF187" s="3">
        <v>0</v>
      </c>
      <c r="AG187" s="3">
        <v>413.450067</v>
      </c>
      <c r="AH187" s="3">
        <v>0</v>
      </c>
      <c r="AI187" s="3" t="s">
        <v>308</v>
      </c>
      <c r="AJ187" s="3" t="s">
        <v>88</v>
      </c>
    </row>
    <row r="188" spans="1:36">
      <c r="A188" s="5">
        <v>43288</v>
      </c>
      <c r="B188" s="3" t="s">
        <v>867</v>
      </c>
      <c r="C188" s="3" t="s">
        <v>868</v>
      </c>
      <c r="D188" s="3" t="s">
        <v>869</v>
      </c>
      <c r="E188" s="3" t="s">
        <v>870</v>
      </c>
      <c r="F188" s="3" t="s">
        <v>84</v>
      </c>
      <c r="G188" s="3">
        <v>116</v>
      </c>
      <c r="H188" s="3">
        <v>0</v>
      </c>
      <c r="I188" s="3">
        <v>0</v>
      </c>
      <c r="J188" s="3">
        <v>0</v>
      </c>
      <c r="K188" s="3">
        <v>116</v>
      </c>
      <c r="L188" s="3">
        <v>0</v>
      </c>
      <c r="M188" s="3">
        <v>0</v>
      </c>
      <c r="N188" s="3" t="s">
        <v>85</v>
      </c>
      <c r="O188" s="3">
        <v>116</v>
      </c>
      <c r="P188" s="3">
        <v>35.16</v>
      </c>
      <c r="Q188" s="3">
        <v>0</v>
      </c>
      <c r="R188" s="3">
        <v>0</v>
      </c>
      <c r="S188" s="3">
        <v>0</v>
      </c>
      <c r="T188" s="3">
        <v>0</v>
      </c>
      <c r="U188" s="3">
        <v>2</v>
      </c>
      <c r="V188" s="3">
        <v>2</v>
      </c>
      <c r="W188" s="3" t="s">
        <v>93</v>
      </c>
      <c r="X188" s="3">
        <v>8.79</v>
      </c>
      <c r="Y188" s="3">
        <v>8.79</v>
      </c>
      <c r="Z188" s="3">
        <v>8.79</v>
      </c>
      <c r="AA188" s="3">
        <v>0</v>
      </c>
      <c r="AB188" s="3" t="s">
        <v>94</v>
      </c>
      <c r="AC188" s="3">
        <v>0</v>
      </c>
      <c r="AD188" s="3">
        <v>7.68</v>
      </c>
      <c r="AE188" s="3">
        <v>364</v>
      </c>
      <c r="AF188" s="3">
        <v>0</v>
      </c>
      <c r="AG188" s="3">
        <v>656.356795</v>
      </c>
      <c r="AH188" s="3">
        <v>0.017094017094017</v>
      </c>
      <c r="AI188" s="3" t="s">
        <v>466</v>
      </c>
      <c r="AJ188" s="3" t="s">
        <v>88</v>
      </c>
    </row>
    <row r="189" spans="1:36">
      <c r="A189" s="5">
        <v>43288</v>
      </c>
      <c r="B189" s="3" t="s">
        <v>871</v>
      </c>
      <c r="C189" s="3" t="s">
        <v>872</v>
      </c>
      <c r="D189" s="3" t="s">
        <v>873</v>
      </c>
      <c r="E189" s="3" t="s">
        <v>874</v>
      </c>
      <c r="F189" s="3" t="s">
        <v>84</v>
      </c>
      <c r="G189" s="3">
        <v>2</v>
      </c>
      <c r="H189" s="3">
        <v>0</v>
      </c>
      <c r="I189" s="3">
        <v>0</v>
      </c>
      <c r="J189" s="3">
        <v>0</v>
      </c>
      <c r="K189" s="3">
        <v>0</v>
      </c>
      <c r="L189" s="3">
        <v>2</v>
      </c>
      <c r="M189" s="3">
        <v>0</v>
      </c>
      <c r="N189" s="3" t="s">
        <v>85</v>
      </c>
      <c r="O189" s="3">
        <v>2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 t="s">
        <v>100</v>
      </c>
      <c r="X189" s="3">
        <v>13.9</v>
      </c>
      <c r="Y189" s="3">
        <v>13.9</v>
      </c>
      <c r="Z189" s="3">
        <v>13.9</v>
      </c>
      <c r="AA189" s="3">
        <v>0</v>
      </c>
      <c r="AB189" s="3" t="s">
        <v>86</v>
      </c>
      <c r="AC189" s="3">
        <v>2</v>
      </c>
      <c r="AD189" s="3">
        <v>13.9</v>
      </c>
      <c r="AE189" s="3">
        <v>0</v>
      </c>
      <c r="AF189" s="3">
        <v>0</v>
      </c>
      <c r="AG189" s="3">
        <v>0</v>
      </c>
      <c r="AH189" s="3">
        <v>0</v>
      </c>
      <c r="AI189" s="3" t="s">
        <v>95</v>
      </c>
      <c r="AJ189" s="3" t="s">
        <v>88</v>
      </c>
    </row>
    <row r="190" spans="1:36">
      <c r="A190" s="5">
        <v>43288</v>
      </c>
      <c r="B190" s="3" t="s">
        <v>875</v>
      </c>
      <c r="C190" s="3" t="s">
        <v>876</v>
      </c>
      <c r="D190" s="3" t="s">
        <v>877</v>
      </c>
      <c r="E190" s="3" t="s">
        <v>878</v>
      </c>
      <c r="F190" s="3" t="s">
        <v>84</v>
      </c>
      <c r="G190" s="3">
        <v>9</v>
      </c>
      <c r="H190" s="3">
        <v>0</v>
      </c>
      <c r="I190" s="3">
        <v>0</v>
      </c>
      <c r="J190" s="3">
        <v>9</v>
      </c>
      <c r="K190" s="3">
        <v>0</v>
      </c>
      <c r="L190" s="3">
        <v>0</v>
      </c>
      <c r="M190" s="3">
        <v>0</v>
      </c>
      <c r="N190" s="3" t="s">
        <v>85</v>
      </c>
      <c r="O190" s="3">
        <v>9</v>
      </c>
      <c r="P190" s="3">
        <v>18.06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 t="s">
        <v>100</v>
      </c>
      <c r="X190" s="3">
        <v>20.99</v>
      </c>
      <c r="Y190" s="3">
        <v>20.99</v>
      </c>
      <c r="Z190" s="3">
        <v>20.99</v>
      </c>
      <c r="AA190" s="3">
        <v>0</v>
      </c>
      <c r="AB190" s="3" t="s">
        <v>94</v>
      </c>
      <c r="AC190" s="3">
        <v>1</v>
      </c>
      <c r="AD190" s="3">
        <v>19.11</v>
      </c>
      <c r="AE190" s="3">
        <v>35</v>
      </c>
      <c r="AF190" s="3">
        <v>0</v>
      </c>
      <c r="AG190" s="3">
        <v>300.519291</v>
      </c>
      <c r="AH190" s="3">
        <v>0</v>
      </c>
      <c r="AI190" s="3" t="s">
        <v>87</v>
      </c>
      <c r="AJ190" s="3" t="s">
        <v>88</v>
      </c>
    </row>
    <row r="191" spans="1:36">
      <c r="A191" s="5">
        <v>43288</v>
      </c>
      <c r="B191" s="3" t="s">
        <v>32</v>
      </c>
      <c r="C191" s="3" t="s">
        <v>33</v>
      </c>
      <c r="D191" s="3" t="s">
        <v>34</v>
      </c>
      <c r="E191" s="3" t="s">
        <v>35</v>
      </c>
      <c r="F191" s="3" t="s">
        <v>84</v>
      </c>
      <c r="G191" s="3">
        <v>30</v>
      </c>
      <c r="H191" s="3">
        <v>0</v>
      </c>
      <c r="I191" s="3">
        <v>0</v>
      </c>
      <c r="J191" s="3">
        <v>30</v>
      </c>
      <c r="K191" s="3">
        <v>0</v>
      </c>
      <c r="L191" s="3">
        <v>0</v>
      </c>
      <c r="M191" s="3">
        <v>0</v>
      </c>
      <c r="N191" s="3" t="s">
        <v>85</v>
      </c>
      <c r="O191" s="3">
        <v>0</v>
      </c>
      <c r="P191" s="3">
        <v>0</v>
      </c>
      <c r="Q191" s="3">
        <v>0</v>
      </c>
      <c r="R191" s="3">
        <v>0</v>
      </c>
      <c r="S191" s="3">
        <v>1</v>
      </c>
      <c r="T191" s="3">
        <v>4</v>
      </c>
      <c r="U191" s="3">
        <v>6</v>
      </c>
      <c r="V191" s="3">
        <v>9</v>
      </c>
      <c r="W191" s="3"/>
      <c r="X191" s="3">
        <v>16.99</v>
      </c>
      <c r="Y191" s="3">
        <v>16.99</v>
      </c>
      <c r="Z191" s="3">
        <v>16.99</v>
      </c>
      <c r="AA191" s="3">
        <v>0</v>
      </c>
      <c r="AB191" s="3" t="s">
        <v>94</v>
      </c>
      <c r="AC191" s="3">
        <v>19</v>
      </c>
      <c r="AD191" s="3">
        <v>13.59</v>
      </c>
      <c r="AE191" s="3">
        <v>77</v>
      </c>
      <c r="AF191" s="3">
        <v>0</v>
      </c>
      <c r="AG191" s="3">
        <v>19.02911</v>
      </c>
      <c r="AH191" s="3">
        <v>0.258992805755395</v>
      </c>
      <c r="AI191" s="3" t="s">
        <v>116</v>
      </c>
      <c r="AJ191" s="3" t="s">
        <v>88</v>
      </c>
    </row>
    <row r="192" spans="1:36">
      <c r="A192" s="5">
        <v>43288</v>
      </c>
      <c r="B192" s="3" t="s">
        <v>879</v>
      </c>
      <c r="C192" s="3" t="s">
        <v>880</v>
      </c>
      <c r="D192" s="3" t="s">
        <v>881</v>
      </c>
      <c r="E192" s="3" t="s">
        <v>882</v>
      </c>
      <c r="F192" s="3" t="s">
        <v>84</v>
      </c>
      <c r="G192" s="3">
        <v>9</v>
      </c>
      <c r="H192" s="3">
        <v>0</v>
      </c>
      <c r="I192" s="3">
        <v>0</v>
      </c>
      <c r="J192" s="3">
        <v>9</v>
      </c>
      <c r="K192" s="3">
        <v>0</v>
      </c>
      <c r="L192" s="3">
        <v>0</v>
      </c>
      <c r="M192" s="3">
        <v>0</v>
      </c>
      <c r="N192" s="3" t="s">
        <v>85</v>
      </c>
      <c r="O192" s="3">
        <v>9</v>
      </c>
      <c r="P192" s="3">
        <v>18.06</v>
      </c>
      <c r="Q192" s="3">
        <v>0</v>
      </c>
      <c r="R192" s="3">
        <v>0</v>
      </c>
      <c r="S192" s="3">
        <v>1</v>
      </c>
      <c r="T192" s="3">
        <v>1</v>
      </c>
      <c r="U192" s="3">
        <v>2</v>
      </c>
      <c r="V192" s="3">
        <v>2</v>
      </c>
      <c r="W192" s="3"/>
      <c r="X192" s="3">
        <v>6.99</v>
      </c>
      <c r="Y192" s="3">
        <v>6.99</v>
      </c>
      <c r="Z192" s="3">
        <v>6.99</v>
      </c>
      <c r="AA192" s="3">
        <v>0</v>
      </c>
      <c r="AB192" s="3" t="s">
        <v>94</v>
      </c>
      <c r="AC192" s="3">
        <v>0</v>
      </c>
      <c r="AD192" s="3">
        <v>5.59</v>
      </c>
      <c r="AE192" s="3">
        <v>252</v>
      </c>
      <c r="AF192" s="3">
        <v>0</v>
      </c>
      <c r="AG192" s="3">
        <v>199.376439</v>
      </c>
      <c r="AH192" s="3">
        <v>0.195121951219512</v>
      </c>
      <c r="AI192" s="3" t="s">
        <v>87</v>
      </c>
      <c r="AJ192" s="3" t="s">
        <v>88</v>
      </c>
    </row>
    <row r="193" spans="1:36">
      <c r="A193" s="5">
        <v>43288</v>
      </c>
      <c r="B193" s="3" t="s">
        <v>883</v>
      </c>
      <c r="C193" s="3" t="s">
        <v>884</v>
      </c>
      <c r="D193" s="3" t="s">
        <v>885</v>
      </c>
      <c r="E193" s="3" t="s">
        <v>886</v>
      </c>
      <c r="F193" s="3" t="s">
        <v>84</v>
      </c>
      <c r="G193" s="3">
        <v>6</v>
      </c>
      <c r="H193" s="3">
        <v>0</v>
      </c>
      <c r="I193" s="3">
        <v>0</v>
      </c>
      <c r="J193" s="3">
        <v>0</v>
      </c>
      <c r="K193" s="3">
        <v>0</v>
      </c>
      <c r="L193" s="3">
        <v>6</v>
      </c>
      <c r="M193" s="3">
        <v>0</v>
      </c>
      <c r="N193" s="3" t="s">
        <v>85</v>
      </c>
      <c r="O193" s="3">
        <v>6</v>
      </c>
      <c r="P193" s="3">
        <v>16.39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1</v>
      </c>
      <c r="W193" s="3" t="s">
        <v>100</v>
      </c>
      <c r="X193" s="3">
        <v>13.9</v>
      </c>
      <c r="Y193" s="3">
        <v>13.9</v>
      </c>
      <c r="Z193" s="3">
        <v>13.9</v>
      </c>
      <c r="AA193" s="3">
        <v>0</v>
      </c>
      <c r="AB193" s="3" t="s">
        <v>94</v>
      </c>
      <c r="AC193" s="3">
        <v>0</v>
      </c>
      <c r="AD193" s="3">
        <v>11.12</v>
      </c>
      <c r="AE193" s="3">
        <v>364</v>
      </c>
      <c r="AF193" s="3">
        <v>0</v>
      </c>
      <c r="AG193" s="3">
        <v>196.296292</v>
      </c>
      <c r="AH193" s="3">
        <v>0.16</v>
      </c>
      <c r="AI193" s="3" t="s">
        <v>173</v>
      </c>
      <c r="AJ193" s="3" t="s">
        <v>88</v>
      </c>
    </row>
    <row r="194" spans="1:36">
      <c r="A194" s="5">
        <v>43288</v>
      </c>
      <c r="B194" s="3" t="s">
        <v>887</v>
      </c>
      <c r="C194" s="3" t="s">
        <v>888</v>
      </c>
      <c r="D194" s="3" t="s">
        <v>889</v>
      </c>
      <c r="E194" s="3" t="s">
        <v>890</v>
      </c>
      <c r="F194" s="3" t="s">
        <v>84</v>
      </c>
      <c r="G194" s="3">
        <v>1</v>
      </c>
      <c r="H194" s="3">
        <v>0</v>
      </c>
      <c r="I194" s="3">
        <v>0</v>
      </c>
      <c r="J194" s="3">
        <v>0</v>
      </c>
      <c r="K194" s="3">
        <v>0</v>
      </c>
      <c r="L194" s="3">
        <v>1</v>
      </c>
      <c r="M194" s="3">
        <v>0</v>
      </c>
      <c r="N194" s="3" t="s">
        <v>85</v>
      </c>
      <c r="O194" s="3">
        <v>0</v>
      </c>
      <c r="P194" s="3">
        <v>0</v>
      </c>
      <c r="Q194" s="3">
        <v>1</v>
      </c>
      <c r="R194" s="3">
        <v>2.66</v>
      </c>
      <c r="S194" s="3">
        <v>0</v>
      </c>
      <c r="T194" s="3">
        <v>0</v>
      </c>
      <c r="U194" s="3">
        <v>0</v>
      </c>
      <c r="V194" s="3">
        <v>0</v>
      </c>
      <c r="W194" s="3" t="s">
        <v>93</v>
      </c>
      <c r="X194" s="3">
        <v>15.9</v>
      </c>
      <c r="Y194" s="3">
        <v>15.9</v>
      </c>
      <c r="Z194" s="3">
        <v>15.9</v>
      </c>
      <c r="AA194" s="3">
        <v>0</v>
      </c>
      <c r="AB194" s="3" t="s">
        <v>94</v>
      </c>
      <c r="AC194" s="3">
        <v>0</v>
      </c>
      <c r="AD194" s="3">
        <v>12.72</v>
      </c>
      <c r="AE194" s="3">
        <v>63</v>
      </c>
      <c r="AF194" s="3">
        <v>0</v>
      </c>
      <c r="AG194" s="3">
        <v>17.089</v>
      </c>
      <c r="AH194" s="3">
        <v>0</v>
      </c>
      <c r="AI194" s="3" t="s">
        <v>595</v>
      </c>
      <c r="AJ194" s="3" t="s">
        <v>88</v>
      </c>
    </row>
    <row r="195" spans="1:36">
      <c r="A195" s="5">
        <v>43288</v>
      </c>
      <c r="B195" s="3" t="s">
        <v>44</v>
      </c>
      <c r="C195" s="3" t="s">
        <v>45</v>
      </c>
      <c r="D195" s="3" t="s">
        <v>46</v>
      </c>
      <c r="E195" s="3" t="s">
        <v>47</v>
      </c>
      <c r="F195" s="3" t="s">
        <v>84</v>
      </c>
      <c r="G195" s="3">
        <v>29</v>
      </c>
      <c r="H195" s="3">
        <v>0</v>
      </c>
      <c r="I195" s="3">
        <v>0</v>
      </c>
      <c r="J195" s="3">
        <v>29</v>
      </c>
      <c r="K195" s="3">
        <v>0</v>
      </c>
      <c r="L195" s="3">
        <v>0</v>
      </c>
      <c r="M195" s="3">
        <v>0</v>
      </c>
      <c r="N195" s="3" t="s">
        <v>85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1</v>
      </c>
      <c r="V195" s="3">
        <v>1</v>
      </c>
      <c r="W195" s="3" t="s">
        <v>93</v>
      </c>
      <c r="X195" s="3">
        <v>30.99</v>
      </c>
      <c r="Y195" s="3">
        <v>9.99</v>
      </c>
      <c r="Z195" s="3">
        <v>9.99</v>
      </c>
      <c r="AA195" s="3">
        <v>0</v>
      </c>
      <c r="AB195" s="3" t="s">
        <v>94</v>
      </c>
      <c r="AC195" s="3">
        <v>8</v>
      </c>
      <c r="AD195" s="3">
        <v>7.99</v>
      </c>
      <c r="AE195" s="3">
        <v>364</v>
      </c>
      <c r="AF195" s="3">
        <v>0</v>
      </c>
      <c r="AG195" s="3">
        <v>4.870339</v>
      </c>
      <c r="AH195" s="3">
        <v>0.0454545454545454</v>
      </c>
      <c r="AI195" s="3" t="s">
        <v>95</v>
      </c>
      <c r="AJ195" s="3" t="s">
        <v>88</v>
      </c>
    </row>
    <row r="196" spans="1:36">
      <c r="A196" s="5">
        <v>43288</v>
      </c>
      <c r="B196" s="3" t="s">
        <v>891</v>
      </c>
      <c r="C196" s="3" t="s">
        <v>892</v>
      </c>
      <c r="D196" s="3" t="s">
        <v>893</v>
      </c>
      <c r="E196" s="3" t="s">
        <v>894</v>
      </c>
      <c r="F196" s="3" t="s">
        <v>84</v>
      </c>
      <c r="G196" s="3">
        <v>27</v>
      </c>
      <c r="H196" s="3">
        <v>0</v>
      </c>
      <c r="I196" s="3">
        <v>0</v>
      </c>
      <c r="J196" s="3">
        <v>27</v>
      </c>
      <c r="K196" s="3">
        <v>0</v>
      </c>
      <c r="L196" s="3">
        <v>0</v>
      </c>
      <c r="M196" s="3">
        <v>0</v>
      </c>
      <c r="N196" s="3" t="s">
        <v>85</v>
      </c>
      <c r="O196" s="3">
        <v>27</v>
      </c>
      <c r="P196" s="3">
        <v>54.17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1</v>
      </c>
      <c r="W196" s="3" t="s">
        <v>100</v>
      </c>
      <c r="X196" s="3">
        <v>15.75</v>
      </c>
      <c r="Y196" s="3">
        <v>15.75</v>
      </c>
      <c r="Z196" s="3">
        <v>15.75</v>
      </c>
      <c r="AA196" s="3">
        <v>0</v>
      </c>
      <c r="AB196" s="3" t="s">
        <v>94</v>
      </c>
      <c r="AC196" s="3">
        <v>0</v>
      </c>
      <c r="AD196" s="3">
        <v>11.8</v>
      </c>
      <c r="AE196" s="3">
        <v>364</v>
      </c>
      <c r="AF196" s="3">
        <v>0</v>
      </c>
      <c r="AG196" s="3">
        <v>657.343216</v>
      </c>
      <c r="AH196" s="3">
        <v>0.036697247706422</v>
      </c>
      <c r="AI196" s="3" t="s">
        <v>87</v>
      </c>
      <c r="AJ196" s="3" t="s">
        <v>88</v>
      </c>
    </row>
    <row r="197" spans="1:36">
      <c r="A197" s="5">
        <v>43288</v>
      </c>
      <c r="B197" s="3" t="s">
        <v>895</v>
      </c>
      <c r="C197" s="3" t="s">
        <v>896</v>
      </c>
      <c r="D197" s="3" t="s">
        <v>897</v>
      </c>
      <c r="E197" s="3" t="s">
        <v>898</v>
      </c>
      <c r="F197" s="3" t="s">
        <v>84</v>
      </c>
      <c r="G197" s="3">
        <v>3</v>
      </c>
      <c r="H197" s="3">
        <v>0</v>
      </c>
      <c r="I197" s="3">
        <v>0</v>
      </c>
      <c r="J197" s="3">
        <v>0</v>
      </c>
      <c r="K197" s="3">
        <v>0</v>
      </c>
      <c r="L197" s="3">
        <v>3</v>
      </c>
      <c r="M197" s="3">
        <v>0</v>
      </c>
      <c r="N197" s="3" t="s">
        <v>85</v>
      </c>
      <c r="O197" s="3">
        <v>0</v>
      </c>
      <c r="P197" s="3">
        <v>0</v>
      </c>
      <c r="Q197" s="3">
        <v>3</v>
      </c>
      <c r="R197" s="3">
        <v>8.69</v>
      </c>
      <c r="S197" s="3">
        <v>0</v>
      </c>
      <c r="T197" s="3">
        <v>0</v>
      </c>
      <c r="U197" s="3">
        <v>0</v>
      </c>
      <c r="V197" s="3">
        <v>0</v>
      </c>
      <c r="W197" s="3" t="s">
        <v>93</v>
      </c>
      <c r="X197" s="3">
        <v>12.9</v>
      </c>
      <c r="Y197" s="3">
        <v>12.9</v>
      </c>
      <c r="Z197" s="3">
        <v>12.9</v>
      </c>
      <c r="AA197" s="3">
        <v>0</v>
      </c>
      <c r="AB197" s="3" t="s">
        <v>94</v>
      </c>
      <c r="AC197" s="3">
        <v>0</v>
      </c>
      <c r="AD197" s="3">
        <v>10.32</v>
      </c>
      <c r="AE197" s="3">
        <v>63</v>
      </c>
      <c r="AF197" s="3">
        <v>0</v>
      </c>
      <c r="AG197" s="3">
        <v>55.765093</v>
      </c>
      <c r="AH197" s="3">
        <v>0</v>
      </c>
      <c r="AI197" s="3" t="s">
        <v>290</v>
      </c>
      <c r="AJ197" s="3" t="s">
        <v>88</v>
      </c>
    </row>
    <row r="198" spans="1:36">
      <c r="A198" s="5">
        <v>43288</v>
      </c>
      <c r="B198" s="3" t="s">
        <v>899</v>
      </c>
      <c r="C198" s="3" t="s">
        <v>900</v>
      </c>
      <c r="D198" s="3" t="s">
        <v>901</v>
      </c>
      <c r="E198" s="3" t="s">
        <v>902</v>
      </c>
      <c r="F198" s="3" t="s">
        <v>84</v>
      </c>
      <c r="G198" s="3">
        <v>28</v>
      </c>
      <c r="H198" s="3">
        <v>0</v>
      </c>
      <c r="I198" s="3">
        <v>0</v>
      </c>
      <c r="J198" s="3">
        <v>28</v>
      </c>
      <c r="K198" s="3">
        <v>0</v>
      </c>
      <c r="L198" s="3">
        <v>0</v>
      </c>
      <c r="M198" s="3">
        <v>0</v>
      </c>
      <c r="N198" s="3" t="s">
        <v>85</v>
      </c>
      <c r="O198" s="3">
        <v>28</v>
      </c>
      <c r="P198" s="3">
        <v>56.17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1</v>
      </c>
      <c r="W198" s="3" t="s">
        <v>100</v>
      </c>
      <c r="X198" s="3">
        <v>20.99</v>
      </c>
      <c r="Y198" s="3">
        <v>20.99</v>
      </c>
      <c r="Z198" s="3">
        <v>20.99</v>
      </c>
      <c r="AA198" s="3">
        <v>0</v>
      </c>
      <c r="AB198" s="3" t="s">
        <v>94</v>
      </c>
      <c r="AC198" s="3">
        <v>4</v>
      </c>
      <c r="AD198" s="3">
        <v>19.07</v>
      </c>
      <c r="AE198" s="3">
        <v>105</v>
      </c>
      <c r="AF198" s="3">
        <v>0</v>
      </c>
      <c r="AG198" s="3">
        <v>894.560548</v>
      </c>
      <c r="AH198" s="3">
        <v>0.0350877192982456</v>
      </c>
      <c r="AI198" s="3" t="s">
        <v>87</v>
      </c>
      <c r="AJ198" s="3" t="s">
        <v>88</v>
      </c>
    </row>
    <row r="199" spans="1:36">
      <c r="A199" s="5">
        <v>43288</v>
      </c>
      <c r="B199" s="3" t="s">
        <v>12</v>
      </c>
      <c r="C199" s="3" t="s">
        <v>13</v>
      </c>
      <c r="D199" s="3" t="s">
        <v>14</v>
      </c>
      <c r="E199" s="3" t="s">
        <v>15</v>
      </c>
      <c r="F199" s="3" t="s">
        <v>84</v>
      </c>
      <c r="G199" s="3">
        <v>27</v>
      </c>
      <c r="H199" s="3">
        <v>0</v>
      </c>
      <c r="I199" s="3">
        <v>0</v>
      </c>
      <c r="J199" s="3">
        <v>0</v>
      </c>
      <c r="K199" s="3">
        <v>0</v>
      </c>
      <c r="L199" s="3">
        <v>27</v>
      </c>
      <c r="M199" s="3">
        <v>0</v>
      </c>
      <c r="N199" s="3" t="s">
        <v>85</v>
      </c>
      <c r="O199" s="3">
        <v>27</v>
      </c>
      <c r="P199" s="3">
        <v>37.2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3</v>
      </c>
      <c r="W199" s="3" t="s">
        <v>100</v>
      </c>
      <c r="X199" s="3">
        <v>9.99</v>
      </c>
      <c r="Y199" s="3">
        <v>9.99</v>
      </c>
      <c r="Z199" s="3">
        <v>9.99</v>
      </c>
      <c r="AA199" s="3">
        <v>0</v>
      </c>
      <c r="AB199" s="3" t="s">
        <v>94</v>
      </c>
      <c r="AC199" s="3">
        <v>0</v>
      </c>
      <c r="AD199" s="3">
        <v>7.99</v>
      </c>
      <c r="AE199" s="3">
        <v>364</v>
      </c>
      <c r="AF199" s="3">
        <v>0</v>
      </c>
      <c r="AG199" s="3">
        <v>427.245736</v>
      </c>
      <c r="AH199" s="3">
        <v>0.1</v>
      </c>
      <c r="AI199" s="3" t="s">
        <v>101</v>
      </c>
      <c r="AJ199" s="3" t="s">
        <v>88</v>
      </c>
    </row>
    <row r="200" spans="1:36">
      <c r="A200" s="5">
        <v>43288</v>
      </c>
      <c r="B200" s="3" t="s">
        <v>903</v>
      </c>
      <c r="C200" s="3" t="s">
        <v>904</v>
      </c>
      <c r="D200" s="3" t="s">
        <v>905</v>
      </c>
      <c r="E200" s="3" t="s">
        <v>906</v>
      </c>
      <c r="F200" s="3" t="s">
        <v>84</v>
      </c>
      <c r="G200" s="3">
        <v>1</v>
      </c>
      <c r="H200" s="3">
        <v>0</v>
      </c>
      <c r="I200" s="3">
        <v>0</v>
      </c>
      <c r="J200" s="3">
        <v>0</v>
      </c>
      <c r="K200" s="3">
        <v>0</v>
      </c>
      <c r="L200" s="3">
        <v>1</v>
      </c>
      <c r="M200" s="3">
        <v>0</v>
      </c>
      <c r="N200" s="3" t="s">
        <v>85</v>
      </c>
      <c r="O200" s="3">
        <v>0</v>
      </c>
      <c r="P200" s="3">
        <v>0</v>
      </c>
      <c r="Q200" s="3">
        <v>1</v>
      </c>
      <c r="R200" s="3">
        <v>2.46</v>
      </c>
      <c r="S200" s="3">
        <v>0</v>
      </c>
      <c r="T200" s="3">
        <v>0</v>
      </c>
      <c r="U200" s="3">
        <v>0</v>
      </c>
      <c r="V200" s="3">
        <v>0</v>
      </c>
      <c r="W200" s="3" t="s">
        <v>93</v>
      </c>
      <c r="X200" s="3">
        <v>16.9</v>
      </c>
      <c r="Y200" s="3">
        <v>16.9</v>
      </c>
      <c r="Z200" s="3">
        <v>16.9</v>
      </c>
      <c r="AA200" s="3">
        <v>0</v>
      </c>
      <c r="AB200" s="3" t="s">
        <v>94</v>
      </c>
      <c r="AC200" s="3">
        <v>0</v>
      </c>
      <c r="AD200" s="3">
        <v>13.52</v>
      </c>
      <c r="AE200" s="3">
        <v>63</v>
      </c>
      <c r="AF200" s="3">
        <v>0</v>
      </c>
      <c r="AG200" s="3">
        <v>15.881804</v>
      </c>
      <c r="AH200" s="3">
        <v>0</v>
      </c>
      <c r="AI200" s="3" t="s">
        <v>121</v>
      </c>
      <c r="AJ200" s="3" t="s">
        <v>88</v>
      </c>
    </row>
    <row r="201" spans="1:36">
      <c r="A201" s="5">
        <v>43288</v>
      </c>
      <c r="B201" s="3" t="s">
        <v>907</v>
      </c>
      <c r="C201" s="3" t="s">
        <v>908</v>
      </c>
      <c r="D201" s="3" t="s">
        <v>909</v>
      </c>
      <c r="E201" s="3" t="s">
        <v>910</v>
      </c>
      <c r="F201" s="3" t="s">
        <v>84</v>
      </c>
      <c r="G201" s="3">
        <v>2</v>
      </c>
      <c r="H201" s="3">
        <v>0</v>
      </c>
      <c r="I201" s="3">
        <v>0</v>
      </c>
      <c r="J201" s="3">
        <v>0</v>
      </c>
      <c r="K201" s="3">
        <v>0</v>
      </c>
      <c r="L201" s="3">
        <v>2</v>
      </c>
      <c r="M201" s="3">
        <v>0</v>
      </c>
      <c r="N201" s="3" t="s">
        <v>85</v>
      </c>
      <c r="O201" s="3">
        <v>0</v>
      </c>
      <c r="P201" s="3">
        <v>0</v>
      </c>
      <c r="Q201" s="3">
        <v>2</v>
      </c>
      <c r="R201" s="3">
        <v>1</v>
      </c>
      <c r="S201" s="3">
        <v>0</v>
      </c>
      <c r="T201" s="3">
        <v>0</v>
      </c>
      <c r="U201" s="3">
        <v>0</v>
      </c>
      <c r="V201" s="3">
        <v>0</v>
      </c>
      <c r="W201" s="3" t="s">
        <v>93</v>
      </c>
      <c r="X201" s="3">
        <v>4.66</v>
      </c>
      <c r="Y201" s="3">
        <v>4.66</v>
      </c>
      <c r="Z201" s="3">
        <v>4.66</v>
      </c>
      <c r="AA201" s="3">
        <v>0</v>
      </c>
      <c r="AB201" s="3" t="s">
        <v>86</v>
      </c>
      <c r="AC201" s="3">
        <v>2</v>
      </c>
      <c r="AD201" s="3">
        <v>4.66</v>
      </c>
      <c r="AE201" s="3">
        <v>0</v>
      </c>
      <c r="AF201" s="3">
        <v>0</v>
      </c>
      <c r="AG201" s="3">
        <v>0</v>
      </c>
      <c r="AH201" s="3">
        <v>0</v>
      </c>
      <c r="AI201" s="3" t="s">
        <v>106</v>
      </c>
      <c r="AJ201" s="3" t="s">
        <v>88</v>
      </c>
    </row>
    <row r="202" spans="1:36">
      <c r="A202" s="5">
        <v>43288</v>
      </c>
      <c r="B202" s="3" t="s">
        <v>911</v>
      </c>
      <c r="C202" s="3" t="s">
        <v>912</v>
      </c>
      <c r="D202" s="3" t="s">
        <v>913</v>
      </c>
      <c r="E202" s="3" t="s">
        <v>914</v>
      </c>
      <c r="F202" s="3" t="s">
        <v>84</v>
      </c>
      <c r="G202" s="3">
        <v>1</v>
      </c>
      <c r="H202" s="3">
        <v>0</v>
      </c>
      <c r="I202" s="3">
        <v>1</v>
      </c>
      <c r="J202" s="3">
        <v>0</v>
      </c>
      <c r="K202" s="3">
        <v>0</v>
      </c>
      <c r="L202" s="3">
        <v>0</v>
      </c>
      <c r="M202" s="3">
        <v>0</v>
      </c>
      <c r="N202" s="3" t="s">
        <v>85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1</v>
      </c>
      <c r="W202" s="3" t="s">
        <v>93</v>
      </c>
      <c r="X202" s="3">
        <v>66.9</v>
      </c>
      <c r="Y202" s="3">
        <v>66.9</v>
      </c>
      <c r="Z202" s="3">
        <v>66.9</v>
      </c>
      <c r="AA202" s="3">
        <v>0</v>
      </c>
      <c r="AB202" s="3" t="s">
        <v>239</v>
      </c>
      <c r="AC202" s="3">
        <v>0</v>
      </c>
      <c r="AD202" s="3">
        <v>61.41</v>
      </c>
      <c r="AE202" s="3">
        <v>133</v>
      </c>
      <c r="AF202" s="3">
        <v>0</v>
      </c>
      <c r="AG202" s="3">
        <v>99.727718</v>
      </c>
      <c r="AH202" s="3">
        <v>1</v>
      </c>
      <c r="AI202" s="3" t="s">
        <v>159</v>
      </c>
      <c r="AJ202" s="3" t="s">
        <v>88</v>
      </c>
    </row>
    <row r="203" spans="1:36">
      <c r="A203" s="5">
        <v>43288</v>
      </c>
      <c r="B203" s="3" t="s">
        <v>915</v>
      </c>
      <c r="C203" s="3" t="s">
        <v>916</v>
      </c>
      <c r="D203" s="3" t="s">
        <v>917</v>
      </c>
      <c r="E203" s="3" t="s">
        <v>918</v>
      </c>
      <c r="F203" s="3" t="s">
        <v>84</v>
      </c>
      <c r="G203" s="3">
        <v>10</v>
      </c>
      <c r="H203" s="3">
        <v>0</v>
      </c>
      <c r="I203" s="3">
        <v>0</v>
      </c>
      <c r="J203" s="3">
        <v>0</v>
      </c>
      <c r="K203" s="3">
        <v>10</v>
      </c>
      <c r="L203" s="3">
        <v>0</v>
      </c>
      <c r="M203" s="3">
        <v>0</v>
      </c>
      <c r="N203" s="3" t="s">
        <v>85</v>
      </c>
      <c r="O203" s="3">
        <v>10</v>
      </c>
      <c r="P203" s="3">
        <v>3.02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 t="s">
        <v>93</v>
      </c>
      <c r="X203" s="3">
        <v>8.99</v>
      </c>
      <c r="Y203" s="3">
        <v>8.99</v>
      </c>
      <c r="Z203" s="3">
        <v>8.99</v>
      </c>
      <c r="AA203" s="3">
        <v>0</v>
      </c>
      <c r="AB203" s="3" t="s">
        <v>94</v>
      </c>
      <c r="AC203" s="3">
        <v>0</v>
      </c>
      <c r="AD203" s="3">
        <v>7.19</v>
      </c>
      <c r="AE203" s="3">
        <v>63</v>
      </c>
      <c r="AF203" s="3">
        <v>0</v>
      </c>
      <c r="AG203" s="3">
        <v>37.285275</v>
      </c>
      <c r="AH203" s="3">
        <v>0</v>
      </c>
      <c r="AI203" s="3" t="s">
        <v>466</v>
      </c>
      <c r="AJ203" s="3" t="s">
        <v>88</v>
      </c>
    </row>
    <row r="204" spans="1:36">
      <c r="A204" s="5">
        <v>43288</v>
      </c>
      <c r="B204" s="3" t="s">
        <v>919</v>
      </c>
      <c r="C204" s="3" t="s">
        <v>920</v>
      </c>
      <c r="D204" s="3" t="s">
        <v>921</v>
      </c>
      <c r="E204" s="3" t="s">
        <v>922</v>
      </c>
      <c r="F204" s="3" t="s">
        <v>84</v>
      </c>
      <c r="G204" s="3">
        <v>5</v>
      </c>
      <c r="H204" s="3">
        <v>0</v>
      </c>
      <c r="I204" s="3">
        <v>0</v>
      </c>
      <c r="J204" s="3">
        <v>0</v>
      </c>
      <c r="K204" s="3">
        <v>5</v>
      </c>
      <c r="L204" s="3">
        <v>0</v>
      </c>
      <c r="M204" s="3">
        <v>0</v>
      </c>
      <c r="N204" s="3" t="s">
        <v>85</v>
      </c>
      <c r="O204" s="3">
        <v>5</v>
      </c>
      <c r="P204" s="3">
        <v>31.65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100</v>
      </c>
      <c r="X204" s="3">
        <v>42.99</v>
      </c>
      <c r="Y204" s="3">
        <v>42.99</v>
      </c>
      <c r="Z204" s="3">
        <v>42.49</v>
      </c>
      <c r="AA204" s="3">
        <v>0</v>
      </c>
      <c r="AB204" s="3" t="s">
        <v>94</v>
      </c>
      <c r="AC204" s="3">
        <v>0</v>
      </c>
      <c r="AD204" s="3">
        <v>34.39</v>
      </c>
      <c r="AE204" s="3">
        <v>63</v>
      </c>
      <c r="AF204" s="3">
        <v>0</v>
      </c>
      <c r="AG204" s="3">
        <v>345.376859</v>
      </c>
      <c r="AH204" s="3">
        <v>0</v>
      </c>
      <c r="AI204" s="3" t="s">
        <v>135</v>
      </c>
      <c r="AJ204" s="3" t="s">
        <v>88</v>
      </c>
    </row>
    <row r="205" spans="1:36">
      <c r="A205" s="5">
        <v>43288</v>
      </c>
      <c r="B205" s="3" t="s">
        <v>923</v>
      </c>
      <c r="C205" s="3" t="s">
        <v>924</v>
      </c>
      <c r="D205" s="3" t="s">
        <v>925</v>
      </c>
      <c r="E205" s="3" t="s">
        <v>926</v>
      </c>
      <c r="F205" s="3" t="s">
        <v>84</v>
      </c>
      <c r="G205" s="3">
        <v>9</v>
      </c>
      <c r="H205" s="3">
        <v>0</v>
      </c>
      <c r="I205" s="3">
        <v>0</v>
      </c>
      <c r="J205" s="3">
        <v>0</v>
      </c>
      <c r="K205" s="3">
        <v>0</v>
      </c>
      <c r="L205" s="3">
        <v>9</v>
      </c>
      <c r="M205" s="3">
        <v>0</v>
      </c>
      <c r="N205" s="3" t="s">
        <v>85</v>
      </c>
      <c r="O205" s="3">
        <v>8</v>
      </c>
      <c r="P205" s="3">
        <v>0</v>
      </c>
      <c r="Q205" s="3">
        <v>1</v>
      </c>
      <c r="R205" s="3">
        <v>0.5</v>
      </c>
      <c r="S205" s="3">
        <v>0</v>
      </c>
      <c r="T205" s="3">
        <v>0</v>
      </c>
      <c r="U205" s="3">
        <v>0</v>
      </c>
      <c r="V205" s="3">
        <v>1</v>
      </c>
      <c r="W205" s="3" t="s">
        <v>100</v>
      </c>
      <c r="X205" s="3">
        <v>13.9</v>
      </c>
      <c r="Y205" s="3">
        <v>13.9</v>
      </c>
      <c r="Z205" s="3">
        <v>13.9</v>
      </c>
      <c r="AA205" s="3">
        <v>0</v>
      </c>
      <c r="AB205" s="3" t="s">
        <v>86</v>
      </c>
      <c r="AC205" s="3">
        <v>9</v>
      </c>
      <c r="AD205" s="3">
        <v>13.9</v>
      </c>
      <c r="AE205" s="3">
        <v>0</v>
      </c>
      <c r="AF205" s="3">
        <v>0</v>
      </c>
      <c r="AG205" s="3">
        <v>0</v>
      </c>
      <c r="AH205" s="3">
        <v>0.108108108108108</v>
      </c>
      <c r="AI205" s="3" t="s">
        <v>106</v>
      </c>
      <c r="AJ205" s="3" t="s">
        <v>88</v>
      </c>
    </row>
    <row r="206" spans="1:36">
      <c r="A206" s="5">
        <v>43288</v>
      </c>
      <c r="B206" s="3" t="s">
        <v>927</v>
      </c>
      <c r="C206" s="3" t="s">
        <v>928</v>
      </c>
      <c r="D206" s="3" t="s">
        <v>929</v>
      </c>
      <c r="E206" s="3" t="s">
        <v>930</v>
      </c>
      <c r="F206" s="3" t="s">
        <v>84</v>
      </c>
      <c r="G206" s="3">
        <v>7</v>
      </c>
      <c r="H206" s="3">
        <v>0</v>
      </c>
      <c r="I206" s="3">
        <v>0</v>
      </c>
      <c r="J206" s="3">
        <v>7</v>
      </c>
      <c r="K206" s="3">
        <v>0</v>
      </c>
      <c r="L206" s="3">
        <v>0</v>
      </c>
      <c r="M206" s="3">
        <v>0</v>
      </c>
      <c r="N206" s="3" t="s">
        <v>85</v>
      </c>
      <c r="O206" s="3">
        <v>2</v>
      </c>
      <c r="P206" s="3">
        <v>0.46</v>
      </c>
      <c r="Q206" s="3">
        <v>0</v>
      </c>
      <c r="R206" s="3">
        <v>0</v>
      </c>
      <c r="S206" s="3">
        <v>0</v>
      </c>
      <c r="T206" s="3">
        <v>2</v>
      </c>
      <c r="U206" s="3">
        <v>2</v>
      </c>
      <c r="V206" s="3">
        <v>2</v>
      </c>
      <c r="W206" s="3"/>
      <c r="X206" s="3">
        <v>18.99</v>
      </c>
      <c r="Y206" s="3">
        <v>18.99</v>
      </c>
      <c r="Z206" s="3">
        <v>18.99</v>
      </c>
      <c r="AA206" s="3">
        <v>0</v>
      </c>
      <c r="AB206" s="3" t="s">
        <v>86</v>
      </c>
      <c r="AC206" s="3">
        <v>7</v>
      </c>
      <c r="AD206" s="3">
        <v>18.99</v>
      </c>
      <c r="AE206" s="3">
        <v>0</v>
      </c>
      <c r="AF206" s="3">
        <v>0</v>
      </c>
      <c r="AG206" s="3">
        <v>0</v>
      </c>
      <c r="AH206" s="3">
        <v>0.235294117647058</v>
      </c>
      <c r="AI206" s="3" t="s">
        <v>366</v>
      </c>
      <c r="AJ206" s="3" t="s">
        <v>88</v>
      </c>
    </row>
    <row r="207" spans="1:36">
      <c r="A207" s="5">
        <v>43288</v>
      </c>
      <c r="B207" s="3" t="s">
        <v>931</v>
      </c>
      <c r="C207" s="3" t="s">
        <v>932</v>
      </c>
      <c r="D207" s="3" t="s">
        <v>933</v>
      </c>
      <c r="E207" s="3" t="s">
        <v>934</v>
      </c>
      <c r="F207" s="3" t="s">
        <v>84</v>
      </c>
      <c r="G207" s="3">
        <v>38</v>
      </c>
      <c r="H207" s="3">
        <v>0</v>
      </c>
      <c r="I207" s="3">
        <v>0</v>
      </c>
      <c r="J207" s="3">
        <v>0</v>
      </c>
      <c r="K207" s="3">
        <v>38</v>
      </c>
      <c r="L207" s="3">
        <v>0</v>
      </c>
      <c r="M207" s="3">
        <v>0</v>
      </c>
      <c r="N207" s="3" t="s">
        <v>85</v>
      </c>
      <c r="O207" s="3">
        <v>38</v>
      </c>
      <c r="P207" s="3">
        <v>11.52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93</v>
      </c>
      <c r="X207" s="3">
        <v>8.79</v>
      </c>
      <c r="Y207" s="3">
        <v>8.79</v>
      </c>
      <c r="Z207" s="3">
        <v>8.79</v>
      </c>
      <c r="AA207" s="3">
        <v>0</v>
      </c>
      <c r="AB207" s="3" t="s">
        <v>94</v>
      </c>
      <c r="AC207" s="3">
        <v>0</v>
      </c>
      <c r="AD207" s="3">
        <v>7.03</v>
      </c>
      <c r="AE207" s="3">
        <v>63</v>
      </c>
      <c r="AF207" s="3">
        <v>0</v>
      </c>
      <c r="AG207" s="3">
        <v>141.508087</v>
      </c>
      <c r="AH207" s="3">
        <v>0</v>
      </c>
      <c r="AI207" s="3" t="s">
        <v>466</v>
      </c>
      <c r="AJ207" s="3" t="s">
        <v>88</v>
      </c>
    </row>
    <row r="208" spans="1:36">
      <c r="A208" s="5">
        <v>43288</v>
      </c>
      <c r="B208" s="3" t="s">
        <v>935</v>
      </c>
      <c r="C208" s="3" t="s">
        <v>936</v>
      </c>
      <c r="D208" s="3" t="s">
        <v>937</v>
      </c>
      <c r="E208" s="3" t="s">
        <v>938</v>
      </c>
      <c r="F208" s="3" t="s">
        <v>84</v>
      </c>
      <c r="G208" s="3">
        <v>5</v>
      </c>
      <c r="H208" s="3">
        <v>0</v>
      </c>
      <c r="I208" s="3">
        <v>0</v>
      </c>
      <c r="J208" s="3">
        <v>0</v>
      </c>
      <c r="K208" s="3">
        <v>0</v>
      </c>
      <c r="L208" s="3">
        <v>5</v>
      </c>
      <c r="M208" s="3">
        <v>0</v>
      </c>
      <c r="N208" s="3" t="s">
        <v>85</v>
      </c>
      <c r="O208" s="3">
        <v>0</v>
      </c>
      <c r="P208" s="3">
        <v>0</v>
      </c>
      <c r="Q208" s="3">
        <v>5</v>
      </c>
      <c r="R208" s="3">
        <v>2.5</v>
      </c>
      <c r="S208" s="3">
        <v>0</v>
      </c>
      <c r="T208" s="3">
        <v>0</v>
      </c>
      <c r="U208" s="3">
        <v>0</v>
      </c>
      <c r="V208" s="3">
        <v>0</v>
      </c>
      <c r="W208" s="3" t="s">
        <v>93</v>
      </c>
      <c r="X208" s="3">
        <v>66.9</v>
      </c>
      <c r="Y208" s="3">
        <v>66.9</v>
      </c>
      <c r="Z208" s="3">
        <v>66.9</v>
      </c>
      <c r="AA208" s="3">
        <v>0</v>
      </c>
      <c r="AB208" s="3" t="s">
        <v>94</v>
      </c>
      <c r="AC208" s="3">
        <v>0</v>
      </c>
      <c r="AD208" s="3">
        <v>53.52</v>
      </c>
      <c r="AE208" s="3">
        <v>63</v>
      </c>
      <c r="AF208" s="3">
        <v>0</v>
      </c>
      <c r="AG208" s="3">
        <v>32.309791</v>
      </c>
      <c r="AH208" s="3">
        <v>0</v>
      </c>
      <c r="AI208" s="3" t="s">
        <v>95</v>
      </c>
      <c r="AJ208" s="3" t="s">
        <v>88</v>
      </c>
    </row>
    <row r="209" spans="1:36">
      <c r="A209" s="5">
        <v>43288</v>
      </c>
      <c r="B209" s="3" t="s">
        <v>939</v>
      </c>
      <c r="C209" s="3" t="s">
        <v>940</v>
      </c>
      <c r="D209" s="3" t="s">
        <v>941</v>
      </c>
      <c r="E209" s="3" t="s">
        <v>942</v>
      </c>
      <c r="F209" s="3" t="s">
        <v>84</v>
      </c>
      <c r="G209" s="3">
        <v>4</v>
      </c>
      <c r="H209" s="3">
        <v>0</v>
      </c>
      <c r="I209" s="3">
        <v>0</v>
      </c>
      <c r="J209" s="3">
        <v>0</v>
      </c>
      <c r="K209" s="3">
        <v>0</v>
      </c>
      <c r="L209" s="3">
        <v>4</v>
      </c>
      <c r="M209" s="3">
        <v>0</v>
      </c>
      <c r="N209" s="3" t="s">
        <v>85</v>
      </c>
      <c r="O209" s="3">
        <v>4</v>
      </c>
      <c r="P209" s="3">
        <v>7.7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93</v>
      </c>
      <c r="X209" s="3">
        <v>11.9</v>
      </c>
      <c r="Y209" s="3">
        <v>11.9</v>
      </c>
      <c r="Z209" s="3">
        <v>11.9</v>
      </c>
      <c r="AA209" s="3">
        <v>0</v>
      </c>
      <c r="AB209" s="3" t="s">
        <v>94</v>
      </c>
      <c r="AC209" s="3">
        <v>0</v>
      </c>
      <c r="AD209" s="3">
        <v>9.52</v>
      </c>
      <c r="AE209" s="3">
        <v>63</v>
      </c>
      <c r="AF209" s="3">
        <v>0</v>
      </c>
      <c r="AG209" s="3">
        <v>90.448601</v>
      </c>
      <c r="AH209" s="3">
        <v>0</v>
      </c>
      <c r="AI209" s="3" t="s">
        <v>371</v>
      </c>
      <c r="AJ209" s="3" t="s">
        <v>88</v>
      </c>
    </row>
    <row r="210" spans="1:36">
      <c r="A210" s="5">
        <v>43288</v>
      </c>
      <c r="B210" s="3" t="s">
        <v>943</v>
      </c>
      <c r="C210" s="3" t="s">
        <v>944</v>
      </c>
      <c r="D210" s="3" t="s">
        <v>945</v>
      </c>
      <c r="E210" s="3" t="s">
        <v>946</v>
      </c>
      <c r="F210" s="3" t="s">
        <v>84</v>
      </c>
      <c r="G210" s="3">
        <v>1</v>
      </c>
      <c r="H210" s="3">
        <v>0</v>
      </c>
      <c r="I210" s="3">
        <v>0</v>
      </c>
      <c r="J210" s="3">
        <v>0</v>
      </c>
      <c r="K210" s="3">
        <v>0</v>
      </c>
      <c r="L210" s="3">
        <v>1</v>
      </c>
      <c r="M210" s="3">
        <v>0</v>
      </c>
      <c r="N210" s="3" t="s">
        <v>85</v>
      </c>
      <c r="O210" s="3">
        <v>0</v>
      </c>
      <c r="P210" s="3">
        <v>0</v>
      </c>
      <c r="Q210" s="3">
        <v>1</v>
      </c>
      <c r="R210" s="3">
        <v>0.5</v>
      </c>
      <c r="S210" s="3">
        <v>0</v>
      </c>
      <c r="T210" s="3">
        <v>0</v>
      </c>
      <c r="U210" s="3">
        <v>0</v>
      </c>
      <c r="V210" s="3">
        <v>0</v>
      </c>
      <c r="W210" s="3" t="s">
        <v>93</v>
      </c>
      <c r="X210" s="3">
        <v>5.36</v>
      </c>
      <c r="Y210" s="3">
        <v>5.36</v>
      </c>
      <c r="Z210" s="3">
        <v>5.36</v>
      </c>
      <c r="AA210" s="3">
        <v>0</v>
      </c>
      <c r="AB210" s="3" t="s">
        <v>86</v>
      </c>
      <c r="AC210" s="3">
        <v>1</v>
      </c>
      <c r="AD210" s="3">
        <v>5.36</v>
      </c>
      <c r="AE210" s="3">
        <v>0</v>
      </c>
      <c r="AF210" s="3">
        <v>0</v>
      </c>
      <c r="AG210" s="3">
        <v>0</v>
      </c>
      <c r="AH210" s="3">
        <v>0</v>
      </c>
      <c r="AI210" s="3" t="s">
        <v>106</v>
      </c>
      <c r="AJ210" s="3" t="s">
        <v>88</v>
      </c>
    </row>
    <row r="211" spans="1:36">
      <c r="A211" s="5">
        <v>43288</v>
      </c>
      <c r="B211" s="3" t="s">
        <v>947</v>
      </c>
      <c r="C211" s="3" t="s">
        <v>948</v>
      </c>
      <c r="D211" s="3" t="s">
        <v>949</v>
      </c>
      <c r="E211" s="3" t="s">
        <v>950</v>
      </c>
      <c r="F211" s="3" t="s">
        <v>84</v>
      </c>
      <c r="G211" s="3">
        <v>30</v>
      </c>
      <c r="H211" s="3">
        <v>0</v>
      </c>
      <c r="I211" s="3">
        <v>0</v>
      </c>
      <c r="J211" s="3">
        <v>30</v>
      </c>
      <c r="K211" s="3">
        <v>0</v>
      </c>
      <c r="L211" s="3">
        <v>0</v>
      </c>
      <c r="M211" s="3">
        <v>0</v>
      </c>
      <c r="N211" s="3" t="s">
        <v>85</v>
      </c>
      <c r="O211" s="3">
        <v>30</v>
      </c>
      <c r="P211" s="3">
        <v>60.19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 t="s">
        <v>100</v>
      </c>
      <c r="X211" s="3">
        <v>16.79</v>
      </c>
      <c r="Y211" s="3">
        <v>16.79</v>
      </c>
      <c r="Z211" s="3">
        <v>16.79</v>
      </c>
      <c r="AA211" s="3">
        <v>0</v>
      </c>
      <c r="AB211" s="3" t="s">
        <v>86</v>
      </c>
      <c r="AC211" s="3">
        <v>0</v>
      </c>
      <c r="AD211" s="3">
        <v>16.79</v>
      </c>
      <c r="AE211" s="3">
        <v>63</v>
      </c>
      <c r="AF211" s="3">
        <v>0</v>
      </c>
      <c r="AG211" s="3">
        <v>711.53276</v>
      </c>
      <c r="AH211" s="3">
        <v>0</v>
      </c>
      <c r="AI211" s="3" t="s">
        <v>87</v>
      </c>
      <c r="AJ211" s="3" t="s">
        <v>88</v>
      </c>
    </row>
    <row r="212" spans="1:36">
      <c r="A212" s="5">
        <v>43288</v>
      </c>
      <c r="B212" s="3" t="s">
        <v>40</v>
      </c>
      <c r="C212" s="3" t="s">
        <v>41</v>
      </c>
      <c r="D212" s="3" t="s">
        <v>42</v>
      </c>
      <c r="E212" s="3" t="s">
        <v>43</v>
      </c>
      <c r="F212" s="3" t="s">
        <v>84</v>
      </c>
      <c r="G212" s="3">
        <v>16</v>
      </c>
      <c r="H212" s="3">
        <v>0</v>
      </c>
      <c r="I212" s="3">
        <v>0</v>
      </c>
      <c r="J212" s="3">
        <v>16</v>
      </c>
      <c r="K212" s="3">
        <v>0</v>
      </c>
      <c r="L212" s="3">
        <v>0</v>
      </c>
      <c r="M212" s="3">
        <v>0</v>
      </c>
      <c r="N212" s="3" t="s">
        <v>85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1</v>
      </c>
      <c r="U212" s="3">
        <v>2</v>
      </c>
      <c r="V212" s="3">
        <v>3</v>
      </c>
      <c r="W212" s="3" t="s">
        <v>100</v>
      </c>
      <c r="X212" s="3">
        <v>16.99</v>
      </c>
      <c r="Y212" s="3">
        <v>16.99</v>
      </c>
      <c r="Z212" s="3">
        <v>16.99</v>
      </c>
      <c r="AA212" s="3">
        <v>0</v>
      </c>
      <c r="AB212" s="3" t="s">
        <v>94</v>
      </c>
      <c r="AC212" s="3">
        <v>1</v>
      </c>
      <c r="AD212" s="3">
        <v>12.97</v>
      </c>
      <c r="AE212" s="3">
        <v>364</v>
      </c>
      <c r="AF212" s="3">
        <v>0</v>
      </c>
      <c r="AG212" s="3">
        <v>54.02915</v>
      </c>
      <c r="AH212" s="3">
        <v>0.17391304347826</v>
      </c>
      <c r="AI212" s="3" t="s">
        <v>951</v>
      </c>
      <c r="AJ212" s="3" t="s">
        <v>88</v>
      </c>
    </row>
    <row r="213" spans="1:36">
      <c r="A213" s="5">
        <v>43288</v>
      </c>
      <c r="B213" s="3" t="s">
        <v>952</v>
      </c>
      <c r="C213" s="3" t="s">
        <v>953</v>
      </c>
      <c r="D213" s="3" t="s">
        <v>954</v>
      </c>
      <c r="E213" s="3" t="s">
        <v>955</v>
      </c>
      <c r="F213" s="3" t="s">
        <v>84</v>
      </c>
      <c r="G213" s="3">
        <v>2</v>
      </c>
      <c r="H213" s="3">
        <v>0</v>
      </c>
      <c r="I213" s="3">
        <v>0</v>
      </c>
      <c r="J213" s="3">
        <v>0</v>
      </c>
      <c r="K213" s="3">
        <v>2</v>
      </c>
      <c r="L213" s="3">
        <v>0</v>
      </c>
      <c r="M213" s="3">
        <v>0</v>
      </c>
      <c r="N213" s="3" t="s">
        <v>85</v>
      </c>
      <c r="O213" s="3">
        <v>2</v>
      </c>
      <c r="P213" s="3">
        <v>3.38</v>
      </c>
      <c r="Q213" s="3">
        <v>0</v>
      </c>
      <c r="R213" s="3">
        <v>0</v>
      </c>
      <c r="S213" s="3">
        <v>0</v>
      </c>
      <c r="T213" s="3">
        <v>1</v>
      </c>
      <c r="U213" s="3">
        <v>1</v>
      </c>
      <c r="V213" s="3">
        <v>1</v>
      </c>
      <c r="W213" s="3" t="s">
        <v>93</v>
      </c>
      <c r="X213" s="3">
        <v>61.9</v>
      </c>
      <c r="Y213" s="3">
        <v>20.9</v>
      </c>
      <c r="Z213" s="3">
        <v>20.9</v>
      </c>
      <c r="AA213" s="3">
        <v>0</v>
      </c>
      <c r="AB213" s="3" t="s">
        <v>86</v>
      </c>
      <c r="AC213" s="3">
        <v>3</v>
      </c>
      <c r="AD213" s="3">
        <v>20.9</v>
      </c>
      <c r="AE213" s="3">
        <v>0</v>
      </c>
      <c r="AF213" s="3">
        <v>0</v>
      </c>
      <c r="AG213" s="3">
        <v>0</v>
      </c>
      <c r="AH213" s="3">
        <v>0.266666666666666</v>
      </c>
      <c r="AI213" s="3" t="s">
        <v>234</v>
      </c>
      <c r="AJ213" s="3" t="s">
        <v>88</v>
      </c>
    </row>
    <row r="214" spans="1:36">
      <c r="A214" s="5">
        <v>43288</v>
      </c>
      <c r="B214" s="3" t="s">
        <v>956</v>
      </c>
      <c r="C214" s="3" t="s">
        <v>957</v>
      </c>
      <c r="D214" s="3" t="s">
        <v>958</v>
      </c>
      <c r="E214" s="3" t="s">
        <v>959</v>
      </c>
      <c r="F214" s="3" t="s">
        <v>84</v>
      </c>
      <c r="G214" s="3">
        <v>4</v>
      </c>
      <c r="H214" s="3">
        <v>0</v>
      </c>
      <c r="I214" s="3">
        <v>0</v>
      </c>
      <c r="J214" s="3">
        <v>4</v>
      </c>
      <c r="K214" s="3">
        <v>0</v>
      </c>
      <c r="L214" s="3">
        <v>0</v>
      </c>
      <c r="M214" s="3">
        <v>0</v>
      </c>
      <c r="N214" s="3" t="s">
        <v>85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1</v>
      </c>
      <c r="V214" s="3">
        <v>1</v>
      </c>
      <c r="W214" s="3" t="s">
        <v>100</v>
      </c>
      <c r="X214" s="3">
        <v>18.99</v>
      </c>
      <c r="Y214" s="3">
        <v>18.99</v>
      </c>
      <c r="Z214" s="3">
        <v>18.99</v>
      </c>
      <c r="AA214" s="3">
        <v>0</v>
      </c>
      <c r="AB214" s="3" t="s">
        <v>86</v>
      </c>
      <c r="AC214" s="3">
        <v>4</v>
      </c>
      <c r="AD214" s="3">
        <v>18.99</v>
      </c>
      <c r="AE214" s="3">
        <v>0</v>
      </c>
      <c r="AF214" s="3">
        <v>0</v>
      </c>
      <c r="AG214" s="3">
        <v>0</v>
      </c>
      <c r="AH214" s="3">
        <v>0.222222222222222</v>
      </c>
      <c r="AI214" s="3" t="s">
        <v>262</v>
      </c>
      <c r="AJ214" s="3" t="s">
        <v>88</v>
      </c>
    </row>
    <row r="215" spans="1:36">
      <c r="A215" s="5">
        <v>43288</v>
      </c>
      <c r="B215" s="3" t="s">
        <v>960</v>
      </c>
      <c r="C215" s="3" t="s">
        <v>961</v>
      </c>
      <c r="D215" s="3" t="s">
        <v>962</v>
      </c>
      <c r="E215" s="3" t="s">
        <v>456</v>
      </c>
      <c r="F215" s="3" t="s">
        <v>84</v>
      </c>
      <c r="G215" s="3">
        <v>5</v>
      </c>
      <c r="H215" s="3">
        <v>0</v>
      </c>
      <c r="I215" s="3">
        <v>0</v>
      </c>
      <c r="J215" s="3">
        <v>5</v>
      </c>
      <c r="K215" s="3">
        <v>0</v>
      </c>
      <c r="L215" s="3">
        <v>0</v>
      </c>
      <c r="M215" s="3">
        <v>0</v>
      </c>
      <c r="N215" s="3" t="s">
        <v>85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1</v>
      </c>
      <c r="U215" s="3">
        <v>2</v>
      </c>
      <c r="V215" s="3">
        <v>2</v>
      </c>
      <c r="W215" s="3"/>
      <c r="X215" s="3">
        <v>18.99</v>
      </c>
      <c r="Y215" s="3">
        <v>18.99</v>
      </c>
      <c r="Z215" s="3">
        <v>18.99</v>
      </c>
      <c r="AA215" s="3">
        <v>0</v>
      </c>
      <c r="AB215" s="3" t="s">
        <v>86</v>
      </c>
      <c r="AC215" s="3">
        <v>5</v>
      </c>
      <c r="AD215" s="3">
        <v>18.99</v>
      </c>
      <c r="AE215" s="3">
        <v>0</v>
      </c>
      <c r="AF215" s="3">
        <v>0</v>
      </c>
      <c r="AG215" s="3">
        <v>0</v>
      </c>
      <c r="AH215" s="3">
        <v>0.32</v>
      </c>
      <c r="AI215" s="3" t="s">
        <v>262</v>
      </c>
      <c r="AJ215" s="3" t="s">
        <v>88</v>
      </c>
    </row>
    <row r="216" spans="1:36">
      <c r="A216" s="5">
        <v>43288</v>
      </c>
      <c r="B216" s="3" t="s">
        <v>963</v>
      </c>
      <c r="C216" s="3" t="s">
        <v>964</v>
      </c>
      <c r="D216" s="3" t="s">
        <v>965</v>
      </c>
      <c r="E216" s="3" t="s">
        <v>966</v>
      </c>
      <c r="F216" s="3" t="s">
        <v>84</v>
      </c>
      <c r="G216" s="3">
        <v>44</v>
      </c>
      <c r="H216" s="3">
        <v>0</v>
      </c>
      <c r="I216" s="3">
        <v>0</v>
      </c>
      <c r="J216" s="3">
        <v>0</v>
      </c>
      <c r="K216" s="3">
        <v>44</v>
      </c>
      <c r="L216" s="3">
        <v>0</v>
      </c>
      <c r="M216" s="3">
        <v>0</v>
      </c>
      <c r="N216" s="3" t="s">
        <v>85</v>
      </c>
      <c r="O216" s="3">
        <v>44</v>
      </c>
      <c r="P216" s="3">
        <v>13.34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 t="s">
        <v>93</v>
      </c>
      <c r="X216" s="3">
        <v>8.79</v>
      </c>
      <c r="Y216" s="3">
        <v>8.79</v>
      </c>
      <c r="Z216" s="3">
        <v>8.79</v>
      </c>
      <c r="AA216" s="3">
        <v>0</v>
      </c>
      <c r="AB216" s="3" t="s">
        <v>94</v>
      </c>
      <c r="AC216" s="3">
        <v>0</v>
      </c>
      <c r="AD216" s="3">
        <v>7.03</v>
      </c>
      <c r="AE216" s="3">
        <v>63</v>
      </c>
      <c r="AF216" s="3">
        <v>0</v>
      </c>
      <c r="AG216" s="3">
        <v>163.851469</v>
      </c>
      <c r="AH216" s="3">
        <v>0</v>
      </c>
      <c r="AI216" s="3" t="s">
        <v>466</v>
      </c>
      <c r="AJ216" s="3" t="s">
        <v>88</v>
      </c>
    </row>
    <row r="217" spans="1:36">
      <c r="A217" s="5">
        <v>43288</v>
      </c>
      <c r="B217" s="3" t="s">
        <v>967</v>
      </c>
      <c r="C217" s="3" t="s">
        <v>968</v>
      </c>
      <c r="D217" s="3" t="s">
        <v>969</v>
      </c>
      <c r="E217" s="3" t="s">
        <v>970</v>
      </c>
      <c r="F217" s="3" t="s">
        <v>84</v>
      </c>
      <c r="G217" s="3">
        <v>5</v>
      </c>
      <c r="H217" s="3">
        <v>0</v>
      </c>
      <c r="I217" s="3">
        <v>0</v>
      </c>
      <c r="J217" s="3">
        <v>0</v>
      </c>
      <c r="K217" s="3">
        <v>0</v>
      </c>
      <c r="L217" s="3">
        <v>5</v>
      </c>
      <c r="M217" s="3">
        <v>0</v>
      </c>
      <c r="N217" s="3" t="s">
        <v>85</v>
      </c>
      <c r="O217" s="3">
        <v>5</v>
      </c>
      <c r="P217" s="3">
        <v>5.11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93</v>
      </c>
      <c r="X217" s="3">
        <v>25.9</v>
      </c>
      <c r="Y217" s="3">
        <v>25.9</v>
      </c>
      <c r="Z217" s="3">
        <v>25.9</v>
      </c>
      <c r="AA217" s="3">
        <v>0</v>
      </c>
      <c r="AB217" s="3" t="s">
        <v>94</v>
      </c>
      <c r="AC217" s="3">
        <v>0</v>
      </c>
      <c r="AD217" s="3">
        <v>20.99</v>
      </c>
      <c r="AE217" s="3">
        <v>63</v>
      </c>
      <c r="AF217" s="3">
        <v>0</v>
      </c>
      <c r="AG217" s="3">
        <v>68.343929</v>
      </c>
      <c r="AH217" s="3">
        <v>0</v>
      </c>
      <c r="AI217" s="3" t="s">
        <v>971</v>
      </c>
      <c r="AJ217" s="3" t="s">
        <v>88</v>
      </c>
    </row>
    <row r="218" spans="1:36">
      <c r="A218" s="5">
        <v>43288</v>
      </c>
      <c r="B218" s="3" t="s">
        <v>972</v>
      </c>
      <c r="C218" s="3" t="s">
        <v>973</v>
      </c>
      <c r="D218" s="3" t="s">
        <v>974</v>
      </c>
      <c r="E218" s="3" t="s">
        <v>975</v>
      </c>
      <c r="F218" s="3" t="s">
        <v>84</v>
      </c>
      <c r="G218" s="3">
        <v>29</v>
      </c>
      <c r="H218" s="3">
        <v>0</v>
      </c>
      <c r="I218" s="3">
        <v>0</v>
      </c>
      <c r="J218" s="3">
        <v>29</v>
      </c>
      <c r="K218" s="3">
        <v>0</v>
      </c>
      <c r="L218" s="3">
        <v>0</v>
      </c>
      <c r="M218" s="3">
        <v>0</v>
      </c>
      <c r="N218" s="3" t="s">
        <v>85</v>
      </c>
      <c r="O218" s="3">
        <v>29</v>
      </c>
      <c r="P218" s="3">
        <v>58.18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 t="s">
        <v>100</v>
      </c>
      <c r="X218" s="3">
        <v>16.79</v>
      </c>
      <c r="Y218" s="3">
        <v>16.79</v>
      </c>
      <c r="Z218" s="3">
        <v>16.79</v>
      </c>
      <c r="AA218" s="3">
        <v>0</v>
      </c>
      <c r="AB218" s="3" t="s">
        <v>86</v>
      </c>
      <c r="AC218" s="3">
        <v>0</v>
      </c>
      <c r="AD218" s="3">
        <v>16.79</v>
      </c>
      <c r="AE218" s="3">
        <v>63</v>
      </c>
      <c r="AF218" s="3">
        <v>0</v>
      </c>
      <c r="AG218" s="3">
        <v>687.815001</v>
      </c>
      <c r="AH218" s="3">
        <v>0</v>
      </c>
      <c r="AI218" s="3" t="s">
        <v>87</v>
      </c>
      <c r="AJ218" s="3" t="s">
        <v>88</v>
      </c>
    </row>
    <row r="219" spans="1:36">
      <c r="A219" s="5">
        <v>43288</v>
      </c>
      <c r="B219" s="3" t="s">
        <v>976</v>
      </c>
      <c r="C219" s="3" t="s">
        <v>977</v>
      </c>
      <c r="D219" s="3" t="s">
        <v>978</v>
      </c>
      <c r="E219" s="3" t="s">
        <v>979</v>
      </c>
      <c r="F219" s="3" t="s">
        <v>84</v>
      </c>
      <c r="G219" s="3">
        <v>38</v>
      </c>
      <c r="H219" s="3">
        <v>0</v>
      </c>
      <c r="I219" s="3">
        <v>2</v>
      </c>
      <c r="J219" s="3">
        <v>0</v>
      </c>
      <c r="K219" s="3">
        <v>0</v>
      </c>
      <c r="L219" s="3">
        <v>36</v>
      </c>
      <c r="M219" s="3">
        <v>0</v>
      </c>
      <c r="N219" s="3" t="s">
        <v>85</v>
      </c>
      <c r="O219" s="3">
        <v>36</v>
      </c>
      <c r="P219" s="3">
        <v>47.5</v>
      </c>
      <c r="Q219" s="3">
        <v>0</v>
      </c>
      <c r="R219" s="3">
        <v>0</v>
      </c>
      <c r="S219" s="3">
        <v>1</v>
      </c>
      <c r="T219" s="3">
        <v>4</v>
      </c>
      <c r="U219" s="3">
        <v>7</v>
      </c>
      <c r="V219" s="3">
        <v>9</v>
      </c>
      <c r="W219" s="3"/>
      <c r="X219" s="3">
        <v>35.9</v>
      </c>
      <c r="Y219" s="3">
        <v>5.41</v>
      </c>
      <c r="Z219" s="3">
        <v>5.41</v>
      </c>
      <c r="AA219" s="3">
        <v>0</v>
      </c>
      <c r="AB219" s="3" t="s">
        <v>86</v>
      </c>
      <c r="AC219" s="3">
        <v>0</v>
      </c>
      <c r="AD219" s="3">
        <v>5.41</v>
      </c>
      <c r="AE219" s="3">
        <v>0</v>
      </c>
      <c r="AF219" s="3">
        <v>39</v>
      </c>
      <c r="AG219" s="3">
        <v>361.854483</v>
      </c>
      <c r="AH219" s="3">
        <v>0.211764705882352</v>
      </c>
      <c r="AI219" s="3" t="s">
        <v>194</v>
      </c>
      <c r="AJ219" s="3" t="s">
        <v>88</v>
      </c>
    </row>
    <row r="220" spans="1:36">
      <c r="A220" s="5">
        <v>43288</v>
      </c>
      <c r="B220" s="3" t="s">
        <v>980</v>
      </c>
      <c r="C220" s="3" t="s">
        <v>981</v>
      </c>
      <c r="D220" s="3" t="s">
        <v>982</v>
      </c>
      <c r="E220" s="3" t="s">
        <v>983</v>
      </c>
      <c r="F220" s="3" t="s">
        <v>84</v>
      </c>
      <c r="G220" s="3">
        <v>9</v>
      </c>
      <c r="H220" s="3">
        <v>0</v>
      </c>
      <c r="I220" s="3">
        <v>0</v>
      </c>
      <c r="J220" s="3">
        <v>1</v>
      </c>
      <c r="K220" s="3">
        <v>0</v>
      </c>
      <c r="L220" s="3">
        <v>8</v>
      </c>
      <c r="M220" s="3">
        <v>0</v>
      </c>
      <c r="N220" s="3" t="s">
        <v>85</v>
      </c>
      <c r="O220" s="3">
        <v>8</v>
      </c>
      <c r="P220" s="3">
        <v>21.85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2</v>
      </c>
      <c r="W220" s="3" t="s">
        <v>100</v>
      </c>
      <c r="X220" s="3">
        <v>13.9</v>
      </c>
      <c r="Y220" s="3">
        <v>13.9</v>
      </c>
      <c r="Z220" s="3">
        <v>13.9</v>
      </c>
      <c r="AA220" s="3">
        <v>0</v>
      </c>
      <c r="AB220" s="3" t="s">
        <v>94</v>
      </c>
      <c r="AC220" s="3">
        <v>0</v>
      </c>
      <c r="AD220" s="3">
        <v>11.12</v>
      </c>
      <c r="AE220" s="3">
        <v>322</v>
      </c>
      <c r="AF220" s="3">
        <v>0</v>
      </c>
      <c r="AG220" s="3">
        <v>296.163119</v>
      </c>
      <c r="AH220" s="3">
        <v>0.210526315789473</v>
      </c>
      <c r="AI220" s="3" t="s">
        <v>173</v>
      </c>
      <c r="AJ220" s="3" t="s">
        <v>88</v>
      </c>
    </row>
    <row r="221" spans="1:36">
      <c r="A221" s="5">
        <v>43288</v>
      </c>
      <c r="B221" s="3" t="s">
        <v>984</v>
      </c>
      <c r="C221" s="3" t="s">
        <v>985</v>
      </c>
      <c r="D221" s="3" t="s">
        <v>986</v>
      </c>
      <c r="E221" s="3" t="s">
        <v>987</v>
      </c>
      <c r="F221" s="3" t="s">
        <v>84</v>
      </c>
      <c r="G221" s="3">
        <v>2</v>
      </c>
      <c r="H221" s="3">
        <v>0</v>
      </c>
      <c r="I221" s="3">
        <v>0</v>
      </c>
      <c r="J221" s="3">
        <v>0</v>
      </c>
      <c r="K221" s="3">
        <v>0</v>
      </c>
      <c r="L221" s="3">
        <v>2</v>
      </c>
      <c r="M221" s="3">
        <v>0</v>
      </c>
      <c r="N221" s="3" t="s">
        <v>85</v>
      </c>
      <c r="O221" s="3">
        <v>0</v>
      </c>
      <c r="P221" s="3">
        <v>0</v>
      </c>
      <c r="Q221" s="3">
        <v>2</v>
      </c>
      <c r="R221" s="3">
        <v>1</v>
      </c>
      <c r="S221" s="3">
        <v>0</v>
      </c>
      <c r="T221" s="3">
        <v>0</v>
      </c>
      <c r="U221" s="3">
        <v>0</v>
      </c>
      <c r="V221" s="3">
        <v>0</v>
      </c>
      <c r="W221" s="3" t="s">
        <v>93</v>
      </c>
      <c r="X221" s="3">
        <v>17.9</v>
      </c>
      <c r="Y221" s="3">
        <v>17.9</v>
      </c>
      <c r="Z221" s="3">
        <v>17.9</v>
      </c>
      <c r="AA221" s="3">
        <v>0</v>
      </c>
      <c r="AB221" s="3" t="s">
        <v>94</v>
      </c>
      <c r="AC221" s="3">
        <v>0</v>
      </c>
      <c r="AD221" s="3">
        <v>14.32</v>
      </c>
      <c r="AE221" s="3">
        <v>63</v>
      </c>
      <c r="AF221" s="3">
        <v>0</v>
      </c>
      <c r="AG221" s="3">
        <v>0.828859</v>
      </c>
      <c r="AH221" s="3">
        <v>0</v>
      </c>
      <c r="AI221" s="3" t="s">
        <v>106</v>
      </c>
      <c r="AJ221" s="3" t="s">
        <v>88</v>
      </c>
    </row>
    <row r="222" spans="1:36">
      <c r="A222" s="5">
        <v>43288</v>
      </c>
      <c r="B222" s="3" t="s">
        <v>988</v>
      </c>
      <c r="C222" s="3" t="s">
        <v>989</v>
      </c>
      <c r="D222" s="3" t="s">
        <v>990</v>
      </c>
      <c r="E222" s="3" t="s">
        <v>991</v>
      </c>
      <c r="F222" s="3" t="s">
        <v>84</v>
      </c>
      <c r="G222" s="3">
        <v>1</v>
      </c>
      <c r="H222" s="3">
        <v>0</v>
      </c>
      <c r="I222" s="3">
        <v>0</v>
      </c>
      <c r="J222" s="3">
        <v>1</v>
      </c>
      <c r="K222" s="3">
        <v>0</v>
      </c>
      <c r="L222" s="3">
        <v>0</v>
      </c>
      <c r="M222" s="3">
        <v>0</v>
      </c>
      <c r="N222" s="3" t="s">
        <v>85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 t="s">
        <v>93</v>
      </c>
      <c r="X222" s="3">
        <v>66.9</v>
      </c>
      <c r="Y222" s="3">
        <v>66.9</v>
      </c>
      <c r="Z222" s="3">
        <v>66.9</v>
      </c>
      <c r="AA222" s="3">
        <v>0</v>
      </c>
      <c r="AB222" s="3" t="s">
        <v>239</v>
      </c>
      <c r="AC222" s="3">
        <v>0</v>
      </c>
      <c r="AD222" s="3">
        <v>58.81</v>
      </c>
      <c r="AE222" s="3">
        <v>238</v>
      </c>
      <c r="AF222" s="3">
        <v>0</v>
      </c>
      <c r="AG222" s="3">
        <v>92.297732</v>
      </c>
      <c r="AH222" s="3">
        <v>0</v>
      </c>
      <c r="AI222" s="3" t="s">
        <v>159</v>
      </c>
      <c r="AJ222" s="3" t="s">
        <v>88</v>
      </c>
    </row>
    <row r="223" spans="1:36">
      <c r="A223" s="5">
        <v>43288</v>
      </c>
      <c r="B223" s="3" t="s">
        <v>992</v>
      </c>
      <c r="C223" s="3" t="s">
        <v>993</v>
      </c>
      <c r="D223" s="3" t="s">
        <v>994</v>
      </c>
      <c r="E223" s="3" t="s">
        <v>995</v>
      </c>
      <c r="F223" s="3" t="s">
        <v>84</v>
      </c>
      <c r="G223" s="3">
        <v>3</v>
      </c>
      <c r="H223" s="3">
        <v>0</v>
      </c>
      <c r="I223" s="3">
        <v>0</v>
      </c>
      <c r="J223" s="3">
        <v>0</v>
      </c>
      <c r="K223" s="3">
        <v>0</v>
      </c>
      <c r="L223" s="3">
        <v>3</v>
      </c>
      <c r="M223" s="3">
        <v>0</v>
      </c>
      <c r="N223" s="3" t="s">
        <v>85</v>
      </c>
      <c r="O223" s="3">
        <v>1</v>
      </c>
      <c r="P223" s="3">
        <v>0.88</v>
      </c>
      <c r="Q223" s="3">
        <v>2</v>
      </c>
      <c r="R223" s="3">
        <v>3.54</v>
      </c>
      <c r="S223" s="3">
        <v>0</v>
      </c>
      <c r="T223" s="3">
        <v>0</v>
      </c>
      <c r="U223" s="3">
        <v>0</v>
      </c>
      <c r="V223" s="3">
        <v>0</v>
      </c>
      <c r="W223" s="3" t="s">
        <v>93</v>
      </c>
      <c r="X223" s="3">
        <v>12.9</v>
      </c>
      <c r="Y223" s="3">
        <v>12.9</v>
      </c>
      <c r="Z223" s="3">
        <v>12.9</v>
      </c>
      <c r="AA223" s="3">
        <v>0</v>
      </c>
      <c r="AB223" s="3" t="s">
        <v>94</v>
      </c>
      <c r="AC223" s="3">
        <v>0</v>
      </c>
      <c r="AD223" s="3">
        <v>10.32</v>
      </c>
      <c r="AE223" s="3">
        <v>63</v>
      </c>
      <c r="AF223" s="3">
        <v>0</v>
      </c>
      <c r="AG223" s="3">
        <v>34.362734</v>
      </c>
      <c r="AH223" s="3">
        <v>0</v>
      </c>
      <c r="AI223" s="3" t="s">
        <v>996</v>
      </c>
      <c r="AJ223" s="3" t="s">
        <v>88</v>
      </c>
    </row>
    <row r="224" spans="1:36">
      <c r="A224" s="5">
        <v>43288</v>
      </c>
      <c r="B224" s="3" t="s">
        <v>997</v>
      </c>
      <c r="C224" s="3" t="s">
        <v>998</v>
      </c>
      <c r="D224" s="3" t="s">
        <v>999</v>
      </c>
      <c r="E224" s="3" t="s">
        <v>1000</v>
      </c>
      <c r="F224" s="3" t="s">
        <v>84</v>
      </c>
      <c r="G224" s="3">
        <v>3</v>
      </c>
      <c r="H224" s="3">
        <v>0</v>
      </c>
      <c r="I224" s="3">
        <v>0</v>
      </c>
      <c r="J224" s="3">
        <v>0</v>
      </c>
      <c r="K224" s="3">
        <v>0</v>
      </c>
      <c r="L224" s="3">
        <v>3</v>
      </c>
      <c r="M224" s="3">
        <v>0</v>
      </c>
      <c r="N224" s="3" t="s">
        <v>85</v>
      </c>
      <c r="O224" s="3">
        <v>3</v>
      </c>
      <c r="P224" s="3">
        <v>5.77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93</v>
      </c>
      <c r="X224" s="3">
        <v>11.9</v>
      </c>
      <c r="Y224" s="3">
        <v>11.9</v>
      </c>
      <c r="Z224" s="3">
        <v>11.9</v>
      </c>
      <c r="AA224" s="3">
        <v>0</v>
      </c>
      <c r="AB224" s="3" t="s">
        <v>94</v>
      </c>
      <c r="AC224" s="3">
        <v>0</v>
      </c>
      <c r="AD224" s="3">
        <v>9.52</v>
      </c>
      <c r="AE224" s="3">
        <v>63</v>
      </c>
      <c r="AF224" s="3">
        <v>0</v>
      </c>
      <c r="AG224" s="3">
        <v>67.836451</v>
      </c>
      <c r="AH224" s="3">
        <v>0</v>
      </c>
      <c r="AI224" s="3" t="s">
        <v>371</v>
      </c>
      <c r="AJ224" s="3" t="s">
        <v>88</v>
      </c>
    </row>
    <row r="225" spans="1:36">
      <c r="A225" s="5">
        <v>43288</v>
      </c>
      <c r="B225" s="3" t="s">
        <v>1001</v>
      </c>
      <c r="C225" s="3" t="s">
        <v>1002</v>
      </c>
      <c r="D225" s="3" t="s">
        <v>1003</v>
      </c>
      <c r="E225" s="3" t="s">
        <v>1004</v>
      </c>
      <c r="F225" s="3" t="s">
        <v>84</v>
      </c>
      <c r="G225" s="3">
        <v>1</v>
      </c>
      <c r="H225" s="3">
        <v>0</v>
      </c>
      <c r="I225" s="3">
        <v>0</v>
      </c>
      <c r="J225" s="3">
        <v>0</v>
      </c>
      <c r="K225" s="3">
        <v>0</v>
      </c>
      <c r="L225" s="3">
        <v>1</v>
      </c>
      <c r="M225" s="3">
        <v>0</v>
      </c>
      <c r="N225" s="3" t="s">
        <v>85</v>
      </c>
      <c r="O225" s="3">
        <v>0</v>
      </c>
      <c r="P225" s="3">
        <v>0</v>
      </c>
      <c r="Q225" s="3">
        <v>1</v>
      </c>
      <c r="R225" s="3">
        <v>0.5</v>
      </c>
      <c r="S225" s="3">
        <v>0</v>
      </c>
      <c r="T225" s="3">
        <v>0</v>
      </c>
      <c r="U225" s="3">
        <v>0</v>
      </c>
      <c r="V225" s="3">
        <v>0</v>
      </c>
      <c r="W225" s="3" t="s">
        <v>93</v>
      </c>
      <c r="X225" s="3">
        <v>5.36</v>
      </c>
      <c r="Y225" s="3">
        <v>5.36</v>
      </c>
      <c r="Z225" s="3">
        <v>5.36</v>
      </c>
      <c r="AA225" s="3">
        <v>0</v>
      </c>
      <c r="AB225" s="3" t="s">
        <v>86</v>
      </c>
      <c r="AC225" s="3">
        <v>1</v>
      </c>
      <c r="AD225" s="3">
        <v>5.36</v>
      </c>
      <c r="AE225" s="3">
        <v>0</v>
      </c>
      <c r="AF225" s="3">
        <v>0</v>
      </c>
      <c r="AG225" s="3">
        <v>0</v>
      </c>
      <c r="AH225" s="3">
        <v>0</v>
      </c>
      <c r="AI225" s="3" t="s">
        <v>106</v>
      </c>
      <c r="AJ225" s="3" t="s">
        <v>88</v>
      </c>
    </row>
    <row r="226" spans="1:36">
      <c r="A226" s="5">
        <v>43288</v>
      </c>
      <c r="B226" s="3" t="s">
        <v>1005</v>
      </c>
      <c r="C226" s="3" t="s">
        <v>1006</v>
      </c>
      <c r="D226" s="3" t="s">
        <v>1007</v>
      </c>
      <c r="E226" s="3" t="s">
        <v>1008</v>
      </c>
      <c r="F226" s="3" t="s">
        <v>84</v>
      </c>
      <c r="G226" s="3">
        <v>8</v>
      </c>
      <c r="H226" s="3">
        <v>0</v>
      </c>
      <c r="I226" s="3">
        <v>0</v>
      </c>
      <c r="J226" s="3">
        <v>0</v>
      </c>
      <c r="K226" s="3">
        <v>0</v>
      </c>
      <c r="L226" s="3">
        <v>8</v>
      </c>
      <c r="M226" s="3">
        <v>0</v>
      </c>
      <c r="N226" s="3" t="s">
        <v>85</v>
      </c>
      <c r="O226" s="3">
        <v>8</v>
      </c>
      <c r="P226" s="3">
        <v>3.47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 t="s">
        <v>100</v>
      </c>
      <c r="X226" s="3">
        <v>15.99</v>
      </c>
      <c r="Y226" s="3">
        <v>15.99</v>
      </c>
      <c r="Z226" s="3">
        <v>15.99</v>
      </c>
      <c r="AA226" s="3">
        <v>0</v>
      </c>
      <c r="AB226" s="3" t="s">
        <v>94</v>
      </c>
      <c r="AC226" s="3">
        <v>0</v>
      </c>
      <c r="AD226" s="3">
        <v>15.73</v>
      </c>
      <c r="AE226" s="3">
        <v>364</v>
      </c>
      <c r="AF226" s="3">
        <v>0</v>
      </c>
      <c r="AG226" s="3">
        <v>84.550944</v>
      </c>
      <c r="AH226" s="3">
        <v>0</v>
      </c>
      <c r="AI226" s="3" t="s">
        <v>1009</v>
      </c>
      <c r="AJ226" s="3" t="s">
        <v>88</v>
      </c>
    </row>
    <row r="227" spans="1:36">
      <c r="A227" s="5">
        <v>43288</v>
      </c>
      <c r="B227" s="3" t="s">
        <v>1010</v>
      </c>
      <c r="C227" s="3" t="s">
        <v>1011</v>
      </c>
      <c r="D227" s="3" t="s">
        <v>1012</v>
      </c>
      <c r="E227" s="3" t="s">
        <v>1013</v>
      </c>
      <c r="F227" s="3" t="s">
        <v>84</v>
      </c>
      <c r="G227" s="3">
        <v>2</v>
      </c>
      <c r="H227" s="3">
        <v>0</v>
      </c>
      <c r="I227" s="3">
        <v>0</v>
      </c>
      <c r="J227" s="3">
        <v>2</v>
      </c>
      <c r="K227" s="3">
        <v>0</v>
      </c>
      <c r="L227" s="3">
        <v>0</v>
      </c>
      <c r="M227" s="3">
        <v>0</v>
      </c>
      <c r="N227" s="3" t="s">
        <v>85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2</v>
      </c>
      <c r="V227" s="3">
        <v>3</v>
      </c>
      <c r="W227" s="3" t="s">
        <v>93</v>
      </c>
      <c r="X227" s="3">
        <v>16.99</v>
      </c>
      <c r="Y227" s="3">
        <v>16.99</v>
      </c>
      <c r="Z227" s="3">
        <v>16.99</v>
      </c>
      <c r="AA227" s="3">
        <v>0</v>
      </c>
      <c r="AB227" s="3" t="s">
        <v>239</v>
      </c>
      <c r="AC227" s="3">
        <v>1</v>
      </c>
      <c r="AD227" s="3">
        <v>15.16</v>
      </c>
      <c r="AE227" s="3">
        <v>84</v>
      </c>
      <c r="AF227" s="3">
        <v>0</v>
      </c>
      <c r="AG227" s="3">
        <v>0.602774</v>
      </c>
      <c r="AH227" s="3">
        <v>0.923076923076923</v>
      </c>
      <c r="AI227" s="3" t="s">
        <v>240</v>
      </c>
      <c r="AJ227" s="3" t="s">
        <v>88</v>
      </c>
    </row>
    <row r="228" spans="1:36">
      <c r="A228" s="5">
        <v>43288</v>
      </c>
      <c r="B228" s="3" t="s">
        <v>1014</v>
      </c>
      <c r="C228" s="3" t="s">
        <v>1015</v>
      </c>
      <c r="D228" s="3" t="s">
        <v>1016</v>
      </c>
      <c r="E228" s="3" t="s">
        <v>1017</v>
      </c>
      <c r="F228" s="3" t="s">
        <v>84</v>
      </c>
      <c r="G228" s="3">
        <v>9</v>
      </c>
      <c r="H228" s="3">
        <v>0</v>
      </c>
      <c r="I228" s="3">
        <v>0</v>
      </c>
      <c r="J228" s="3">
        <v>9</v>
      </c>
      <c r="K228" s="3">
        <v>0</v>
      </c>
      <c r="L228" s="3">
        <v>0</v>
      </c>
      <c r="M228" s="3">
        <v>0</v>
      </c>
      <c r="N228" s="3" t="s">
        <v>85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 t="s">
        <v>93</v>
      </c>
      <c r="X228" s="3">
        <v>15.99</v>
      </c>
      <c r="Y228" s="3">
        <v>15.99</v>
      </c>
      <c r="Z228" s="3">
        <v>15.99</v>
      </c>
      <c r="AA228" s="3">
        <v>0</v>
      </c>
      <c r="AB228" s="3" t="s">
        <v>239</v>
      </c>
      <c r="AC228" s="3">
        <v>0</v>
      </c>
      <c r="AD228" s="3">
        <v>12.79</v>
      </c>
      <c r="AE228" s="3">
        <v>63</v>
      </c>
      <c r="AF228" s="3">
        <v>0</v>
      </c>
      <c r="AG228" s="3">
        <v>153.554813</v>
      </c>
      <c r="AH228" s="3">
        <v>0</v>
      </c>
      <c r="AI228" s="3" t="s">
        <v>361</v>
      </c>
      <c r="AJ228" s="3" t="s">
        <v>88</v>
      </c>
    </row>
    <row r="229" spans="1:36">
      <c r="A229" s="5">
        <v>43288</v>
      </c>
      <c r="B229" s="3" t="s">
        <v>1018</v>
      </c>
      <c r="C229" s="3" t="s">
        <v>1019</v>
      </c>
      <c r="D229" s="3" t="s">
        <v>1020</v>
      </c>
      <c r="E229" s="3" t="s">
        <v>1021</v>
      </c>
      <c r="F229" s="3" t="s">
        <v>84</v>
      </c>
      <c r="G229" s="3">
        <v>47</v>
      </c>
      <c r="H229" s="3">
        <v>0</v>
      </c>
      <c r="I229" s="3">
        <v>1</v>
      </c>
      <c r="J229" s="3">
        <v>0</v>
      </c>
      <c r="K229" s="3">
        <v>0</v>
      </c>
      <c r="L229" s="3">
        <v>46</v>
      </c>
      <c r="M229" s="3">
        <v>0</v>
      </c>
      <c r="N229" s="3" t="s">
        <v>85</v>
      </c>
      <c r="O229" s="3">
        <v>46</v>
      </c>
      <c r="P229" s="3">
        <v>60.7</v>
      </c>
      <c r="Q229" s="3">
        <v>0</v>
      </c>
      <c r="R229" s="3">
        <v>0</v>
      </c>
      <c r="S229" s="3">
        <v>0</v>
      </c>
      <c r="T229" s="3">
        <v>1</v>
      </c>
      <c r="U229" s="3">
        <v>3</v>
      </c>
      <c r="V229" s="3">
        <v>3</v>
      </c>
      <c r="W229" s="3"/>
      <c r="X229" s="3">
        <v>7.99</v>
      </c>
      <c r="Y229" s="3">
        <v>7.99</v>
      </c>
      <c r="Z229" s="3">
        <v>7.99</v>
      </c>
      <c r="AA229" s="3">
        <v>0</v>
      </c>
      <c r="AB229" s="3" t="s">
        <v>94</v>
      </c>
      <c r="AC229" s="3">
        <v>0</v>
      </c>
      <c r="AD229" s="3">
        <v>6.39</v>
      </c>
      <c r="AE229" s="3">
        <v>364</v>
      </c>
      <c r="AF229" s="3">
        <v>0</v>
      </c>
      <c r="AG229" s="3">
        <v>693.77515</v>
      </c>
      <c r="AH229" s="3">
        <v>0.0621761658031088</v>
      </c>
      <c r="AI229" s="3" t="s">
        <v>194</v>
      </c>
      <c r="AJ229" s="3" t="s">
        <v>88</v>
      </c>
    </row>
    <row r="230" spans="1:36">
      <c r="A230" s="5">
        <v>43288</v>
      </c>
      <c r="B230" s="3" t="s">
        <v>1022</v>
      </c>
      <c r="C230" s="3" t="s">
        <v>1023</v>
      </c>
      <c r="D230" s="3" t="s">
        <v>1024</v>
      </c>
      <c r="E230" s="3" t="s">
        <v>1025</v>
      </c>
      <c r="F230" s="3" t="s">
        <v>84</v>
      </c>
      <c r="G230" s="3">
        <v>4</v>
      </c>
      <c r="H230" s="3">
        <v>0</v>
      </c>
      <c r="I230" s="3">
        <v>0</v>
      </c>
      <c r="J230" s="3">
        <v>0</v>
      </c>
      <c r="K230" s="3">
        <v>0</v>
      </c>
      <c r="L230" s="3">
        <v>4</v>
      </c>
      <c r="M230" s="3">
        <v>0</v>
      </c>
      <c r="N230" s="3" t="s">
        <v>85</v>
      </c>
      <c r="O230" s="3">
        <v>4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 t="s">
        <v>100</v>
      </c>
      <c r="X230" s="3">
        <v>13.9</v>
      </c>
      <c r="Y230" s="3">
        <v>13.9</v>
      </c>
      <c r="Z230" s="3">
        <v>13.9</v>
      </c>
      <c r="AA230" s="3">
        <v>0</v>
      </c>
      <c r="AB230" s="3" t="s">
        <v>86</v>
      </c>
      <c r="AC230" s="3">
        <v>4</v>
      </c>
      <c r="AD230" s="3">
        <v>13.9</v>
      </c>
      <c r="AE230" s="3">
        <v>0</v>
      </c>
      <c r="AF230" s="3">
        <v>0</v>
      </c>
      <c r="AG230" s="3">
        <v>0</v>
      </c>
      <c r="AH230" s="3">
        <v>0</v>
      </c>
      <c r="AI230" s="3" t="s">
        <v>106</v>
      </c>
      <c r="AJ230" s="3" t="s">
        <v>107</v>
      </c>
    </row>
    <row r="231" spans="1:36">
      <c r="A231" s="5">
        <v>43288</v>
      </c>
      <c r="B231" s="3" t="s">
        <v>1026</v>
      </c>
      <c r="C231" s="3" t="s">
        <v>1027</v>
      </c>
      <c r="D231" s="3" t="s">
        <v>1028</v>
      </c>
      <c r="E231" s="3" t="s">
        <v>1029</v>
      </c>
      <c r="F231" s="3" t="s">
        <v>84</v>
      </c>
      <c r="G231" s="3">
        <v>45</v>
      </c>
      <c r="H231" s="3">
        <v>0</v>
      </c>
      <c r="I231" s="3">
        <v>0</v>
      </c>
      <c r="J231" s="3">
        <v>0</v>
      </c>
      <c r="K231" s="3">
        <v>1</v>
      </c>
      <c r="L231" s="3">
        <v>44</v>
      </c>
      <c r="M231" s="3">
        <v>0</v>
      </c>
      <c r="N231" s="3" t="s">
        <v>85</v>
      </c>
      <c r="O231" s="3">
        <v>45</v>
      </c>
      <c r="P231" s="3">
        <v>61.93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 t="s">
        <v>93</v>
      </c>
      <c r="X231" s="3">
        <v>9.48</v>
      </c>
      <c r="Y231" s="3">
        <v>9.48</v>
      </c>
      <c r="Z231" s="3">
        <v>9.48</v>
      </c>
      <c r="AA231" s="3">
        <v>0</v>
      </c>
      <c r="AB231" s="3" t="s">
        <v>239</v>
      </c>
      <c r="AC231" s="3">
        <v>0</v>
      </c>
      <c r="AD231" s="3">
        <v>7.89</v>
      </c>
      <c r="AE231" s="3">
        <v>364</v>
      </c>
      <c r="AF231" s="3">
        <v>0</v>
      </c>
      <c r="AG231" s="3">
        <v>743.366933</v>
      </c>
      <c r="AH231" s="3">
        <v>0</v>
      </c>
      <c r="AI231" s="3" t="s">
        <v>684</v>
      </c>
      <c r="AJ231" s="3" t="s">
        <v>88</v>
      </c>
    </row>
    <row r="232" spans="1:36">
      <c r="A232" s="5">
        <v>43288</v>
      </c>
      <c r="B232" s="3" t="s">
        <v>1030</v>
      </c>
      <c r="C232" s="3" t="s">
        <v>1031</v>
      </c>
      <c r="D232" s="3" t="s">
        <v>1032</v>
      </c>
      <c r="E232" s="3" t="s">
        <v>1033</v>
      </c>
      <c r="F232" s="3" t="s">
        <v>84</v>
      </c>
      <c r="G232" s="3">
        <v>3</v>
      </c>
      <c r="H232" s="3">
        <v>0</v>
      </c>
      <c r="I232" s="3">
        <v>0</v>
      </c>
      <c r="J232" s="3">
        <v>0</v>
      </c>
      <c r="K232" s="3">
        <v>0</v>
      </c>
      <c r="L232" s="3">
        <v>3</v>
      </c>
      <c r="M232" s="3">
        <v>0</v>
      </c>
      <c r="N232" s="3" t="s">
        <v>85</v>
      </c>
      <c r="O232" s="3">
        <v>0</v>
      </c>
      <c r="P232" s="3">
        <v>0</v>
      </c>
      <c r="Q232" s="3">
        <v>3</v>
      </c>
      <c r="R232" s="3">
        <v>10.72</v>
      </c>
      <c r="S232" s="3">
        <v>0</v>
      </c>
      <c r="T232" s="3">
        <v>0</v>
      </c>
      <c r="U232" s="3">
        <v>0</v>
      </c>
      <c r="V232" s="3">
        <v>0</v>
      </c>
      <c r="W232" s="3" t="s">
        <v>93</v>
      </c>
      <c r="X232" s="3">
        <v>12.9</v>
      </c>
      <c r="Y232" s="3">
        <v>12.9</v>
      </c>
      <c r="Z232" s="3">
        <v>12.9</v>
      </c>
      <c r="AA232" s="3">
        <v>0</v>
      </c>
      <c r="AB232" s="3" t="s">
        <v>94</v>
      </c>
      <c r="AC232" s="3">
        <v>0</v>
      </c>
      <c r="AD232" s="3">
        <v>10.32</v>
      </c>
      <c r="AE232" s="3">
        <v>63</v>
      </c>
      <c r="AF232" s="3">
        <v>0</v>
      </c>
      <c r="AG232" s="3">
        <v>68.402111</v>
      </c>
      <c r="AH232" s="3">
        <v>0</v>
      </c>
      <c r="AI232" s="3" t="s">
        <v>126</v>
      </c>
      <c r="AJ232" s="3" t="s">
        <v>88</v>
      </c>
    </row>
    <row r="233" spans="1:36">
      <c r="A233" s="5">
        <v>43288</v>
      </c>
      <c r="B233" s="3" t="s">
        <v>1034</v>
      </c>
      <c r="C233" s="3" t="s">
        <v>1035</v>
      </c>
      <c r="D233" s="3" t="s">
        <v>1036</v>
      </c>
      <c r="E233" s="3" t="s">
        <v>1037</v>
      </c>
      <c r="F233" s="3" t="s">
        <v>84</v>
      </c>
      <c r="G233" s="3">
        <v>1</v>
      </c>
      <c r="H233" s="3">
        <v>0</v>
      </c>
      <c r="I233" s="3">
        <v>0</v>
      </c>
      <c r="J233" s="3">
        <v>0</v>
      </c>
      <c r="K233" s="3">
        <v>0</v>
      </c>
      <c r="L233" s="3">
        <v>1</v>
      </c>
      <c r="M233" s="3">
        <v>0</v>
      </c>
      <c r="N233" s="3" t="s">
        <v>85</v>
      </c>
      <c r="O233" s="3">
        <v>0</v>
      </c>
      <c r="P233" s="3">
        <v>0</v>
      </c>
      <c r="Q233" s="3">
        <v>1</v>
      </c>
      <c r="R233" s="3">
        <v>0.5</v>
      </c>
      <c r="S233" s="3">
        <v>0</v>
      </c>
      <c r="T233" s="3">
        <v>0</v>
      </c>
      <c r="U233" s="3">
        <v>0</v>
      </c>
      <c r="V233" s="3">
        <v>0</v>
      </c>
      <c r="W233" s="3" t="s">
        <v>93</v>
      </c>
      <c r="X233" s="3">
        <v>4.99</v>
      </c>
      <c r="Y233" s="3">
        <v>4.99</v>
      </c>
      <c r="Z233" s="3">
        <v>4.99</v>
      </c>
      <c r="AA233" s="3">
        <v>0</v>
      </c>
      <c r="AB233" s="3" t="s">
        <v>86</v>
      </c>
      <c r="AC233" s="3">
        <v>1</v>
      </c>
      <c r="AD233" s="3">
        <v>4.99</v>
      </c>
      <c r="AE233" s="3">
        <v>0</v>
      </c>
      <c r="AF233" s="3">
        <v>0</v>
      </c>
      <c r="AG233" s="3">
        <v>0</v>
      </c>
      <c r="AH233" s="3">
        <v>0</v>
      </c>
      <c r="AI233" s="3" t="s">
        <v>106</v>
      </c>
      <c r="AJ233" s="3" t="s">
        <v>88</v>
      </c>
    </row>
    <row r="234" spans="1:36">
      <c r="A234" s="5">
        <v>43288</v>
      </c>
      <c r="B234" s="3" t="s">
        <v>1038</v>
      </c>
      <c r="C234" s="3" t="s">
        <v>1039</v>
      </c>
      <c r="D234" s="3" t="s">
        <v>1040</v>
      </c>
      <c r="E234" s="3" t="s">
        <v>1041</v>
      </c>
      <c r="F234" s="3" t="s">
        <v>84</v>
      </c>
      <c r="G234" s="3">
        <v>5</v>
      </c>
      <c r="H234" s="3">
        <v>0</v>
      </c>
      <c r="I234" s="3">
        <v>0</v>
      </c>
      <c r="J234" s="3">
        <v>0</v>
      </c>
      <c r="K234" s="3">
        <v>5</v>
      </c>
      <c r="L234" s="3">
        <v>0</v>
      </c>
      <c r="M234" s="3">
        <v>0</v>
      </c>
      <c r="N234" s="3" t="s">
        <v>85</v>
      </c>
      <c r="O234" s="3">
        <v>5</v>
      </c>
      <c r="P234" s="3">
        <v>62.4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 t="s">
        <v>100</v>
      </c>
      <c r="X234" s="3">
        <v>42.99</v>
      </c>
      <c r="Y234" s="3">
        <v>42.99</v>
      </c>
      <c r="Z234" s="3">
        <v>42.49</v>
      </c>
      <c r="AA234" s="3">
        <v>0</v>
      </c>
      <c r="AB234" s="3" t="s">
        <v>94</v>
      </c>
      <c r="AC234" s="3">
        <v>0</v>
      </c>
      <c r="AD234" s="3">
        <v>42.49</v>
      </c>
      <c r="AE234" s="3">
        <v>63</v>
      </c>
      <c r="AF234" s="3">
        <v>0</v>
      </c>
      <c r="AG234" s="3">
        <v>665.280165</v>
      </c>
      <c r="AH234" s="3">
        <v>0</v>
      </c>
      <c r="AI234" s="3" t="s">
        <v>216</v>
      </c>
      <c r="AJ234" s="3" t="s">
        <v>88</v>
      </c>
    </row>
    <row r="235" spans="1:36">
      <c r="A235" s="5">
        <v>43288</v>
      </c>
      <c r="B235" s="3" t="s">
        <v>1042</v>
      </c>
      <c r="C235" s="3" t="s">
        <v>1043</v>
      </c>
      <c r="D235" s="3" t="s">
        <v>1044</v>
      </c>
      <c r="E235" s="3" t="s">
        <v>1045</v>
      </c>
      <c r="F235" s="3" t="s">
        <v>84</v>
      </c>
      <c r="G235" s="3">
        <v>5</v>
      </c>
      <c r="H235" s="3">
        <v>0</v>
      </c>
      <c r="I235" s="3">
        <v>0</v>
      </c>
      <c r="J235" s="3">
        <v>0</v>
      </c>
      <c r="K235" s="3">
        <v>0</v>
      </c>
      <c r="L235" s="3">
        <v>5</v>
      </c>
      <c r="M235" s="3">
        <v>0</v>
      </c>
      <c r="N235" s="3" t="s">
        <v>85</v>
      </c>
      <c r="O235" s="3">
        <v>5</v>
      </c>
      <c r="P235" s="3">
        <v>5.11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93</v>
      </c>
      <c r="X235" s="3">
        <v>20.99</v>
      </c>
      <c r="Y235" s="3">
        <v>20.99</v>
      </c>
      <c r="Z235" s="3">
        <v>20.99</v>
      </c>
      <c r="AA235" s="3">
        <v>0</v>
      </c>
      <c r="AB235" s="3" t="s">
        <v>86</v>
      </c>
      <c r="AC235" s="3">
        <v>0</v>
      </c>
      <c r="AD235" s="3">
        <v>20.99</v>
      </c>
      <c r="AE235" s="3">
        <v>63</v>
      </c>
      <c r="AF235" s="3">
        <v>0</v>
      </c>
      <c r="AG235" s="3">
        <v>68.343929</v>
      </c>
      <c r="AH235" s="3">
        <v>0</v>
      </c>
      <c r="AI235" s="3" t="s">
        <v>971</v>
      </c>
      <c r="AJ235" s="3" t="s">
        <v>88</v>
      </c>
    </row>
    <row r="236" spans="1:36">
      <c r="A236" s="5">
        <v>43288</v>
      </c>
      <c r="B236" s="3" t="s">
        <v>1046</v>
      </c>
      <c r="C236" s="3" t="s">
        <v>1047</v>
      </c>
      <c r="D236" s="3" t="s">
        <v>1048</v>
      </c>
      <c r="E236" s="3" t="s">
        <v>1049</v>
      </c>
      <c r="F236" s="3" t="s">
        <v>84</v>
      </c>
      <c r="G236" s="3">
        <v>4</v>
      </c>
      <c r="H236" s="3">
        <v>0</v>
      </c>
      <c r="I236" s="3">
        <v>0</v>
      </c>
      <c r="J236" s="3">
        <v>0</v>
      </c>
      <c r="K236" s="3">
        <v>0</v>
      </c>
      <c r="L236" s="3">
        <v>4</v>
      </c>
      <c r="M236" s="3">
        <v>0</v>
      </c>
      <c r="N236" s="3" t="s">
        <v>85</v>
      </c>
      <c r="O236" s="3">
        <v>4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100</v>
      </c>
      <c r="X236" s="3">
        <v>13.9</v>
      </c>
      <c r="Y236" s="3">
        <v>13.9</v>
      </c>
      <c r="Z236" s="3">
        <v>13.9</v>
      </c>
      <c r="AA236" s="3">
        <v>0</v>
      </c>
      <c r="AB236" s="3" t="s">
        <v>86</v>
      </c>
      <c r="AC236" s="3">
        <v>4</v>
      </c>
      <c r="AD236" s="3">
        <v>13.9</v>
      </c>
      <c r="AE236" s="3">
        <v>0</v>
      </c>
      <c r="AF236" s="3">
        <v>0</v>
      </c>
      <c r="AG236" s="3">
        <v>0</v>
      </c>
      <c r="AH236" s="3">
        <v>0</v>
      </c>
      <c r="AI236" s="3" t="s">
        <v>106</v>
      </c>
      <c r="AJ236" s="3" t="s">
        <v>88</v>
      </c>
    </row>
    <row r="237" spans="1:36">
      <c r="A237" s="5">
        <v>43288</v>
      </c>
      <c r="B237" s="3" t="s">
        <v>1050</v>
      </c>
      <c r="C237" s="3" t="s">
        <v>1051</v>
      </c>
      <c r="D237" s="3" t="s">
        <v>1052</v>
      </c>
      <c r="E237" s="3" t="s">
        <v>1053</v>
      </c>
      <c r="F237" s="3" t="s">
        <v>84</v>
      </c>
      <c r="G237" s="3">
        <v>1</v>
      </c>
      <c r="H237" s="3">
        <v>0</v>
      </c>
      <c r="I237" s="3">
        <v>0</v>
      </c>
      <c r="J237" s="3">
        <v>0</v>
      </c>
      <c r="K237" s="3">
        <v>0</v>
      </c>
      <c r="L237" s="3">
        <v>1</v>
      </c>
      <c r="M237" s="3">
        <v>0</v>
      </c>
      <c r="N237" s="3" t="s">
        <v>85</v>
      </c>
      <c r="O237" s="3">
        <v>0</v>
      </c>
      <c r="P237" s="3">
        <v>0</v>
      </c>
      <c r="Q237" s="3">
        <v>1</v>
      </c>
      <c r="R237" s="3">
        <v>0.5</v>
      </c>
      <c r="S237" s="3">
        <v>0</v>
      </c>
      <c r="T237" s="3">
        <v>0</v>
      </c>
      <c r="U237" s="3">
        <v>0</v>
      </c>
      <c r="V237" s="3">
        <v>0</v>
      </c>
      <c r="W237" s="3" t="s">
        <v>93</v>
      </c>
      <c r="X237" s="3">
        <v>5.36</v>
      </c>
      <c r="Y237" s="3">
        <v>5.36</v>
      </c>
      <c r="Z237" s="3">
        <v>5.36</v>
      </c>
      <c r="AA237" s="3">
        <v>0</v>
      </c>
      <c r="AB237" s="3" t="s">
        <v>86</v>
      </c>
      <c r="AC237" s="3">
        <v>1</v>
      </c>
      <c r="AD237" s="3">
        <v>5.36</v>
      </c>
      <c r="AE237" s="3">
        <v>0</v>
      </c>
      <c r="AF237" s="3">
        <v>0</v>
      </c>
      <c r="AG237" s="3">
        <v>0</v>
      </c>
      <c r="AH237" s="3">
        <v>0</v>
      </c>
      <c r="AI237" s="3" t="s">
        <v>106</v>
      </c>
      <c r="AJ237" s="3" t="s">
        <v>88</v>
      </c>
    </row>
    <row r="238" spans="1:36">
      <c r="A238" s="5">
        <v>43288</v>
      </c>
      <c r="B238" s="3" t="s">
        <v>1054</v>
      </c>
      <c r="C238" s="3" t="s">
        <v>1055</v>
      </c>
      <c r="D238" s="3" t="s">
        <v>1056</v>
      </c>
      <c r="E238" s="3" t="s">
        <v>1057</v>
      </c>
      <c r="F238" s="3" t="s">
        <v>84</v>
      </c>
      <c r="G238" s="3">
        <v>1</v>
      </c>
      <c r="H238" s="3">
        <v>0</v>
      </c>
      <c r="I238" s="3">
        <v>0</v>
      </c>
      <c r="J238" s="3">
        <v>0</v>
      </c>
      <c r="K238" s="3">
        <v>0</v>
      </c>
      <c r="L238" s="3">
        <v>1</v>
      </c>
      <c r="M238" s="3">
        <v>0</v>
      </c>
      <c r="N238" s="3" t="s">
        <v>85</v>
      </c>
      <c r="O238" s="3">
        <v>0</v>
      </c>
      <c r="P238" s="3">
        <v>0</v>
      </c>
      <c r="Q238" s="3">
        <v>1</v>
      </c>
      <c r="R238" s="3">
        <v>0.5</v>
      </c>
      <c r="S238" s="3">
        <v>0</v>
      </c>
      <c r="T238" s="3">
        <v>0</v>
      </c>
      <c r="U238" s="3">
        <v>0</v>
      </c>
      <c r="V238" s="3">
        <v>0</v>
      </c>
      <c r="W238" s="3" t="s">
        <v>93</v>
      </c>
      <c r="X238" s="3">
        <v>5.63</v>
      </c>
      <c r="Y238" s="3">
        <v>5.63</v>
      </c>
      <c r="Z238" s="3">
        <v>5.63</v>
      </c>
      <c r="AA238" s="3">
        <v>0</v>
      </c>
      <c r="AB238" s="3" t="s">
        <v>86</v>
      </c>
      <c r="AC238" s="3">
        <v>1</v>
      </c>
      <c r="AD238" s="3">
        <v>5.63</v>
      </c>
      <c r="AE238" s="3">
        <v>0</v>
      </c>
      <c r="AF238" s="3">
        <v>0</v>
      </c>
      <c r="AG238" s="3">
        <v>0</v>
      </c>
      <c r="AH238" s="3">
        <v>0</v>
      </c>
      <c r="AI238" s="3" t="s">
        <v>106</v>
      </c>
      <c r="AJ238" s="3" t="s">
        <v>88</v>
      </c>
    </row>
    <row r="239" spans="1:36">
      <c r="A239" s="5">
        <v>43288</v>
      </c>
      <c r="B239" s="3" t="s">
        <v>1058</v>
      </c>
      <c r="C239" s="3" t="s">
        <v>1059</v>
      </c>
      <c r="D239" s="3" t="s">
        <v>1060</v>
      </c>
      <c r="E239" s="3" t="s">
        <v>1061</v>
      </c>
      <c r="F239" s="3" t="s">
        <v>84</v>
      </c>
      <c r="G239" s="3">
        <v>35</v>
      </c>
      <c r="H239" s="3">
        <v>0</v>
      </c>
      <c r="I239" s="3">
        <v>1</v>
      </c>
      <c r="J239" s="3">
        <v>0</v>
      </c>
      <c r="K239" s="3">
        <v>1</v>
      </c>
      <c r="L239" s="3">
        <v>33</v>
      </c>
      <c r="M239" s="3">
        <v>0</v>
      </c>
      <c r="N239" s="3" t="s">
        <v>85</v>
      </c>
      <c r="O239" s="3">
        <v>34</v>
      </c>
      <c r="P239" s="3">
        <v>47.63</v>
      </c>
      <c r="Q239" s="3">
        <v>0</v>
      </c>
      <c r="R239" s="3">
        <v>0</v>
      </c>
      <c r="S239" s="3">
        <v>0</v>
      </c>
      <c r="T239" s="3">
        <v>0</v>
      </c>
      <c r="U239" s="3">
        <v>1</v>
      </c>
      <c r="V239" s="3">
        <v>2</v>
      </c>
      <c r="W239" s="3" t="s">
        <v>93</v>
      </c>
      <c r="X239" s="3">
        <v>7.99</v>
      </c>
      <c r="Y239" s="3">
        <v>7.99</v>
      </c>
      <c r="Z239" s="3">
        <v>7.99</v>
      </c>
      <c r="AA239" s="3">
        <v>0</v>
      </c>
      <c r="AB239" s="3" t="s">
        <v>239</v>
      </c>
      <c r="AC239" s="3">
        <v>0</v>
      </c>
      <c r="AD239" s="3">
        <v>6.39</v>
      </c>
      <c r="AE239" s="3">
        <v>210</v>
      </c>
      <c r="AF239" s="3">
        <v>0</v>
      </c>
      <c r="AG239" s="3">
        <v>594.064417</v>
      </c>
      <c r="AH239" s="3">
        <v>0.056338028169014</v>
      </c>
      <c r="AI239" s="3" t="s">
        <v>328</v>
      </c>
      <c r="AJ239" s="3" t="s">
        <v>88</v>
      </c>
    </row>
    <row r="240" spans="1:36">
      <c r="A240" s="5">
        <v>43288</v>
      </c>
      <c r="B240" s="3" t="s">
        <v>1062</v>
      </c>
      <c r="C240" s="3" t="s">
        <v>1063</v>
      </c>
      <c r="D240" s="3" t="s">
        <v>1064</v>
      </c>
      <c r="E240" s="3" t="s">
        <v>1065</v>
      </c>
      <c r="F240" s="3" t="s">
        <v>84</v>
      </c>
      <c r="G240" s="3">
        <v>3</v>
      </c>
      <c r="H240" s="3">
        <v>0</v>
      </c>
      <c r="I240" s="3">
        <v>0</v>
      </c>
      <c r="J240" s="3">
        <v>0</v>
      </c>
      <c r="K240" s="3">
        <v>0</v>
      </c>
      <c r="L240" s="3">
        <v>3</v>
      </c>
      <c r="M240" s="3">
        <v>0</v>
      </c>
      <c r="N240" s="3" t="s">
        <v>85</v>
      </c>
      <c r="O240" s="3">
        <v>1</v>
      </c>
      <c r="P240" s="3">
        <v>0.88</v>
      </c>
      <c r="Q240" s="3">
        <v>2</v>
      </c>
      <c r="R240" s="3">
        <v>3.54</v>
      </c>
      <c r="S240" s="3">
        <v>0</v>
      </c>
      <c r="T240" s="3">
        <v>0</v>
      </c>
      <c r="U240" s="3">
        <v>0</v>
      </c>
      <c r="V240" s="3">
        <v>0</v>
      </c>
      <c r="W240" s="3" t="s">
        <v>93</v>
      </c>
      <c r="X240" s="3">
        <v>12.9</v>
      </c>
      <c r="Y240" s="3">
        <v>12.9</v>
      </c>
      <c r="Z240" s="3">
        <v>12.9</v>
      </c>
      <c r="AA240" s="3">
        <v>0</v>
      </c>
      <c r="AB240" s="3" t="s">
        <v>94</v>
      </c>
      <c r="AC240" s="3">
        <v>0</v>
      </c>
      <c r="AD240" s="3">
        <v>10.32</v>
      </c>
      <c r="AE240" s="3">
        <v>63</v>
      </c>
      <c r="AF240" s="3">
        <v>0</v>
      </c>
      <c r="AG240" s="3">
        <v>34.362734</v>
      </c>
      <c r="AH240" s="3">
        <v>0</v>
      </c>
      <c r="AI240" s="3" t="s">
        <v>996</v>
      </c>
      <c r="AJ240" s="3" t="s">
        <v>88</v>
      </c>
    </row>
    <row r="241" spans="1:36">
      <c r="A241" s="5">
        <v>43288</v>
      </c>
      <c r="B241" s="3" t="s">
        <v>1066</v>
      </c>
      <c r="C241" s="3" t="s">
        <v>1067</v>
      </c>
      <c r="D241" s="3" t="s">
        <v>1068</v>
      </c>
      <c r="E241" s="3" t="s">
        <v>1069</v>
      </c>
      <c r="F241" s="3" t="s">
        <v>84</v>
      </c>
      <c r="G241" s="3">
        <v>1</v>
      </c>
      <c r="H241" s="3">
        <v>0</v>
      </c>
      <c r="I241" s="3">
        <v>0</v>
      </c>
      <c r="J241" s="3">
        <v>1</v>
      </c>
      <c r="K241" s="3">
        <v>0</v>
      </c>
      <c r="L241" s="3">
        <v>0</v>
      </c>
      <c r="M241" s="3">
        <v>0</v>
      </c>
      <c r="N241" s="3" t="s">
        <v>85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 t="s">
        <v>93</v>
      </c>
      <c r="X241" s="3">
        <v>66.9</v>
      </c>
      <c r="Y241" s="3">
        <v>66.9</v>
      </c>
      <c r="Z241" s="3">
        <v>66.9</v>
      </c>
      <c r="AA241" s="3">
        <v>0</v>
      </c>
      <c r="AB241" s="3" t="s">
        <v>239</v>
      </c>
      <c r="AC241" s="3">
        <v>1</v>
      </c>
      <c r="AD241" s="3">
        <v>66.9</v>
      </c>
      <c r="AE241" s="3">
        <v>0</v>
      </c>
      <c r="AF241" s="3">
        <v>0</v>
      </c>
      <c r="AG241" s="3">
        <v>0</v>
      </c>
      <c r="AH241" s="3">
        <v>0</v>
      </c>
      <c r="AI241" s="3" t="s">
        <v>557</v>
      </c>
      <c r="AJ241" s="3" t="s">
        <v>88</v>
      </c>
    </row>
    <row r="242" spans="1:36">
      <c r="A242" s="5">
        <v>43288</v>
      </c>
      <c r="B242" s="3" t="s">
        <v>1070</v>
      </c>
      <c r="C242" s="3" t="s">
        <v>1071</v>
      </c>
      <c r="D242" s="3" t="s">
        <v>1072</v>
      </c>
      <c r="E242" s="3" t="s">
        <v>1073</v>
      </c>
      <c r="F242" s="3" t="s">
        <v>84</v>
      </c>
      <c r="G242" s="3">
        <v>1</v>
      </c>
      <c r="H242" s="3">
        <v>0</v>
      </c>
      <c r="I242" s="3">
        <v>0</v>
      </c>
      <c r="J242" s="3">
        <v>0</v>
      </c>
      <c r="K242" s="3">
        <v>0</v>
      </c>
      <c r="L242" s="3">
        <v>1</v>
      </c>
      <c r="M242" s="3">
        <v>0</v>
      </c>
      <c r="N242" s="3" t="s">
        <v>85</v>
      </c>
      <c r="O242" s="3">
        <v>0</v>
      </c>
      <c r="P242" s="3">
        <v>0</v>
      </c>
      <c r="Q242" s="3">
        <v>1</v>
      </c>
      <c r="R242" s="3">
        <v>0.69</v>
      </c>
      <c r="S242" s="3">
        <v>0</v>
      </c>
      <c r="T242" s="3">
        <v>0</v>
      </c>
      <c r="U242" s="3">
        <v>0</v>
      </c>
      <c r="V242" s="3">
        <v>0</v>
      </c>
      <c r="W242" s="3" t="s">
        <v>93</v>
      </c>
      <c r="X242" s="3">
        <v>6.27</v>
      </c>
      <c r="Y242" s="3">
        <v>6.27</v>
      </c>
      <c r="Z242" s="3">
        <v>6.27</v>
      </c>
      <c r="AA242" s="3">
        <v>0</v>
      </c>
      <c r="AB242" s="3" t="s">
        <v>94</v>
      </c>
      <c r="AC242" s="3">
        <v>0</v>
      </c>
      <c r="AD242" s="3">
        <v>5.02</v>
      </c>
      <c r="AE242" s="3">
        <v>63</v>
      </c>
      <c r="AF242" s="3">
        <v>0</v>
      </c>
      <c r="AG242" s="3">
        <v>4.483589</v>
      </c>
      <c r="AH242" s="3">
        <v>0</v>
      </c>
      <c r="AI242" s="3" t="s">
        <v>1074</v>
      </c>
      <c r="AJ242" s="3" t="s">
        <v>88</v>
      </c>
    </row>
    <row r="243" spans="1:36">
      <c r="A243" s="5">
        <v>43288</v>
      </c>
      <c r="B243" s="3" t="s">
        <v>1075</v>
      </c>
      <c r="C243" s="3" t="s">
        <v>1076</v>
      </c>
      <c r="D243" s="3" t="s">
        <v>1077</v>
      </c>
      <c r="E243" s="3" t="s">
        <v>1078</v>
      </c>
      <c r="F243" s="3" t="s">
        <v>84</v>
      </c>
      <c r="G243" s="3">
        <v>26</v>
      </c>
      <c r="H243" s="3">
        <v>0</v>
      </c>
      <c r="I243" s="3">
        <v>0</v>
      </c>
      <c r="J243" s="3">
        <v>0</v>
      </c>
      <c r="K243" s="3">
        <v>0</v>
      </c>
      <c r="L243" s="3">
        <v>26</v>
      </c>
      <c r="M243" s="3">
        <v>0</v>
      </c>
      <c r="N243" s="3" t="s">
        <v>85</v>
      </c>
      <c r="O243" s="3">
        <v>26</v>
      </c>
      <c r="P243" s="3">
        <v>35.82</v>
      </c>
      <c r="Q243" s="3">
        <v>0</v>
      </c>
      <c r="R243" s="3">
        <v>0</v>
      </c>
      <c r="S243" s="3">
        <v>0</v>
      </c>
      <c r="T243" s="3">
        <v>1</v>
      </c>
      <c r="U243" s="3">
        <v>1</v>
      </c>
      <c r="V243" s="3">
        <v>3</v>
      </c>
      <c r="W243" s="3"/>
      <c r="X243" s="3">
        <v>9.99</v>
      </c>
      <c r="Y243" s="3">
        <v>9.99</v>
      </c>
      <c r="Z243" s="3">
        <v>9.99</v>
      </c>
      <c r="AA243" s="3">
        <v>0</v>
      </c>
      <c r="AB243" s="3" t="s">
        <v>94</v>
      </c>
      <c r="AC243" s="3">
        <v>2</v>
      </c>
      <c r="AD243" s="3">
        <v>7.99</v>
      </c>
      <c r="AE243" s="3">
        <v>210</v>
      </c>
      <c r="AF243" s="3">
        <v>0</v>
      </c>
      <c r="AG243" s="3">
        <v>81.042936</v>
      </c>
      <c r="AH243" s="3">
        <v>0.110091743119266</v>
      </c>
      <c r="AI243" s="3" t="s">
        <v>101</v>
      </c>
      <c r="AJ243" s="3" t="s">
        <v>88</v>
      </c>
    </row>
    <row r="244" spans="1:36">
      <c r="A244" s="5">
        <v>43288</v>
      </c>
      <c r="B244" s="3" t="s">
        <v>1079</v>
      </c>
      <c r="C244" s="3" t="s">
        <v>1080</v>
      </c>
      <c r="D244" s="3" t="s">
        <v>1081</v>
      </c>
      <c r="E244" s="3" t="s">
        <v>1082</v>
      </c>
      <c r="F244" s="3" t="s">
        <v>84</v>
      </c>
      <c r="G244" s="3">
        <v>1</v>
      </c>
      <c r="H244" s="3">
        <v>0</v>
      </c>
      <c r="I244" s="3">
        <v>0</v>
      </c>
      <c r="J244" s="3">
        <v>0</v>
      </c>
      <c r="K244" s="3">
        <v>0</v>
      </c>
      <c r="L244" s="3">
        <v>1</v>
      </c>
      <c r="M244" s="3">
        <v>0</v>
      </c>
      <c r="N244" s="3" t="s">
        <v>85</v>
      </c>
      <c r="O244" s="3">
        <v>0</v>
      </c>
      <c r="P244" s="3">
        <v>0</v>
      </c>
      <c r="Q244" s="3">
        <v>1</v>
      </c>
      <c r="R244" s="3">
        <v>0.5</v>
      </c>
      <c r="S244" s="3">
        <v>0</v>
      </c>
      <c r="T244" s="3">
        <v>0</v>
      </c>
      <c r="U244" s="3">
        <v>0</v>
      </c>
      <c r="V244" s="3">
        <v>0</v>
      </c>
      <c r="W244" s="3" t="s">
        <v>93</v>
      </c>
      <c r="X244" s="3">
        <v>5.63</v>
      </c>
      <c r="Y244" s="3">
        <v>5.63</v>
      </c>
      <c r="Z244" s="3">
        <v>5.63</v>
      </c>
      <c r="AA244" s="3">
        <v>0</v>
      </c>
      <c r="AB244" s="3" t="s">
        <v>86</v>
      </c>
      <c r="AC244" s="3">
        <v>1</v>
      </c>
      <c r="AD244" s="3">
        <v>5.63</v>
      </c>
      <c r="AE244" s="3">
        <v>0</v>
      </c>
      <c r="AF244" s="3">
        <v>0</v>
      </c>
      <c r="AG244" s="3">
        <v>0</v>
      </c>
      <c r="AH244" s="3">
        <v>0</v>
      </c>
      <c r="AI244" s="3" t="s">
        <v>106</v>
      </c>
      <c r="AJ244" s="3" t="s">
        <v>107</v>
      </c>
    </row>
    <row r="245" spans="1:36">
      <c r="A245" s="5">
        <v>43288</v>
      </c>
      <c r="B245" s="3" t="s">
        <v>1083</v>
      </c>
      <c r="C245" s="3" t="s">
        <v>1084</v>
      </c>
      <c r="D245" s="3" t="s">
        <v>1085</v>
      </c>
      <c r="E245" s="3" t="s">
        <v>1086</v>
      </c>
      <c r="F245" s="3" t="s">
        <v>84</v>
      </c>
      <c r="G245" s="3">
        <v>46</v>
      </c>
      <c r="H245" s="3">
        <v>0</v>
      </c>
      <c r="I245" s="3">
        <v>1</v>
      </c>
      <c r="J245" s="3">
        <v>1</v>
      </c>
      <c r="K245" s="3">
        <v>1</v>
      </c>
      <c r="L245" s="3">
        <v>43</v>
      </c>
      <c r="M245" s="3">
        <v>0</v>
      </c>
      <c r="N245" s="3" t="s">
        <v>85</v>
      </c>
      <c r="O245" s="3">
        <v>44</v>
      </c>
      <c r="P245" s="3">
        <v>61.65</v>
      </c>
      <c r="Q245" s="3">
        <v>0</v>
      </c>
      <c r="R245" s="3">
        <v>0</v>
      </c>
      <c r="S245" s="3">
        <v>0</v>
      </c>
      <c r="T245" s="3">
        <v>0</v>
      </c>
      <c r="U245" s="3">
        <v>1</v>
      </c>
      <c r="V245" s="3">
        <v>2</v>
      </c>
      <c r="W245" s="3" t="s">
        <v>93</v>
      </c>
      <c r="X245" s="3">
        <v>7.99</v>
      </c>
      <c r="Y245" s="3">
        <v>7.99</v>
      </c>
      <c r="Z245" s="3">
        <v>7.99</v>
      </c>
      <c r="AA245" s="3">
        <v>0</v>
      </c>
      <c r="AB245" s="3" t="s">
        <v>239</v>
      </c>
      <c r="AC245" s="3">
        <v>0</v>
      </c>
      <c r="AD245" s="3">
        <v>6.39</v>
      </c>
      <c r="AE245" s="3">
        <v>301</v>
      </c>
      <c r="AF245" s="3">
        <v>0</v>
      </c>
      <c r="AG245" s="3">
        <v>772.282478</v>
      </c>
      <c r="AH245" s="3">
        <v>0.043010752688172</v>
      </c>
      <c r="AI245" s="3" t="s">
        <v>328</v>
      </c>
      <c r="AJ245" s="3" t="s">
        <v>88</v>
      </c>
    </row>
    <row r="246" spans="1:36">
      <c r="A246" s="5">
        <v>43288</v>
      </c>
      <c r="B246" s="3" t="s">
        <v>1087</v>
      </c>
      <c r="C246" s="3" t="s">
        <v>1088</v>
      </c>
      <c r="D246" s="3" t="s">
        <v>1089</v>
      </c>
      <c r="E246" s="3" t="s">
        <v>1090</v>
      </c>
      <c r="F246" s="3" t="s">
        <v>84</v>
      </c>
      <c r="G246" s="3">
        <v>12</v>
      </c>
      <c r="H246" s="3">
        <v>0</v>
      </c>
      <c r="I246" s="3">
        <v>0</v>
      </c>
      <c r="J246" s="3">
        <v>12</v>
      </c>
      <c r="K246" s="3">
        <v>0</v>
      </c>
      <c r="L246" s="3">
        <v>0</v>
      </c>
      <c r="M246" s="3">
        <v>0</v>
      </c>
      <c r="N246" s="3" t="s">
        <v>85</v>
      </c>
      <c r="O246" s="3">
        <v>2</v>
      </c>
      <c r="P246" s="3">
        <v>0.16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 t="s">
        <v>100</v>
      </c>
      <c r="X246" s="3">
        <v>18.99</v>
      </c>
      <c r="Y246" s="3">
        <v>18.99</v>
      </c>
      <c r="Z246" s="3">
        <v>18.99</v>
      </c>
      <c r="AA246" s="3">
        <v>0</v>
      </c>
      <c r="AB246" s="3" t="s">
        <v>94</v>
      </c>
      <c r="AC246" s="3">
        <v>0</v>
      </c>
      <c r="AD246" s="3">
        <v>15.49</v>
      </c>
      <c r="AE246" s="3">
        <v>364</v>
      </c>
      <c r="AF246" s="3">
        <v>0</v>
      </c>
      <c r="AG246" s="3">
        <v>113.512266</v>
      </c>
      <c r="AH246" s="3">
        <v>0</v>
      </c>
      <c r="AI246" s="3" t="s">
        <v>262</v>
      </c>
      <c r="AJ246" s="3" t="s">
        <v>88</v>
      </c>
    </row>
    <row r="247" spans="1:36">
      <c r="A247" s="5">
        <v>43288</v>
      </c>
      <c r="B247" s="3" t="s">
        <v>1091</v>
      </c>
      <c r="C247" s="3" t="s">
        <v>1092</v>
      </c>
      <c r="D247" s="3" t="s">
        <v>1093</v>
      </c>
      <c r="E247" s="3" t="s">
        <v>1094</v>
      </c>
      <c r="F247" s="3" t="s">
        <v>84</v>
      </c>
      <c r="G247" s="3">
        <v>7</v>
      </c>
      <c r="H247" s="3">
        <v>0</v>
      </c>
      <c r="I247" s="3">
        <v>1</v>
      </c>
      <c r="J247" s="3">
        <v>6</v>
      </c>
      <c r="K247" s="3">
        <v>0</v>
      </c>
      <c r="L247" s="3">
        <v>0</v>
      </c>
      <c r="M247" s="3">
        <v>0</v>
      </c>
      <c r="N247" s="3" t="s">
        <v>85</v>
      </c>
      <c r="O247" s="3">
        <v>0</v>
      </c>
      <c r="P247" s="3">
        <v>0</v>
      </c>
      <c r="Q247" s="3">
        <v>0</v>
      </c>
      <c r="R247" s="3">
        <v>0</v>
      </c>
      <c r="S247" s="3">
        <v>1</v>
      </c>
      <c r="T247" s="3">
        <v>2</v>
      </c>
      <c r="U247" s="3">
        <v>2</v>
      </c>
      <c r="V247" s="3">
        <v>5</v>
      </c>
      <c r="W247" s="3"/>
      <c r="X247" s="3">
        <v>30.9</v>
      </c>
      <c r="Y247" s="3">
        <v>18.99</v>
      </c>
      <c r="Z247" s="3">
        <v>18.99</v>
      </c>
      <c r="AA247" s="3">
        <v>0</v>
      </c>
      <c r="AB247" s="3" t="s">
        <v>86</v>
      </c>
      <c r="AC247" s="3">
        <v>8</v>
      </c>
      <c r="AD247" s="3">
        <v>18.99</v>
      </c>
      <c r="AE247" s="3">
        <v>0</v>
      </c>
      <c r="AF247" s="3">
        <v>0</v>
      </c>
      <c r="AG247" s="3">
        <v>0</v>
      </c>
      <c r="AH247" s="3">
        <v>0.571428571428571</v>
      </c>
      <c r="AI247" s="3" t="s">
        <v>366</v>
      </c>
      <c r="AJ247" s="3" t="s">
        <v>88</v>
      </c>
    </row>
    <row r="248" spans="1:36">
      <c r="A248" s="5">
        <v>43288</v>
      </c>
      <c r="B248" s="3" t="s">
        <v>1095</v>
      </c>
      <c r="C248" s="3" t="s">
        <v>1096</v>
      </c>
      <c r="D248" s="3" t="s">
        <v>1097</v>
      </c>
      <c r="E248" s="3" t="s">
        <v>1098</v>
      </c>
      <c r="F248" s="3" t="s">
        <v>84</v>
      </c>
      <c r="G248" s="3">
        <v>1</v>
      </c>
      <c r="H248" s="3">
        <v>0</v>
      </c>
      <c r="I248" s="3">
        <v>0</v>
      </c>
      <c r="J248" s="3">
        <v>0</v>
      </c>
      <c r="K248" s="3">
        <v>0</v>
      </c>
      <c r="L248" s="3">
        <v>1</v>
      </c>
      <c r="M248" s="3">
        <v>0</v>
      </c>
      <c r="N248" s="3" t="s">
        <v>85</v>
      </c>
      <c r="O248" s="3">
        <v>0</v>
      </c>
      <c r="P248" s="3">
        <v>0</v>
      </c>
      <c r="Q248" s="3">
        <v>1</v>
      </c>
      <c r="R248" s="3">
        <v>0.5</v>
      </c>
      <c r="S248" s="3">
        <v>0</v>
      </c>
      <c r="T248" s="3">
        <v>0</v>
      </c>
      <c r="U248" s="3">
        <v>0</v>
      </c>
      <c r="V248" s="3">
        <v>0</v>
      </c>
      <c r="W248" s="3" t="s">
        <v>93</v>
      </c>
      <c r="X248" s="3">
        <v>4.99</v>
      </c>
      <c r="Y248" s="3">
        <v>4.99</v>
      </c>
      <c r="Z248" s="3">
        <v>4.99</v>
      </c>
      <c r="AA248" s="3">
        <v>0</v>
      </c>
      <c r="AB248" s="3" t="s">
        <v>86</v>
      </c>
      <c r="AC248" s="3">
        <v>1</v>
      </c>
      <c r="AD248" s="3">
        <v>4.99</v>
      </c>
      <c r="AE248" s="3">
        <v>0</v>
      </c>
      <c r="AF248" s="3">
        <v>0</v>
      </c>
      <c r="AG248" s="3">
        <v>0</v>
      </c>
      <c r="AH248" s="3">
        <v>0</v>
      </c>
      <c r="AI248" s="3" t="s">
        <v>106</v>
      </c>
      <c r="AJ248" s="3" t="s">
        <v>88</v>
      </c>
    </row>
    <row r="249" spans="1:36">
      <c r="A249" s="5">
        <v>43288</v>
      </c>
      <c r="B249" s="3" t="s">
        <v>1099</v>
      </c>
      <c r="C249" s="3" t="s">
        <v>1100</v>
      </c>
      <c r="D249" s="3" t="s">
        <v>1101</v>
      </c>
      <c r="E249" s="3" t="s">
        <v>1102</v>
      </c>
      <c r="F249" s="3" t="s">
        <v>84</v>
      </c>
      <c r="G249" s="3">
        <v>4</v>
      </c>
      <c r="H249" s="3">
        <v>0</v>
      </c>
      <c r="I249" s="3">
        <v>0</v>
      </c>
      <c r="J249" s="3">
        <v>0</v>
      </c>
      <c r="K249" s="3">
        <v>4</v>
      </c>
      <c r="L249" s="3">
        <v>0</v>
      </c>
      <c r="M249" s="3">
        <v>0</v>
      </c>
      <c r="N249" s="3" t="s">
        <v>85</v>
      </c>
      <c r="O249" s="3">
        <v>4</v>
      </c>
      <c r="P249" s="3">
        <v>25.34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100</v>
      </c>
      <c r="X249" s="3">
        <v>42.99</v>
      </c>
      <c r="Y249" s="3">
        <v>42.99</v>
      </c>
      <c r="Z249" s="3">
        <v>40.6</v>
      </c>
      <c r="AA249" s="3">
        <v>0</v>
      </c>
      <c r="AB249" s="3" t="s">
        <v>94</v>
      </c>
      <c r="AC249" s="3">
        <v>0</v>
      </c>
      <c r="AD249" s="3">
        <v>39.97</v>
      </c>
      <c r="AE249" s="3">
        <v>35</v>
      </c>
      <c r="AF249" s="3">
        <v>0</v>
      </c>
      <c r="AG249" s="3">
        <v>333.482839</v>
      </c>
      <c r="AH249" s="3">
        <v>0</v>
      </c>
      <c r="AI249" s="3" t="s">
        <v>285</v>
      </c>
      <c r="AJ249" s="3" t="s">
        <v>88</v>
      </c>
    </row>
    <row r="250" spans="1:36">
      <c r="A250" s="5">
        <v>43288</v>
      </c>
      <c r="B250" s="3" t="s">
        <v>1103</v>
      </c>
      <c r="C250" s="3" t="s">
        <v>1104</v>
      </c>
      <c r="D250" s="3" t="s">
        <v>1105</v>
      </c>
      <c r="E250" s="3" t="s">
        <v>1106</v>
      </c>
      <c r="F250" s="3" t="s">
        <v>84</v>
      </c>
      <c r="G250" s="3">
        <v>32</v>
      </c>
      <c r="H250" s="3">
        <v>0</v>
      </c>
      <c r="I250" s="3">
        <v>0</v>
      </c>
      <c r="J250" s="3">
        <v>0</v>
      </c>
      <c r="K250" s="3">
        <v>0</v>
      </c>
      <c r="L250" s="3">
        <v>32</v>
      </c>
      <c r="M250" s="3">
        <v>0</v>
      </c>
      <c r="N250" s="3" t="s">
        <v>85</v>
      </c>
      <c r="O250" s="3">
        <v>32</v>
      </c>
      <c r="P250" s="3">
        <v>44.83</v>
      </c>
      <c r="Q250" s="3">
        <v>0</v>
      </c>
      <c r="R250" s="3">
        <v>0</v>
      </c>
      <c r="S250" s="3">
        <v>0</v>
      </c>
      <c r="T250" s="3">
        <v>1</v>
      </c>
      <c r="U250" s="3">
        <v>1</v>
      </c>
      <c r="V250" s="3">
        <v>1</v>
      </c>
      <c r="W250" s="3" t="s">
        <v>93</v>
      </c>
      <c r="X250" s="3">
        <v>7.99</v>
      </c>
      <c r="Y250" s="3">
        <v>7.99</v>
      </c>
      <c r="Z250" s="3">
        <v>7.99</v>
      </c>
      <c r="AA250" s="3">
        <v>0</v>
      </c>
      <c r="AB250" s="3" t="s">
        <v>94</v>
      </c>
      <c r="AC250" s="3">
        <v>2</v>
      </c>
      <c r="AD250" s="3">
        <v>7.08</v>
      </c>
      <c r="AE250" s="3">
        <v>98</v>
      </c>
      <c r="AF250" s="3">
        <v>0</v>
      </c>
      <c r="AG250" s="3">
        <v>569.869432</v>
      </c>
      <c r="AH250" s="3">
        <v>0.0305343511450381</v>
      </c>
      <c r="AI250" s="3" t="s">
        <v>328</v>
      </c>
      <c r="AJ250" s="3" t="s">
        <v>88</v>
      </c>
    </row>
    <row r="251" spans="1:36">
      <c r="A251" s="5">
        <v>43288</v>
      </c>
      <c r="B251" s="3" t="s">
        <v>1107</v>
      </c>
      <c r="C251" s="3" t="s">
        <v>1108</v>
      </c>
      <c r="D251" s="3" t="s">
        <v>1109</v>
      </c>
      <c r="E251" s="3" t="s">
        <v>1110</v>
      </c>
      <c r="F251" s="3" t="s">
        <v>84</v>
      </c>
      <c r="G251" s="3">
        <v>1</v>
      </c>
      <c r="H251" s="3">
        <v>0</v>
      </c>
      <c r="I251" s="3">
        <v>0</v>
      </c>
      <c r="J251" s="3">
        <v>0</v>
      </c>
      <c r="K251" s="3">
        <v>0</v>
      </c>
      <c r="L251" s="3">
        <v>1</v>
      </c>
      <c r="M251" s="3">
        <v>0</v>
      </c>
      <c r="N251" s="3" t="s">
        <v>85</v>
      </c>
      <c r="O251" s="3">
        <v>0</v>
      </c>
      <c r="P251" s="3">
        <v>0</v>
      </c>
      <c r="Q251" s="3">
        <v>1</v>
      </c>
      <c r="R251" s="3">
        <v>0.5</v>
      </c>
      <c r="S251" s="3">
        <v>0</v>
      </c>
      <c r="T251" s="3">
        <v>0</v>
      </c>
      <c r="U251" s="3">
        <v>0</v>
      </c>
      <c r="V251" s="3">
        <v>0</v>
      </c>
      <c r="W251" s="3" t="s">
        <v>93</v>
      </c>
      <c r="X251" s="3">
        <v>5.63</v>
      </c>
      <c r="Y251" s="3">
        <v>5.63</v>
      </c>
      <c r="Z251" s="3">
        <v>5.63</v>
      </c>
      <c r="AA251" s="3">
        <v>0</v>
      </c>
      <c r="AB251" s="3" t="s">
        <v>86</v>
      </c>
      <c r="AC251" s="3">
        <v>1</v>
      </c>
      <c r="AD251" s="3">
        <v>5.63</v>
      </c>
      <c r="AE251" s="3">
        <v>0</v>
      </c>
      <c r="AF251" s="3">
        <v>0</v>
      </c>
      <c r="AG251" s="3">
        <v>0</v>
      </c>
      <c r="AH251" s="3">
        <v>0</v>
      </c>
      <c r="AI251" s="3" t="s">
        <v>106</v>
      </c>
      <c r="AJ251" s="3" t="s">
        <v>88</v>
      </c>
    </row>
    <row r="252" spans="1:36">
      <c r="A252" s="5">
        <v>43288</v>
      </c>
      <c r="B252" s="3" t="s">
        <v>1111</v>
      </c>
      <c r="C252" s="3" t="s">
        <v>1112</v>
      </c>
      <c r="D252" s="3" t="s">
        <v>1113</v>
      </c>
      <c r="E252" s="3" t="s">
        <v>1114</v>
      </c>
      <c r="F252" s="3" t="s">
        <v>84</v>
      </c>
      <c r="G252" s="3">
        <v>24</v>
      </c>
      <c r="H252" s="3">
        <v>0</v>
      </c>
      <c r="I252" s="3">
        <v>0</v>
      </c>
      <c r="J252" s="3">
        <v>1</v>
      </c>
      <c r="K252" s="3">
        <v>0</v>
      </c>
      <c r="L252" s="3">
        <v>23</v>
      </c>
      <c r="M252" s="3">
        <v>0</v>
      </c>
      <c r="N252" s="3" t="s">
        <v>85</v>
      </c>
      <c r="O252" s="3">
        <v>23</v>
      </c>
      <c r="P252" s="3">
        <v>13.31</v>
      </c>
      <c r="Q252" s="3">
        <v>0</v>
      </c>
      <c r="R252" s="3">
        <v>0</v>
      </c>
      <c r="S252" s="3">
        <v>1</v>
      </c>
      <c r="T252" s="3">
        <v>2</v>
      </c>
      <c r="U252" s="3">
        <v>3</v>
      </c>
      <c r="V252" s="3">
        <v>3</v>
      </c>
      <c r="W252" s="3" t="s">
        <v>100</v>
      </c>
      <c r="X252" s="3">
        <v>15.99</v>
      </c>
      <c r="Y252" s="3">
        <v>15.99</v>
      </c>
      <c r="Z252" s="3">
        <v>15.99</v>
      </c>
      <c r="AA252" s="3">
        <v>0</v>
      </c>
      <c r="AB252" s="3" t="s">
        <v>86</v>
      </c>
      <c r="AC252" s="3">
        <v>20</v>
      </c>
      <c r="AD252" s="3">
        <v>19.35</v>
      </c>
      <c r="AE252" s="3">
        <v>91</v>
      </c>
      <c r="AF252" s="3">
        <v>0</v>
      </c>
      <c r="AG252" s="3">
        <v>1.152011</v>
      </c>
      <c r="AH252" s="3">
        <v>0.115384615384615</v>
      </c>
      <c r="AI252" s="3" t="s">
        <v>1115</v>
      </c>
      <c r="AJ252" s="3" t="s">
        <v>107</v>
      </c>
    </row>
    <row r="253" spans="1:36">
      <c r="A253" s="5">
        <v>43288</v>
      </c>
      <c r="B253" s="3" t="s">
        <v>1116</v>
      </c>
      <c r="C253" s="3" t="s">
        <v>1117</v>
      </c>
      <c r="D253" s="3" t="s">
        <v>1118</v>
      </c>
      <c r="E253" s="3" t="s">
        <v>1119</v>
      </c>
      <c r="F253" s="3" t="s">
        <v>84</v>
      </c>
      <c r="G253" s="3">
        <v>2</v>
      </c>
      <c r="H253" s="3">
        <v>0</v>
      </c>
      <c r="I253" s="3">
        <v>0</v>
      </c>
      <c r="J253" s="3">
        <v>0</v>
      </c>
      <c r="K253" s="3">
        <v>2</v>
      </c>
      <c r="L253" s="3">
        <v>0</v>
      </c>
      <c r="M253" s="3">
        <v>0</v>
      </c>
      <c r="N253" s="3" t="s">
        <v>85</v>
      </c>
      <c r="O253" s="3">
        <v>2</v>
      </c>
      <c r="P253" s="3">
        <v>12.66</v>
      </c>
      <c r="Q253" s="3">
        <v>0</v>
      </c>
      <c r="R253" s="3">
        <v>0</v>
      </c>
      <c r="S253" s="3">
        <v>0</v>
      </c>
      <c r="T253" s="3">
        <v>0</v>
      </c>
      <c r="U253" s="3">
        <v>0</v>
      </c>
      <c r="V253" s="3">
        <v>0</v>
      </c>
      <c r="W253" s="3" t="s">
        <v>100</v>
      </c>
      <c r="X253" s="3">
        <v>42.99</v>
      </c>
      <c r="Y253" s="3">
        <v>42.99</v>
      </c>
      <c r="Z253" s="3">
        <v>42.99</v>
      </c>
      <c r="AA253" s="3">
        <v>0</v>
      </c>
      <c r="AB253" s="3" t="s">
        <v>94</v>
      </c>
      <c r="AC253" s="3">
        <v>0</v>
      </c>
      <c r="AD253" s="3">
        <v>37.96</v>
      </c>
      <c r="AE253" s="3">
        <v>126</v>
      </c>
      <c r="AF253" s="3">
        <v>0</v>
      </c>
      <c r="AG253" s="3">
        <v>152.476002</v>
      </c>
      <c r="AH253" s="3">
        <v>0</v>
      </c>
      <c r="AI253" s="3" t="s">
        <v>135</v>
      </c>
      <c r="AJ253" s="3" t="s">
        <v>612</v>
      </c>
    </row>
    <row r="254" spans="1:36">
      <c r="A254" s="5">
        <v>43288</v>
      </c>
      <c r="B254" s="3" t="s">
        <v>1120</v>
      </c>
      <c r="C254" s="3" t="s">
        <v>1121</v>
      </c>
      <c r="D254" s="3" t="s">
        <v>1122</v>
      </c>
      <c r="E254" s="3" t="s">
        <v>1123</v>
      </c>
      <c r="F254" s="3" t="s">
        <v>84</v>
      </c>
      <c r="G254" s="3">
        <v>5</v>
      </c>
      <c r="H254" s="3">
        <v>0</v>
      </c>
      <c r="I254" s="3">
        <v>1</v>
      </c>
      <c r="J254" s="3">
        <v>4</v>
      </c>
      <c r="K254" s="3">
        <v>0</v>
      </c>
      <c r="L254" s="3">
        <v>0</v>
      </c>
      <c r="M254" s="3">
        <v>0</v>
      </c>
      <c r="N254" s="3" t="s">
        <v>85</v>
      </c>
      <c r="O254" s="3">
        <v>4</v>
      </c>
      <c r="P254" s="3">
        <v>35.15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1</v>
      </c>
      <c r="W254" s="3" t="s">
        <v>100</v>
      </c>
      <c r="X254" s="3">
        <v>42.99</v>
      </c>
      <c r="Y254" s="3">
        <v>42.99</v>
      </c>
      <c r="Z254" s="3">
        <v>40.04</v>
      </c>
      <c r="AA254" s="3">
        <v>0</v>
      </c>
      <c r="AB254" s="3" t="s">
        <v>94</v>
      </c>
      <c r="AC254" s="3">
        <v>0</v>
      </c>
      <c r="AD254" s="3">
        <v>36.82</v>
      </c>
      <c r="AE254" s="3">
        <v>119</v>
      </c>
      <c r="AF254" s="3">
        <v>0</v>
      </c>
      <c r="AG254" s="3">
        <v>495.043158</v>
      </c>
      <c r="AH254" s="3">
        <v>0.17391304347826</v>
      </c>
      <c r="AI254" s="3" t="s">
        <v>308</v>
      </c>
      <c r="AJ254" s="3" t="s">
        <v>88</v>
      </c>
    </row>
    <row r="255" spans="1:36">
      <c r="A255" s="5">
        <v>43288</v>
      </c>
      <c r="B255" s="3" t="s">
        <v>1124</v>
      </c>
      <c r="C255" s="3" t="s">
        <v>1125</v>
      </c>
      <c r="D255" s="3" t="s">
        <v>1126</v>
      </c>
      <c r="E255" s="3" t="s">
        <v>1127</v>
      </c>
      <c r="F255" s="3" t="s">
        <v>84</v>
      </c>
      <c r="G255" s="3">
        <v>2</v>
      </c>
      <c r="H255" s="3">
        <v>0</v>
      </c>
      <c r="I255" s="3">
        <v>0</v>
      </c>
      <c r="J255" s="3">
        <v>0</v>
      </c>
      <c r="K255" s="3">
        <v>0</v>
      </c>
      <c r="L255" s="3">
        <v>2</v>
      </c>
      <c r="M255" s="3">
        <v>0</v>
      </c>
      <c r="N255" s="3" t="s">
        <v>85</v>
      </c>
      <c r="O255" s="3">
        <v>0</v>
      </c>
      <c r="P255" s="3">
        <v>0</v>
      </c>
      <c r="Q255" s="3">
        <v>2</v>
      </c>
      <c r="R255" s="3">
        <v>1</v>
      </c>
      <c r="S255" s="3">
        <v>0</v>
      </c>
      <c r="T255" s="3">
        <v>0</v>
      </c>
      <c r="U255" s="3">
        <v>0</v>
      </c>
      <c r="V255" s="3">
        <v>0</v>
      </c>
      <c r="W255" s="3" t="s">
        <v>93</v>
      </c>
      <c r="X255" s="3">
        <v>66.9</v>
      </c>
      <c r="Y255" s="3">
        <v>66.9</v>
      </c>
      <c r="Z255" s="3">
        <v>66.9</v>
      </c>
      <c r="AA255" s="3">
        <v>0</v>
      </c>
      <c r="AB255" s="3" t="s">
        <v>94</v>
      </c>
      <c r="AC255" s="3">
        <v>0</v>
      </c>
      <c r="AD255" s="3">
        <v>53.52</v>
      </c>
      <c r="AE255" s="3">
        <v>63</v>
      </c>
      <c r="AF255" s="3">
        <v>0</v>
      </c>
      <c r="AG255" s="3">
        <v>12.923916</v>
      </c>
      <c r="AH255" s="3">
        <v>0</v>
      </c>
      <c r="AI255" s="3" t="s">
        <v>95</v>
      </c>
      <c r="AJ255" s="3" t="s">
        <v>88</v>
      </c>
    </row>
    <row r="256" spans="1:36">
      <c r="A256" s="5">
        <v>43288</v>
      </c>
      <c r="B256" s="3" t="s">
        <v>1128</v>
      </c>
      <c r="C256" s="3" t="s">
        <v>1129</v>
      </c>
      <c r="D256" s="3" t="s">
        <v>1130</v>
      </c>
      <c r="E256" s="3" t="s">
        <v>1131</v>
      </c>
      <c r="F256" s="3" t="s">
        <v>84</v>
      </c>
      <c r="G256" s="3">
        <v>3</v>
      </c>
      <c r="H256" s="3">
        <v>0</v>
      </c>
      <c r="I256" s="3">
        <v>0</v>
      </c>
      <c r="J256" s="3">
        <v>0</v>
      </c>
      <c r="K256" s="3">
        <v>0</v>
      </c>
      <c r="L256" s="3">
        <v>3</v>
      </c>
      <c r="M256" s="3">
        <v>0</v>
      </c>
      <c r="N256" s="3" t="s">
        <v>85</v>
      </c>
      <c r="O256" s="3">
        <v>1</v>
      </c>
      <c r="P256" s="3">
        <v>2.17</v>
      </c>
      <c r="Q256" s="3">
        <v>2</v>
      </c>
      <c r="R256" s="3">
        <v>8.68</v>
      </c>
      <c r="S256" s="3">
        <v>0</v>
      </c>
      <c r="T256" s="3">
        <v>0</v>
      </c>
      <c r="U256" s="3">
        <v>0</v>
      </c>
      <c r="V256" s="3">
        <v>0</v>
      </c>
      <c r="W256" s="3" t="s">
        <v>93</v>
      </c>
      <c r="X256" s="3">
        <v>12.9</v>
      </c>
      <c r="Y256" s="3">
        <v>12.9</v>
      </c>
      <c r="Z256" s="3">
        <v>12.9</v>
      </c>
      <c r="AA256" s="3">
        <v>0</v>
      </c>
      <c r="AB256" s="3" t="s">
        <v>94</v>
      </c>
      <c r="AC256" s="3">
        <v>0</v>
      </c>
      <c r="AD256" s="3">
        <v>10.32</v>
      </c>
      <c r="AE256" s="3">
        <v>63</v>
      </c>
      <c r="AF256" s="3">
        <v>0</v>
      </c>
      <c r="AG256" s="3">
        <v>82.942851</v>
      </c>
      <c r="AH256" s="3">
        <v>0</v>
      </c>
      <c r="AI256" s="3" t="s">
        <v>1132</v>
      </c>
      <c r="AJ256" s="3" t="s">
        <v>88</v>
      </c>
    </row>
    <row r="257" spans="1:36">
      <c r="A257" s="5">
        <v>43288</v>
      </c>
      <c r="B257" s="3" t="s">
        <v>1133</v>
      </c>
      <c r="C257" s="3" t="s">
        <v>1134</v>
      </c>
      <c r="D257" s="3" t="s">
        <v>1135</v>
      </c>
      <c r="E257" s="3" t="s">
        <v>1136</v>
      </c>
      <c r="F257" s="3" t="s">
        <v>84</v>
      </c>
      <c r="G257" s="3">
        <v>1</v>
      </c>
      <c r="H257" s="3">
        <v>0</v>
      </c>
      <c r="I257" s="3">
        <v>0</v>
      </c>
      <c r="J257" s="3">
        <v>0</v>
      </c>
      <c r="K257" s="3">
        <v>0</v>
      </c>
      <c r="L257" s="3">
        <v>1</v>
      </c>
      <c r="M257" s="3">
        <v>0</v>
      </c>
      <c r="N257" s="3" t="s">
        <v>85</v>
      </c>
      <c r="O257" s="3">
        <v>1</v>
      </c>
      <c r="P257" s="3">
        <v>1.05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1</v>
      </c>
      <c r="W257" s="3" t="s">
        <v>93</v>
      </c>
      <c r="X257" s="3">
        <v>17.9</v>
      </c>
      <c r="Y257" s="3">
        <v>17.9</v>
      </c>
      <c r="Z257" s="3">
        <v>17.9</v>
      </c>
      <c r="AA257" s="3">
        <v>0</v>
      </c>
      <c r="AB257" s="3" t="s">
        <v>86</v>
      </c>
      <c r="AC257" s="3">
        <v>1</v>
      </c>
      <c r="AD257" s="3">
        <v>17.9</v>
      </c>
      <c r="AE257" s="3">
        <v>0</v>
      </c>
      <c r="AF257" s="3">
        <v>0</v>
      </c>
      <c r="AG257" s="3">
        <v>0</v>
      </c>
      <c r="AH257" s="3">
        <v>0.8</v>
      </c>
      <c r="AI257" s="3" t="s">
        <v>850</v>
      </c>
      <c r="AJ257" s="3" t="s">
        <v>88</v>
      </c>
    </row>
    <row r="258" spans="1:36">
      <c r="A258" s="5">
        <v>43288</v>
      </c>
      <c r="B258" s="3" t="s">
        <v>1137</v>
      </c>
      <c r="C258" s="3" t="s">
        <v>1138</v>
      </c>
      <c r="D258" s="3" t="s">
        <v>1139</v>
      </c>
      <c r="E258" s="3" t="s">
        <v>1140</v>
      </c>
      <c r="F258" s="3" t="s">
        <v>84</v>
      </c>
      <c r="G258" s="3">
        <v>11</v>
      </c>
      <c r="H258" s="3">
        <v>0</v>
      </c>
      <c r="I258" s="3">
        <v>0</v>
      </c>
      <c r="J258" s="3">
        <v>11</v>
      </c>
      <c r="K258" s="3">
        <v>0</v>
      </c>
      <c r="L258" s="3">
        <v>0</v>
      </c>
      <c r="M258" s="3">
        <v>0</v>
      </c>
      <c r="N258" s="3" t="s">
        <v>85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2</v>
      </c>
      <c r="U258" s="3">
        <v>2</v>
      </c>
      <c r="V258" s="3">
        <v>3</v>
      </c>
      <c r="W258" s="3" t="s">
        <v>93</v>
      </c>
      <c r="X258" s="3">
        <v>16.99</v>
      </c>
      <c r="Y258" s="3">
        <v>16.99</v>
      </c>
      <c r="Z258" s="3">
        <v>16.99</v>
      </c>
      <c r="AA258" s="3">
        <v>0</v>
      </c>
      <c r="AB258" s="3" t="s">
        <v>239</v>
      </c>
      <c r="AC258" s="3">
        <v>11</v>
      </c>
      <c r="AD258" s="3">
        <v>16.99</v>
      </c>
      <c r="AE258" s="3">
        <v>0</v>
      </c>
      <c r="AF258" s="3">
        <v>0</v>
      </c>
      <c r="AG258" s="3">
        <v>0</v>
      </c>
      <c r="AH258" s="3">
        <v>0.235294117647058</v>
      </c>
      <c r="AI258" s="3" t="s">
        <v>240</v>
      </c>
      <c r="AJ258" s="3" t="s">
        <v>88</v>
      </c>
    </row>
    <row r="259" spans="1:36">
      <c r="A259" s="5">
        <v>43288</v>
      </c>
      <c r="B259" s="3" t="s">
        <v>1141</v>
      </c>
      <c r="C259" s="3" t="s">
        <v>1142</v>
      </c>
      <c r="D259" s="3" t="s">
        <v>1143</v>
      </c>
      <c r="E259" s="3" t="s">
        <v>1144</v>
      </c>
      <c r="F259" s="3" t="s">
        <v>84</v>
      </c>
      <c r="G259" s="3">
        <v>15</v>
      </c>
      <c r="H259" s="3">
        <v>0</v>
      </c>
      <c r="I259" s="3">
        <v>1</v>
      </c>
      <c r="J259" s="3">
        <v>14</v>
      </c>
      <c r="K259" s="3">
        <v>0</v>
      </c>
      <c r="L259" s="3">
        <v>0</v>
      </c>
      <c r="M259" s="3">
        <v>0</v>
      </c>
      <c r="N259" s="3" t="s">
        <v>85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1</v>
      </c>
      <c r="U259" s="3">
        <v>2</v>
      </c>
      <c r="V259" s="3">
        <v>3</v>
      </c>
      <c r="W259" s="3"/>
      <c r="X259" s="3">
        <v>18.99</v>
      </c>
      <c r="Y259" s="3">
        <v>18.99</v>
      </c>
      <c r="Z259" s="3">
        <v>18.99</v>
      </c>
      <c r="AA259" s="3">
        <v>0</v>
      </c>
      <c r="AB259" s="3" t="s">
        <v>86</v>
      </c>
      <c r="AC259" s="3">
        <v>15</v>
      </c>
      <c r="AD259" s="3">
        <v>18.99</v>
      </c>
      <c r="AE259" s="3">
        <v>0</v>
      </c>
      <c r="AF259" s="3">
        <v>0</v>
      </c>
      <c r="AG259" s="3">
        <v>0</v>
      </c>
      <c r="AH259" s="3">
        <v>0.19047619047619</v>
      </c>
      <c r="AI259" s="3" t="s">
        <v>262</v>
      </c>
      <c r="AJ259" s="3" t="s">
        <v>88</v>
      </c>
    </row>
    <row r="260" spans="1:36">
      <c r="A260" s="5">
        <v>43288</v>
      </c>
      <c r="B260" s="3" t="s">
        <v>1145</v>
      </c>
      <c r="C260" s="3" t="s">
        <v>1146</v>
      </c>
      <c r="D260" s="3" t="s">
        <v>1147</v>
      </c>
      <c r="E260" s="3" t="s">
        <v>1148</v>
      </c>
      <c r="F260" s="3" t="s">
        <v>84</v>
      </c>
      <c r="G260" s="3">
        <v>1</v>
      </c>
      <c r="H260" s="3">
        <v>0</v>
      </c>
      <c r="I260" s="3">
        <v>0</v>
      </c>
      <c r="J260" s="3">
        <v>0</v>
      </c>
      <c r="K260" s="3">
        <v>0</v>
      </c>
      <c r="L260" s="3">
        <v>1</v>
      </c>
      <c r="M260" s="3">
        <v>0</v>
      </c>
      <c r="N260" s="3" t="s">
        <v>85</v>
      </c>
      <c r="O260" s="3">
        <v>1</v>
      </c>
      <c r="P260" s="3">
        <v>1.33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93</v>
      </c>
      <c r="X260" s="3">
        <v>17.9</v>
      </c>
      <c r="Y260" s="3">
        <v>17.9</v>
      </c>
      <c r="Z260" s="3">
        <v>17.9</v>
      </c>
      <c r="AA260" s="3">
        <v>0</v>
      </c>
      <c r="AB260" s="3" t="s">
        <v>94</v>
      </c>
      <c r="AC260" s="3">
        <v>0</v>
      </c>
      <c r="AD260" s="3">
        <v>14.32</v>
      </c>
      <c r="AE260" s="3">
        <v>63</v>
      </c>
      <c r="AF260" s="3">
        <v>0</v>
      </c>
      <c r="AG260" s="3">
        <v>15.828142</v>
      </c>
      <c r="AH260" s="3">
        <v>0</v>
      </c>
      <c r="AI260" s="3" t="s">
        <v>595</v>
      </c>
      <c r="AJ260" s="3" t="s">
        <v>88</v>
      </c>
    </row>
    <row r="261" spans="1:36">
      <c r="A261" s="5">
        <v>43288</v>
      </c>
      <c r="B261" s="3" t="s">
        <v>1149</v>
      </c>
      <c r="C261" s="3" t="s">
        <v>1150</v>
      </c>
      <c r="D261" s="3" t="s">
        <v>1151</v>
      </c>
      <c r="E261" s="3" t="s">
        <v>1152</v>
      </c>
      <c r="F261" s="3" t="s">
        <v>84</v>
      </c>
      <c r="G261" s="3">
        <v>2</v>
      </c>
      <c r="H261" s="3">
        <v>0</v>
      </c>
      <c r="I261" s="3">
        <v>0</v>
      </c>
      <c r="J261" s="3">
        <v>1</v>
      </c>
      <c r="K261" s="3">
        <v>1</v>
      </c>
      <c r="L261" s="3">
        <v>0</v>
      </c>
      <c r="M261" s="3">
        <v>0</v>
      </c>
      <c r="N261" s="3" t="s">
        <v>85</v>
      </c>
      <c r="O261" s="3">
        <v>1</v>
      </c>
      <c r="P261" s="3">
        <v>12.48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 t="s">
        <v>100</v>
      </c>
      <c r="X261" s="3">
        <v>42.99</v>
      </c>
      <c r="Y261" s="3">
        <v>42.99</v>
      </c>
      <c r="Z261" s="3">
        <v>42.99</v>
      </c>
      <c r="AA261" s="3">
        <v>0</v>
      </c>
      <c r="AB261" s="3" t="s">
        <v>94</v>
      </c>
      <c r="AC261" s="3">
        <v>1</v>
      </c>
      <c r="AD261" s="3">
        <v>39.87</v>
      </c>
      <c r="AE261" s="3">
        <v>28</v>
      </c>
      <c r="AF261" s="3">
        <v>0</v>
      </c>
      <c r="AG261" s="3">
        <v>267.079371</v>
      </c>
      <c r="AH261" s="3">
        <v>0</v>
      </c>
      <c r="AI261" s="3" t="s">
        <v>216</v>
      </c>
      <c r="AJ261" s="3" t="s">
        <v>612</v>
      </c>
    </row>
    <row r="262" spans="1:36">
      <c r="A262" s="5">
        <v>43288</v>
      </c>
      <c r="B262" s="3" t="s">
        <v>1153</v>
      </c>
      <c r="C262" s="3" t="s">
        <v>1154</v>
      </c>
      <c r="D262" s="3" t="s">
        <v>1155</v>
      </c>
      <c r="E262" s="3" t="s">
        <v>1156</v>
      </c>
      <c r="F262" s="3" t="s">
        <v>84</v>
      </c>
      <c r="G262" s="3">
        <v>5</v>
      </c>
      <c r="H262" s="3">
        <v>0</v>
      </c>
      <c r="I262" s="3">
        <v>0</v>
      </c>
      <c r="J262" s="3">
        <v>0</v>
      </c>
      <c r="K262" s="3">
        <v>5</v>
      </c>
      <c r="L262" s="3">
        <v>0</v>
      </c>
      <c r="M262" s="3">
        <v>0</v>
      </c>
      <c r="N262" s="3" t="s">
        <v>85</v>
      </c>
      <c r="O262" s="3">
        <v>5</v>
      </c>
      <c r="P262" s="3">
        <v>7.37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 t="s">
        <v>93</v>
      </c>
      <c r="X262" s="3">
        <v>20.9</v>
      </c>
      <c r="Y262" s="3">
        <v>20.9</v>
      </c>
      <c r="Z262" s="3">
        <v>20.9</v>
      </c>
      <c r="AA262" s="3">
        <v>0</v>
      </c>
      <c r="AB262" s="3" t="s">
        <v>94</v>
      </c>
      <c r="AC262" s="3">
        <v>0</v>
      </c>
      <c r="AD262" s="3">
        <v>16.72</v>
      </c>
      <c r="AE262" s="3">
        <v>63</v>
      </c>
      <c r="AF262" s="3">
        <v>0</v>
      </c>
      <c r="AG262" s="3">
        <v>92.714572</v>
      </c>
      <c r="AH262" s="3">
        <v>0</v>
      </c>
      <c r="AI262" s="3" t="s">
        <v>1157</v>
      </c>
      <c r="AJ262" s="3" t="s">
        <v>88</v>
      </c>
    </row>
    <row r="263" spans="1:36">
      <c r="A263" s="5">
        <v>43288</v>
      </c>
      <c r="B263" s="3" t="s">
        <v>1158</v>
      </c>
      <c r="C263" s="3" t="s">
        <v>1159</v>
      </c>
      <c r="D263" s="3" t="s">
        <v>1160</v>
      </c>
      <c r="E263" s="3" t="s">
        <v>1161</v>
      </c>
      <c r="F263" s="3" t="s">
        <v>84</v>
      </c>
      <c r="G263" s="3">
        <v>2</v>
      </c>
      <c r="H263" s="3">
        <v>0</v>
      </c>
      <c r="I263" s="3">
        <v>0</v>
      </c>
      <c r="J263" s="3">
        <v>0</v>
      </c>
      <c r="K263" s="3">
        <v>0</v>
      </c>
      <c r="L263" s="3">
        <v>2</v>
      </c>
      <c r="M263" s="3">
        <v>0</v>
      </c>
      <c r="N263" s="3" t="s">
        <v>85</v>
      </c>
      <c r="O263" s="3">
        <v>0</v>
      </c>
      <c r="P263" s="3">
        <v>0</v>
      </c>
      <c r="Q263" s="3">
        <v>2</v>
      </c>
      <c r="R263" s="3">
        <v>1</v>
      </c>
      <c r="S263" s="3">
        <v>0</v>
      </c>
      <c r="T263" s="3">
        <v>0</v>
      </c>
      <c r="U263" s="3">
        <v>0</v>
      </c>
      <c r="V263" s="3">
        <v>0</v>
      </c>
      <c r="W263" s="3" t="s">
        <v>93</v>
      </c>
      <c r="X263" s="3">
        <v>4.66</v>
      </c>
      <c r="Y263" s="3">
        <v>4.66</v>
      </c>
      <c r="Z263" s="3">
        <v>4.66</v>
      </c>
      <c r="AA263" s="3">
        <v>0</v>
      </c>
      <c r="AB263" s="3" t="s">
        <v>86</v>
      </c>
      <c r="AC263" s="3">
        <v>2</v>
      </c>
      <c r="AD263" s="3">
        <v>4.66</v>
      </c>
      <c r="AE263" s="3">
        <v>0</v>
      </c>
      <c r="AF263" s="3">
        <v>0</v>
      </c>
      <c r="AG263" s="3">
        <v>0</v>
      </c>
      <c r="AH263" s="3">
        <v>0</v>
      </c>
      <c r="AI263" s="3" t="s">
        <v>106</v>
      </c>
      <c r="AJ263" s="3" t="s">
        <v>88</v>
      </c>
    </row>
    <row r="264" spans="1:36">
      <c r="A264" s="5">
        <v>43288</v>
      </c>
      <c r="B264" s="3" t="s">
        <v>1162</v>
      </c>
      <c r="C264" s="3" t="s">
        <v>1163</v>
      </c>
      <c r="D264" s="3" t="s">
        <v>1164</v>
      </c>
      <c r="E264" s="3" t="s">
        <v>1165</v>
      </c>
      <c r="F264" s="3" t="s">
        <v>84</v>
      </c>
      <c r="G264" s="3">
        <v>3</v>
      </c>
      <c r="H264" s="3">
        <v>0</v>
      </c>
      <c r="I264" s="3">
        <v>0</v>
      </c>
      <c r="J264" s="3">
        <v>0</v>
      </c>
      <c r="K264" s="3">
        <v>0</v>
      </c>
      <c r="L264" s="3">
        <v>3</v>
      </c>
      <c r="M264" s="3">
        <v>0</v>
      </c>
      <c r="N264" s="3" t="s">
        <v>85</v>
      </c>
      <c r="O264" s="3">
        <v>1</v>
      </c>
      <c r="P264" s="3">
        <v>1.52</v>
      </c>
      <c r="Q264" s="3">
        <v>2</v>
      </c>
      <c r="R264" s="3">
        <v>6.08</v>
      </c>
      <c r="S264" s="3">
        <v>0</v>
      </c>
      <c r="T264" s="3">
        <v>0</v>
      </c>
      <c r="U264" s="3">
        <v>0</v>
      </c>
      <c r="V264" s="3">
        <v>0</v>
      </c>
      <c r="W264" s="3" t="s">
        <v>100</v>
      </c>
      <c r="X264" s="3">
        <v>13.9</v>
      </c>
      <c r="Y264" s="3">
        <v>13.9</v>
      </c>
      <c r="Z264" s="3">
        <v>13.9</v>
      </c>
      <c r="AA264" s="3">
        <v>0</v>
      </c>
      <c r="AB264" s="3" t="s">
        <v>94</v>
      </c>
      <c r="AC264" s="3">
        <v>0</v>
      </c>
      <c r="AD264" s="3">
        <v>11.27</v>
      </c>
      <c r="AE264" s="3">
        <v>203</v>
      </c>
      <c r="AF264" s="3">
        <v>0</v>
      </c>
      <c r="AG264" s="3">
        <v>62.967747</v>
      </c>
      <c r="AH264" s="3">
        <v>0</v>
      </c>
      <c r="AI264" s="3" t="s">
        <v>1166</v>
      </c>
      <c r="AJ264" s="3" t="s">
        <v>88</v>
      </c>
    </row>
    <row r="265" spans="1:36">
      <c r="A265" s="5">
        <v>43288</v>
      </c>
      <c r="B265" s="3" t="s">
        <v>1167</v>
      </c>
      <c r="C265" s="3" t="s">
        <v>1168</v>
      </c>
      <c r="D265" s="3" t="s">
        <v>1169</v>
      </c>
      <c r="E265" s="3" t="s">
        <v>1170</v>
      </c>
      <c r="F265" s="3" t="s">
        <v>84</v>
      </c>
      <c r="G265" s="3">
        <v>2</v>
      </c>
      <c r="H265" s="3">
        <v>0</v>
      </c>
      <c r="I265" s="3">
        <v>1</v>
      </c>
      <c r="J265" s="3">
        <v>1</v>
      </c>
      <c r="K265" s="3">
        <v>0</v>
      </c>
      <c r="L265" s="3">
        <v>0</v>
      </c>
      <c r="M265" s="3">
        <v>0</v>
      </c>
      <c r="N265" s="3" t="s">
        <v>85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3</v>
      </c>
      <c r="U265" s="3">
        <v>6</v>
      </c>
      <c r="V265" s="3">
        <v>9</v>
      </c>
      <c r="W265" s="3"/>
      <c r="X265" s="3">
        <v>9.99</v>
      </c>
      <c r="Y265" s="3">
        <v>9.99</v>
      </c>
      <c r="Z265" s="3">
        <v>9.99</v>
      </c>
      <c r="AA265" s="3">
        <v>0</v>
      </c>
      <c r="AB265" s="3" t="s">
        <v>86</v>
      </c>
      <c r="AC265" s="3">
        <v>2</v>
      </c>
      <c r="AD265" s="3">
        <v>9.99</v>
      </c>
      <c r="AE265" s="3">
        <v>0</v>
      </c>
      <c r="AF265" s="3">
        <v>0</v>
      </c>
      <c r="AG265" s="3">
        <v>0</v>
      </c>
      <c r="AH265" s="3">
        <v>1.5</v>
      </c>
      <c r="AI265" s="3" t="s">
        <v>101</v>
      </c>
      <c r="AJ265" s="3" t="s">
        <v>88</v>
      </c>
    </row>
    <row r="266" spans="1:36">
      <c r="A266" s="5">
        <v>43288</v>
      </c>
      <c r="B266" s="3" t="s">
        <v>1171</v>
      </c>
      <c r="C266" s="3" t="s">
        <v>1172</v>
      </c>
      <c r="D266" s="3" t="s">
        <v>1173</v>
      </c>
      <c r="E266" s="3" t="s">
        <v>1174</v>
      </c>
      <c r="F266" s="3" t="s">
        <v>84</v>
      </c>
      <c r="G266" s="3">
        <v>46</v>
      </c>
      <c r="H266" s="3">
        <v>0</v>
      </c>
      <c r="I266" s="3">
        <v>0</v>
      </c>
      <c r="J266" s="3">
        <v>1</v>
      </c>
      <c r="K266" s="3">
        <v>1</v>
      </c>
      <c r="L266" s="3">
        <v>44</v>
      </c>
      <c r="M266" s="3">
        <v>0</v>
      </c>
      <c r="N266" s="3" t="s">
        <v>85</v>
      </c>
      <c r="O266" s="3">
        <v>45</v>
      </c>
      <c r="P266" s="3">
        <v>63.05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1</v>
      </c>
      <c r="W266" s="3" t="s">
        <v>93</v>
      </c>
      <c r="X266" s="3">
        <v>7.79</v>
      </c>
      <c r="Y266" s="3">
        <v>7.79</v>
      </c>
      <c r="Z266" s="3">
        <v>7.79</v>
      </c>
      <c r="AA266" s="3">
        <v>0</v>
      </c>
      <c r="AB266" s="3" t="s">
        <v>239</v>
      </c>
      <c r="AC266" s="3">
        <v>0</v>
      </c>
      <c r="AD266" s="3">
        <v>6.7</v>
      </c>
      <c r="AE266" s="3">
        <v>238</v>
      </c>
      <c r="AF266" s="3">
        <v>0</v>
      </c>
      <c r="AG266" s="3">
        <v>775.733044</v>
      </c>
      <c r="AH266" s="3">
        <v>0.0216216216216216</v>
      </c>
      <c r="AI266" s="3" t="s">
        <v>328</v>
      </c>
      <c r="AJ266" s="3" t="s">
        <v>88</v>
      </c>
    </row>
    <row r="267" spans="1:36">
      <c r="A267" s="5">
        <v>43288</v>
      </c>
      <c r="B267" s="3" t="s">
        <v>1175</v>
      </c>
      <c r="C267" s="3" t="s">
        <v>1176</v>
      </c>
      <c r="D267" s="3" t="s">
        <v>1177</v>
      </c>
      <c r="E267" s="3" t="s">
        <v>1178</v>
      </c>
      <c r="F267" s="3" t="s">
        <v>84</v>
      </c>
      <c r="G267" s="3">
        <v>21</v>
      </c>
      <c r="H267" s="3">
        <v>0</v>
      </c>
      <c r="I267" s="3">
        <v>0</v>
      </c>
      <c r="J267" s="3">
        <v>0</v>
      </c>
      <c r="K267" s="3">
        <v>0</v>
      </c>
      <c r="L267" s="3">
        <v>21</v>
      </c>
      <c r="M267" s="3">
        <v>0</v>
      </c>
      <c r="N267" s="3" t="s">
        <v>85</v>
      </c>
      <c r="O267" s="3">
        <v>21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 t="s">
        <v>100</v>
      </c>
      <c r="X267" s="3">
        <v>13.9</v>
      </c>
      <c r="Y267" s="3">
        <v>13.9</v>
      </c>
      <c r="Z267" s="3">
        <v>13.9</v>
      </c>
      <c r="AA267" s="3">
        <v>0</v>
      </c>
      <c r="AB267" s="3" t="s">
        <v>86</v>
      </c>
      <c r="AC267" s="3">
        <v>21</v>
      </c>
      <c r="AD267" s="3">
        <v>13.9</v>
      </c>
      <c r="AE267" s="3">
        <v>0</v>
      </c>
      <c r="AF267" s="3">
        <v>0</v>
      </c>
      <c r="AG267" s="3">
        <v>0</v>
      </c>
      <c r="AH267" s="3">
        <v>0</v>
      </c>
      <c r="AI267" s="3" t="s">
        <v>106</v>
      </c>
      <c r="AJ267" s="3" t="s">
        <v>88</v>
      </c>
    </row>
    <row r="268" spans="1:36">
      <c r="A268" s="5">
        <v>43288</v>
      </c>
      <c r="B268" s="3" t="s">
        <v>1179</v>
      </c>
      <c r="C268" s="3" t="s">
        <v>1180</v>
      </c>
      <c r="D268" s="3" t="s">
        <v>1181</v>
      </c>
      <c r="E268" s="3" t="s">
        <v>1182</v>
      </c>
      <c r="F268" s="3" t="s">
        <v>84</v>
      </c>
      <c r="G268" s="3">
        <v>3</v>
      </c>
      <c r="H268" s="3">
        <v>0</v>
      </c>
      <c r="I268" s="3">
        <v>0</v>
      </c>
      <c r="J268" s="3">
        <v>0</v>
      </c>
      <c r="K268" s="3">
        <v>0</v>
      </c>
      <c r="L268" s="3">
        <v>3</v>
      </c>
      <c r="M268" s="3">
        <v>0</v>
      </c>
      <c r="N268" s="3" t="s">
        <v>85</v>
      </c>
      <c r="O268" s="3">
        <v>3</v>
      </c>
      <c r="P268" s="3">
        <v>8.19</v>
      </c>
      <c r="Q268" s="3">
        <v>0</v>
      </c>
      <c r="R268" s="3">
        <v>0</v>
      </c>
      <c r="S268" s="3">
        <v>0</v>
      </c>
      <c r="T268" s="3">
        <v>0</v>
      </c>
      <c r="U268" s="3">
        <v>1</v>
      </c>
      <c r="V268" s="3">
        <v>1</v>
      </c>
      <c r="W268" s="3" t="s">
        <v>100</v>
      </c>
      <c r="X268" s="3">
        <v>13.9</v>
      </c>
      <c r="Y268" s="3">
        <v>13.9</v>
      </c>
      <c r="Z268" s="3">
        <v>13.9</v>
      </c>
      <c r="AA268" s="3">
        <v>0</v>
      </c>
      <c r="AB268" s="3" t="s">
        <v>86</v>
      </c>
      <c r="AC268" s="3">
        <v>3</v>
      </c>
      <c r="AD268" s="3">
        <v>13.9</v>
      </c>
      <c r="AE268" s="3">
        <v>0</v>
      </c>
      <c r="AF268" s="3">
        <v>0</v>
      </c>
      <c r="AG268" s="3">
        <v>0</v>
      </c>
      <c r="AH268" s="3">
        <v>0.285714285714285</v>
      </c>
      <c r="AI268" s="3" t="s">
        <v>173</v>
      </c>
      <c r="AJ268" s="3" t="s">
        <v>88</v>
      </c>
    </row>
    <row r="269" spans="1:36">
      <c r="A269" s="5">
        <v>43288</v>
      </c>
      <c r="B269" s="3" t="s">
        <v>1183</v>
      </c>
      <c r="C269" s="3" t="s">
        <v>1184</v>
      </c>
      <c r="D269" s="3" t="s">
        <v>1185</v>
      </c>
      <c r="E269" s="3" t="s">
        <v>1186</v>
      </c>
      <c r="F269" s="3" t="s">
        <v>84</v>
      </c>
      <c r="G269" s="3">
        <v>1</v>
      </c>
      <c r="H269" s="3">
        <v>0</v>
      </c>
      <c r="I269" s="3">
        <v>0</v>
      </c>
      <c r="J269" s="3">
        <v>0</v>
      </c>
      <c r="K269" s="3">
        <v>0</v>
      </c>
      <c r="L269" s="3">
        <v>1</v>
      </c>
      <c r="M269" s="3">
        <v>0</v>
      </c>
      <c r="N269" s="3" t="s">
        <v>85</v>
      </c>
      <c r="O269" s="3">
        <v>0</v>
      </c>
      <c r="P269" s="3">
        <v>0</v>
      </c>
      <c r="Q269" s="3">
        <v>1</v>
      </c>
      <c r="R269" s="3">
        <v>0.5</v>
      </c>
      <c r="S269" s="3">
        <v>0</v>
      </c>
      <c r="T269" s="3">
        <v>0</v>
      </c>
      <c r="U269" s="3">
        <v>0</v>
      </c>
      <c r="V269" s="3">
        <v>0</v>
      </c>
      <c r="W269" s="3" t="s">
        <v>93</v>
      </c>
      <c r="X269" s="3">
        <v>5.36</v>
      </c>
      <c r="Y269" s="3">
        <v>5.36</v>
      </c>
      <c r="Z269" s="3">
        <v>5.36</v>
      </c>
      <c r="AA269" s="3">
        <v>0</v>
      </c>
      <c r="AB269" s="3" t="s">
        <v>86</v>
      </c>
      <c r="AC269" s="3">
        <v>1</v>
      </c>
      <c r="AD269" s="3">
        <v>5.36</v>
      </c>
      <c r="AE269" s="3">
        <v>0</v>
      </c>
      <c r="AF269" s="3">
        <v>0</v>
      </c>
      <c r="AG269" s="3">
        <v>0</v>
      </c>
      <c r="AH269" s="3">
        <v>0</v>
      </c>
      <c r="AI269" s="3" t="s">
        <v>106</v>
      </c>
      <c r="AJ269" s="3" t="s">
        <v>107</v>
      </c>
    </row>
    <row r="270" spans="1:36">
      <c r="A270" s="5">
        <v>43288</v>
      </c>
      <c r="B270" s="3" t="s">
        <v>1187</v>
      </c>
      <c r="C270" s="3" t="s">
        <v>1188</v>
      </c>
      <c r="D270" s="3" t="s">
        <v>1189</v>
      </c>
      <c r="E270" s="3" t="s">
        <v>1190</v>
      </c>
      <c r="F270" s="3" t="s">
        <v>84</v>
      </c>
      <c r="G270" s="3">
        <v>3</v>
      </c>
      <c r="H270" s="3">
        <v>0</v>
      </c>
      <c r="I270" s="3">
        <v>0</v>
      </c>
      <c r="J270" s="3">
        <v>3</v>
      </c>
      <c r="K270" s="3">
        <v>0</v>
      </c>
      <c r="L270" s="3">
        <v>0</v>
      </c>
      <c r="M270" s="3">
        <v>0</v>
      </c>
      <c r="N270" s="3" t="s">
        <v>85</v>
      </c>
      <c r="O270" s="3">
        <v>3</v>
      </c>
      <c r="P270" s="3">
        <v>37.44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0</v>
      </c>
      <c r="W270" s="3" t="s">
        <v>100</v>
      </c>
      <c r="X270" s="3">
        <v>42.99</v>
      </c>
      <c r="Y270" s="3">
        <v>42.99</v>
      </c>
      <c r="Z270" s="3">
        <v>34.39</v>
      </c>
      <c r="AA270" s="3">
        <v>0</v>
      </c>
      <c r="AB270" s="3" t="s">
        <v>94</v>
      </c>
      <c r="AC270" s="3">
        <v>0</v>
      </c>
      <c r="AD270" s="3">
        <v>34.36</v>
      </c>
      <c r="AE270" s="3">
        <v>49</v>
      </c>
      <c r="AF270" s="3">
        <v>0</v>
      </c>
      <c r="AG270" s="3">
        <v>408.380629</v>
      </c>
      <c r="AH270" s="3">
        <v>0</v>
      </c>
      <c r="AI270" s="3" t="s">
        <v>216</v>
      </c>
      <c r="AJ270" s="3" t="s">
        <v>88</v>
      </c>
    </row>
    <row r="271" spans="1:36">
      <c r="A271" s="5">
        <v>43288</v>
      </c>
      <c r="B271" s="3" t="s">
        <v>1191</v>
      </c>
      <c r="C271" s="3" t="s">
        <v>1192</v>
      </c>
      <c r="D271" s="3" t="s">
        <v>1193</v>
      </c>
      <c r="E271" s="3" t="s">
        <v>1194</v>
      </c>
      <c r="F271" s="3" t="s">
        <v>84</v>
      </c>
      <c r="G271" s="3">
        <v>3</v>
      </c>
      <c r="H271" s="3">
        <v>0</v>
      </c>
      <c r="I271" s="3">
        <v>0</v>
      </c>
      <c r="J271" s="3">
        <v>0</v>
      </c>
      <c r="K271" s="3">
        <v>3</v>
      </c>
      <c r="L271" s="3">
        <v>0</v>
      </c>
      <c r="M271" s="3">
        <v>0</v>
      </c>
      <c r="N271" s="3" t="s">
        <v>85</v>
      </c>
      <c r="O271" s="3">
        <v>3</v>
      </c>
      <c r="P271" s="3">
        <v>18.99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 t="s">
        <v>100</v>
      </c>
      <c r="X271" s="3">
        <v>42.99</v>
      </c>
      <c r="Y271" s="3">
        <v>42.99</v>
      </c>
      <c r="Z271" s="3">
        <v>34.39</v>
      </c>
      <c r="AA271" s="3">
        <v>0</v>
      </c>
      <c r="AB271" s="3" t="s">
        <v>94</v>
      </c>
      <c r="AC271" s="3">
        <v>0</v>
      </c>
      <c r="AD271" s="3">
        <v>40.67</v>
      </c>
      <c r="AE271" s="3">
        <v>28</v>
      </c>
      <c r="AF271" s="3">
        <v>0</v>
      </c>
      <c r="AG271" s="3">
        <v>252.632424</v>
      </c>
      <c r="AH271" s="3">
        <v>0</v>
      </c>
      <c r="AI271" s="3" t="s">
        <v>135</v>
      </c>
      <c r="AJ271" s="3" t="s">
        <v>88</v>
      </c>
    </row>
    <row r="272" spans="1:36">
      <c r="A272" s="5">
        <v>43288</v>
      </c>
      <c r="B272" s="3" t="s">
        <v>1195</v>
      </c>
      <c r="C272" s="3" t="s">
        <v>1196</v>
      </c>
      <c r="D272" s="3" t="s">
        <v>1197</v>
      </c>
      <c r="E272" s="3" t="s">
        <v>1198</v>
      </c>
      <c r="F272" s="3" t="s">
        <v>84</v>
      </c>
      <c r="G272" s="3">
        <v>5</v>
      </c>
      <c r="H272" s="3">
        <v>0</v>
      </c>
      <c r="I272" s="3">
        <v>0</v>
      </c>
      <c r="J272" s="3">
        <v>0</v>
      </c>
      <c r="K272" s="3">
        <v>5</v>
      </c>
      <c r="L272" s="3">
        <v>0</v>
      </c>
      <c r="M272" s="3">
        <v>0</v>
      </c>
      <c r="N272" s="3" t="s">
        <v>85</v>
      </c>
      <c r="O272" s="3">
        <v>5</v>
      </c>
      <c r="P272" s="3">
        <v>43.94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 t="s">
        <v>100</v>
      </c>
      <c r="X272" s="3">
        <v>42.99</v>
      </c>
      <c r="Y272" s="3">
        <v>42.99</v>
      </c>
      <c r="Z272" s="3">
        <v>34.39</v>
      </c>
      <c r="AA272" s="3">
        <v>0</v>
      </c>
      <c r="AB272" s="3" t="s">
        <v>94</v>
      </c>
      <c r="AC272" s="3">
        <v>0</v>
      </c>
      <c r="AD272" s="3">
        <v>39.36</v>
      </c>
      <c r="AE272" s="3">
        <v>35</v>
      </c>
      <c r="AF272" s="3">
        <v>0</v>
      </c>
      <c r="AG272" s="3">
        <v>539.258916</v>
      </c>
      <c r="AH272" s="3">
        <v>0</v>
      </c>
      <c r="AI272" s="3" t="s">
        <v>308</v>
      </c>
      <c r="AJ272" s="3" t="s">
        <v>88</v>
      </c>
    </row>
    <row r="273" spans="1:36">
      <c r="A273" s="5">
        <v>43288</v>
      </c>
      <c r="B273" s="3" t="s">
        <v>1199</v>
      </c>
      <c r="C273" s="3" t="s">
        <v>1200</v>
      </c>
      <c r="D273" s="3" t="s">
        <v>1201</v>
      </c>
      <c r="E273" s="3" t="s">
        <v>1202</v>
      </c>
      <c r="F273" s="3" t="s">
        <v>84</v>
      </c>
      <c r="G273" s="3">
        <v>10</v>
      </c>
      <c r="H273" s="3">
        <v>0</v>
      </c>
      <c r="I273" s="3">
        <v>0</v>
      </c>
      <c r="J273" s="3">
        <v>0</v>
      </c>
      <c r="K273" s="3">
        <v>0</v>
      </c>
      <c r="L273" s="3">
        <v>10</v>
      </c>
      <c r="M273" s="3">
        <v>0</v>
      </c>
      <c r="N273" s="3" t="s">
        <v>85</v>
      </c>
      <c r="O273" s="3">
        <v>10</v>
      </c>
      <c r="P273" s="3">
        <v>27.31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 t="s">
        <v>100</v>
      </c>
      <c r="X273" s="3">
        <v>13.9</v>
      </c>
      <c r="Y273" s="3">
        <v>13.9</v>
      </c>
      <c r="Z273" s="3">
        <v>13.9</v>
      </c>
      <c r="AA273" s="3">
        <v>0</v>
      </c>
      <c r="AB273" s="3" t="s">
        <v>94</v>
      </c>
      <c r="AC273" s="3">
        <v>0</v>
      </c>
      <c r="AD273" s="3">
        <v>11.12</v>
      </c>
      <c r="AE273" s="3">
        <v>63</v>
      </c>
      <c r="AF273" s="3">
        <v>0</v>
      </c>
      <c r="AG273" s="3">
        <v>320.205415</v>
      </c>
      <c r="AH273" s="3">
        <v>0</v>
      </c>
      <c r="AI273" s="3" t="s">
        <v>173</v>
      </c>
      <c r="AJ273" s="3" t="s">
        <v>88</v>
      </c>
    </row>
    <row r="274" spans="1:36">
      <c r="A274" s="5">
        <v>43288</v>
      </c>
      <c r="B274" s="3" t="s">
        <v>1203</v>
      </c>
      <c r="C274" s="3" t="s">
        <v>1204</v>
      </c>
      <c r="D274" s="3" t="s">
        <v>1205</v>
      </c>
      <c r="E274" s="3" t="s">
        <v>1206</v>
      </c>
      <c r="F274" s="3" t="s">
        <v>84</v>
      </c>
      <c r="G274" s="3">
        <v>12</v>
      </c>
      <c r="H274" s="3">
        <v>0</v>
      </c>
      <c r="I274" s="3">
        <v>0</v>
      </c>
      <c r="J274" s="3">
        <v>0</v>
      </c>
      <c r="K274" s="3">
        <v>0</v>
      </c>
      <c r="L274" s="3">
        <v>12</v>
      </c>
      <c r="M274" s="3">
        <v>0</v>
      </c>
      <c r="N274" s="3" t="s">
        <v>85</v>
      </c>
      <c r="O274" s="3">
        <v>11</v>
      </c>
      <c r="P274" s="3">
        <v>0</v>
      </c>
      <c r="Q274" s="3">
        <v>1</v>
      </c>
      <c r="R274" s="3">
        <v>0.5</v>
      </c>
      <c r="S274" s="3">
        <v>0</v>
      </c>
      <c r="T274" s="3">
        <v>0</v>
      </c>
      <c r="U274" s="3">
        <v>0</v>
      </c>
      <c r="V274" s="3">
        <v>0</v>
      </c>
      <c r="W274" s="3" t="s">
        <v>100</v>
      </c>
      <c r="X274" s="3">
        <v>13.9</v>
      </c>
      <c r="Y274" s="3">
        <v>13.9</v>
      </c>
      <c r="Z274" s="3">
        <v>13.9</v>
      </c>
      <c r="AA274" s="3">
        <v>0</v>
      </c>
      <c r="AB274" s="3" t="s">
        <v>86</v>
      </c>
      <c r="AC274" s="3">
        <v>12</v>
      </c>
      <c r="AD274" s="3">
        <v>13.9</v>
      </c>
      <c r="AE274" s="3">
        <v>0</v>
      </c>
      <c r="AF274" s="3">
        <v>0</v>
      </c>
      <c r="AG274" s="3">
        <v>0</v>
      </c>
      <c r="AH274" s="3">
        <v>0</v>
      </c>
      <c r="AI274" s="3" t="s">
        <v>106</v>
      </c>
      <c r="AJ274" s="3" t="s">
        <v>107</v>
      </c>
    </row>
    <row r="275" spans="1:36">
      <c r="A275" s="5">
        <v>43288</v>
      </c>
      <c r="B275" s="3" t="s">
        <v>1207</v>
      </c>
      <c r="C275" s="3" t="s">
        <v>1208</v>
      </c>
      <c r="D275" s="3" t="s">
        <v>1209</v>
      </c>
      <c r="E275" s="3" t="s">
        <v>1210</v>
      </c>
      <c r="F275" s="3" t="s">
        <v>84</v>
      </c>
      <c r="G275" s="3">
        <v>2</v>
      </c>
      <c r="H275" s="3">
        <v>0</v>
      </c>
      <c r="I275" s="3">
        <v>0</v>
      </c>
      <c r="J275" s="3">
        <v>0</v>
      </c>
      <c r="K275" s="3">
        <v>0</v>
      </c>
      <c r="L275" s="3">
        <v>2</v>
      </c>
      <c r="M275" s="3">
        <v>0</v>
      </c>
      <c r="N275" s="3" t="s">
        <v>85</v>
      </c>
      <c r="O275" s="3">
        <v>1</v>
      </c>
      <c r="P275" s="3">
        <v>1.83</v>
      </c>
      <c r="Q275" s="3">
        <v>1</v>
      </c>
      <c r="R275" s="3">
        <v>3.66</v>
      </c>
      <c r="S275" s="3">
        <v>0</v>
      </c>
      <c r="T275" s="3">
        <v>0</v>
      </c>
      <c r="U275" s="3">
        <v>0</v>
      </c>
      <c r="V275" s="3">
        <v>0</v>
      </c>
      <c r="W275" s="3" t="s">
        <v>93</v>
      </c>
      <c r="X275" s="3">
        <v>13.9</v>
      </c>
      <c r="Y275" s="3">
        <v>13.9</v>
      </c>
      <c r="Z275" s="3">
        <v>13.9</v>
      </c>
      <c r="AA275" s="3">
        <v>0</v>
      </c>
      <c r="AB275" s="3" t="s">
        <v>86</v>
      </c>
      <c r="AC275" s="3">
        <v>2</v>
      </c>
      <c r="AD275" s="3">
        <v>13.9</v>
      </c>
      <c r="AE275" s="3">
        <v>0</v>
      </c>
      <c r="AF275" s="3">
        <v>0</v>
      </c>
      <c r="AG275" s="3">
        <v>0</v>
      </c>
      <c r="AH275" s="3">
        <v>0</v>
      </c>
      <c r="AI275" s="3" t="s">
        <v>1211</v>
      </c>
      <c r="AJ275" s="3" t="s">
        <v>88</v>
      </c>
    </row>
    <row r="276" spans="1:36">
      <c r="A276" s="5">
        <v>43288</v>
      </c>
      <c r="B276" s="3" t="s">
        <v>1212</v>
      </c>
      <c r="C276" s="3" t="s">
        <v>1213</v>
      </c>
      <c r="D276" s="3" t="s">
        <v>1214</v>
      </c>
      <c r="E276" s="3" t="s">
        <v>1215</v>
      </c>
      <c r="F276" s="3" t="s">
        <v>84</v>
      </c>
      <c r="G276" s="3">
        <v>14</v>
      </c>
      <c r="H276" s="3">
        <v>0</v>
      </c>
      <c r="I276" s="3">
        <v>0</v>
      </c>
      <c r="J276" s="3">
        <v>14</v>
      </c>
      <c r="K276" s="3">
        <v>0</v>
      </c>
      <c r="L276" s="3">
        <v>0</v>
      </c>
      <c r="M276" s="3">
        <v>0</v>
      </c>
      <c r="N276" s="3" t="s">
        <v>85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1</v>
      </c>
      <c r="W276" s="3" t="s">
        <v>93</v>
      </c>
      <c r="X276" s="3">
        <v>15.99</v>
      </c>
      <c r="Y276" s="3">
        <v>15.99</v>
      </c>
      <c r="Z276" s="3">
        <v>15.99</v>
      </c>
      <c r="AA276" s="3">
        <v>0</v>
      </c>
      <c r="AB276" s="3" t="s">
        <v>239</v>
      </c>
      <c r="AC276" s="3">
        <v>7</v>
      </c>
      <c r="AD276" s="3">
        <v>15.05</v>
      </c>
      <c r="AE276" s="3">
        <v>49</v>
      </c>
      <c r="AF276" s="3">
        <v>0</v>
      </c>
      <c r="AG276" s="3">
        <v>304.241525</v>
      </c>
      <c r="AH276" s="3">
        <v>0.0701754385964912</v>
      </c>
      <c r="AI276" s="3" t="s">
        <v>1216</v>
      </c>
      <c r="AJ276" s="3" t="s">
        <v>88</v>
      </c>
    </row>
    <row r="277" spans="1:36">
      <c r="A277" s="5">
        <v>43288</v>
      </c>
      <c r="B277" s="3" t="s">
        <v>1217</v>
      </c>
      <c r="C277" s="3" t="s">
        <v>1218</v>
      </c>
      <c r="D277" s="3" t="s">
        <v>1219</v>
      </c>
      <c r="E277" s="3" t="s">
        <v>1220</v>
      </c>
      <c r="F277" s="3" t="s">
        <v>84</v>
      </c>
      <c r="G277" s="3">
        <v>54</v>
      </c>
      <c r="H277" s="3">
        <v>0</v>
      </c>
      <c r="I277" s="3">
        <v>0</v>
      </c>
      <c r="J277" s="3">
        <v>0</v>
      </c>
      <c r="K277" s="3">
        <v>0</v>
      </c>
      <c r="L277" s="3">
        <v>54</v>
      </c>
      <c r="M277" s="3">
        <v>0</v>
      </c>
      <c r="N277" s="3" t="s">
        <v>85</v>
      </c>
      <c r="O277" s="3">
        <v>54</v>
      </c>
      <c r="P277" s="3">
        <v>73.74</v>
      </c>
      <c r="Q277" s="3">
        <v>0</v>
      </c>
      <c r="R277" s="3">
        <v>0</v>
      </c>
      <c r="S277" s="3">
        <v>0</v>
      </c>
      <c r="T277" s="3">
        <v>2</v>
      </c>
      <c r="U277" s="3">
        <v>2</v>
      </c>
      <c r="V277" s="3">
        <v>2</v>
      </c>
      <c r="W277" s="3"/>
      <c r="X277" s="3">
        <v>11.45</v>
      </c>
      <c r="Y277" s="3">
        <v>11.45</v>
      </c>
      <c r="Z277" s="3">
        <v>11.45</v>
      </c>
      <c r="AA277" s="3">
        <v>0</v>
      </c>
      <c r="AB277" s="3" t="s">
        <v>94</v>
      </c>
      <c r="AC277" s="3">
        <v>0</v>
      </c>
      <c r="AD277" s="3">
        <v>8.24</v>
      </c>
      <c r="AE277" s="3">
        <v>329</v>
      </c>
      <c r="AF277" s="3">
        <v>0</v>
      </c>
      <c r="AG277" s="3">
        <v>915.308911</v>
      </c>
      <c r="AH277" s="3">
        <v>0.036036036036036</v>
      </c>
      <c r="AI277" s="3" t="s">
        <v>164</v>
      </c>
      <c r="AJ277" s="3" t="s">
        <v>88</v>
      </c>
    </row>
    <row r="278" spans="1:36">
      <c r="A278" s="5">
        <v>43288</v>
      </c>
      <c r="B278" s="3" t="s">
        <v>1221</v>
      </c>
      <c r="C278" s="3" t="s">
        <v>1222</v>
      </c>
      <c r="D278" s="3" t="s">
        <v>1223</v>
      </c>
      <c r="E278" s="3" t="s">
        <v>1224</v>
      </c>
      <c r="F278" s="3" t="s">
        <v>84</v>
      </c>
      <c r="G278" s="3">
        <v>16</v>
      </c>
      <c r="H278" s="3">
        <v>0</v>
      </c>
      <c r="I278" s="3">
        <v>0</v>
      </c>
      <c r="J278" s="3">
        <v>0</v>
      </c>
      <c r="K278" s="3">
        <v>0</v>
      </c>
      <c r="L278" s="3">
        <v>16</v>
      </c>
      <c r="M278" s="3">
        <v>0</v>
      </c>
      <c r="N278" s="3" t="s">
        <v>85</v>
      </c>
      <c r="O278" s="3">
        <v>16</v>
      </c>
      <c r="P278" s="3">
        <v>30.79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 t="s">
        <v>93</v>
      </c>
      <c r="X278" s="3">
        <v>11.9</v>
      </c>
      <c r="Y278" s="3">
        <v>11.9</v>
      </c>
      <c r="Z278" s="3">
        <v>11.9</v>
      </c>
      <c r="AA278" s="3">
        <v>0</v>
      </c>
      <c r="AB278" s="3" t="s">
        <v>94</v>
      </c>
      <c r="AC278" s="3">
        <v>0</v>
      </c>
      <c r="AD278" s="3">
        <v>9.52</v>
      </c>
      <c r="AE278" s="3">
        <v>63</v>
      </c>
      <c r="AF278" s="3">
        <v>0</v>
      </c>
      <c r="AG278" s="3">
        <v>361.794406</v>
      </c>
      <c r="AH278" s="3">
        <v>0</v>
      </c>
      <c r="AI278" s="3" t="s">
        <v>371</v>
      </c>
      <c r="AJ278" s="3" t="s">
        <v>88</v>
      </c>
    </row>
    <row r="279" spans="1:36">
      <c r="A279" s="5">
        <v>43288</v>
      </c>
      <c r="B279" s="3" t="s">
        <v>1225</v>
      </c>
      <c r="C279" s="3" t="s">
        <v>1226</v>
      </c>
      <c r="D279" s="3" t="s">
        <v>1227</v>
      </c>
      <c r="E279" s="3" t="s">
        <v>1228</v>
      </c>
      <c r="F279" s="3" t="s">
        <v>84</v>
      </c>
      <c r="G279" s="3">
        <v>1</v>
      </c>
      <c r="H279" s="3">
        <v>0</v>
      </c>
      <c r="I279" s="3">
        <v>0</v>
      </c>
      <c r="J279" s="3">
        <v>0</v>
      </c>
      <c r="K279" s="3">
        <v>0</v>
      </c>
      <c r="L279" s="3">
        <v>1</v>
      </c>
      <c r="M279" s="3">
        <v>0</v>
      </c>
      <c r="N279" s="3" t="s">
        <v>85</v>
      </c>
      <c r="O279" s="3">
        <v>1</v>
      </c>
      <c r="P279" s="3">
        <v>1.33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93</v>
      </c>
      <c r="X279" s="3">
        <v>17.9</v>
      </c>
      <c r="Y279" s="3">
        <v>17.9</v>
      </c>
      <c r="Z279" s="3">
        <v>17.9</v>
      </c>
      <c r="AA279" s="3">
        <v>0</v>
      </c>
      <c r="AB279" s="3" t="s">
        <v>86</v>
      </c>
      <c r="AC279" s="3">
        <v>1</v>
      </c>
      <c r="AD279" s="3">
        <v>17.9</v>
      </c>
      <c r="AE279" s="3">
        <v>0</v>
      </c>
      <c r="AF279" s="3">
        <v>0</v>
      </c>
      <c r="AG279" s="3">
        <v>0</v>
      </c>
      <c r="AH279" s="3">
        <v>0</v>
      </c>
      <c r="AI279" s="3" t="s">
        <v>595</v>
      </c>
      <c r="AJ279" s="3" t="s">
        <v>88</v>
      </c>
    </row>
    <row r="280" spans="1:36">
      <c r="A280" s="5">
        <v>43288</v>
      </c>
      <c r="B280" s="3" t="s">
        <v>1229</v>
      </c>
      <c r="C280" s="3" t="s">
        <v>1230</v>
      </c>
      <c r="D280" s="3" t="s">
        <v>1231</v>
      </c>
      <c r="E280" s="3" t="s">
        <v>1232</v>
      </c>
      <c r="F280" s="3" t="s">
        <v>84</v>
      </c>
      <c r="G280" s="3">
        <v>1</v>
      </c>
      <c r="H280" s="3">
        <v>0</v>
      </c>
      <c r="I280" s="3">
        <v>0</v>
      </c>
      <c r="J280" s="3">
        <v>0</v>
      </c>
      <c r="K280" s="3">
        <v>0</v>
      </c>
      <c r="L280" s="3">
        <v>1</v>
      </c>
      <c r="M280" s="3">
        <v>0</v>
      </c>
      <c r="N280" s="3" t="s">
        <v>85</v>
      </c>
      <c r="O280" s="3">
        <v>0</v>
      </c>
      <c r="P280" s="3">
        <v>0</v>
      </c>
      <c r="Q280" s="3">
        <v>1</v>
      </c>
      <c r="R280" s="3">
        <v>0.5</v>
      </c>
      <c r="S280" s="3">
        <v>0</v>
      </c>
      <c r="T280" s="3">
        <v>0</v>
      </c>
      <c r="U280" s="3">
        <v>0</v>
      </c>
      <c r="V280" s="3">
        <v>0</v>
      </c>
      <c r="W280" s="3" t="s">
        <v>93</v>
      </c>
      <c r="X280" s="3">
        <v>6.27</v>
      </c>
      <c r="Y280" s="3">
        <v>6.27</v>
      </c>
      <c r="Z280" s="3">
        <v>6.27</v>
      </c>
      <c r="AA280" s="3">
        <v>0</v>
      </c>
      <c r="AB280" s="3" t="s">
        <v>94</v>
      </c>
      <c r="AC280" s="3">
        <v>0</v>
      </c>
      <c r="AD280" s="3">
        <v>5.02</v>
      </c>
      <c r="AE280" s="3">
        <v>63</v>
      </c>
      <c r="AF280" s="3">
        <v>0</v>
      </c>
      <c r="AG280" s="3">
        <v>0.145166</v>
      </c>
      <c r="AH280" s="3">
        <v>0</v>
      </c>
      <c r="AI280" s="3" t="s">
        <v>106</v>
      </c>
      <c r="AJ280" s="3" t="s">
        <v>107</v>
      </c>
    </row>
    <row r="281" spans="1:36">
      <c r="A281" s="5">
        <v>43288</v>
      </c>
      <c r="B281" s="3" t="s">
        <v>1233</v>
      </c>
      <c r="C281" s="3" t="s">
        <v>1234</v>
      </c>
      <c r="D281" s="3" t="s">
        <v>1235</v>
      </c>
      <c r="E281" s="3" t="s">
        <v>1236</v>
      </c>
      <c r="F281" s="3" t="s">
        <v>84</v>
      </c>
      <c r="G281" s="3">
        <v>18</v>
      </c>
      <c r="H281" s="3">
        <v>0</v>
      </c>
      <c r="I281" s="3">
        <v>18</v>
      </c>
      <c r="J281" s="3">
        <v>0</v>
      </c>
      <c r="K281" s="3">
        <v>0</v>
      </c>
      <c r="L281" s="3">
        <v>0</v>
      </c>
      <c r="M281" s="3">
        <v>0</v>
      </c>
      <c r="N281" s="3" t="s">
        <v>85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2</v>
      </c>
      <c r="V281" s="3">
        <v>2</v>
      </c>
      <c r="W281" s="3" t="s">
        <v>93</v>
      </c>
      <c r="X281" s="3">
        <v>15.99</v>
      </c>
      <c r="Y281" s="3">
        <v>15.99</v>
      </c>
      <c r="Z281" s="3">
        <v>15.99</v>
      </c>
      <c r="AA281" s="3">
        <v>0</v>
      </c>
      <c r="AB281" s="3" t="s">
        <v>239</v>
      </c>
      <c r="AC281" s="3">
        <v>11</v>
      </c>
      <c r="AD281" s="3">
        <v>11.2</v>
      </c>
      <c r="AE281" s="3">
        <v>364</v>
      </c>
      <c r="AF281" s="3">
        <v>0</v>
      </c>
      <c r="AG281" s="3">
        <v>5.947118</v>
      </c>
      <c r="AH281" s="3">
        <v>0.142857142857142</v>
      </c>
      <c r="AI281" s="3" t="s">
        <v>95</v>
      </c>
      <c r="AJ281" s="3" t="s">
        <v>88</v>
      </c>
    </row>
    <row r="282" spans="1:36">
      <c r="A282" s="5">
        <v>43288</v>
      </c>
      <c r="B282" s="3" t="s">
        <v>1237</v>
      </c>
      <c r="C282" s="3" t="s">
        <v>1238</v>
      </c>
      <c r="D282" s="3" t="s">
        <v>1239</v>
      </c>
      <c r="E282" s="3" t="s">
        <v>1240</v>
      </c>
      <c r="F282" s="3" t="s">
        <v>84</v>
      </c>
      <c r="G282" s="3">
        <v>2</v>
      </c>
      <c r="H282" s="3">
        <v>0</v>
      </c>
      <c r="I282" s="3">
        <v>0</v>
      </c>
      <c r="J282" s="3">
        <v>0</v>
      </c>
      <c r="K282" s="3">
        <v>0</v>
      </c>
      <c r="L282" s="3">
        <v>2</v>
      </c>
      <c r="M282" s="3">
        <v>0</v>
      </c>
      <c r="N282" s="3" t="s">
        <v>85</v>
      </c>
      <c r="O282" s="3">
        <v>0</v>
      </c>
      <c r="P282" s="3">
        <v>0</v>
      </c>
      <c r="Q282" s="3">
        <v>2</v>
      </c>
      <c r="R282" s="3">
        <v>4.93</v>
      </c>
      <c r="S282" s="3">
        <v>0</v>
      </c>
      <c r="T282" s="3">
        <v>0</v>
      </c>
      <c r="U282" s="3">
        <v>0</v>
      </c>
      <c r="V282" s="3">
        <v>0</v>
      </c>
      <c r="W282" s="3" t="s">
        <v>93</v>
      </c>
      <c r="X282" s="3">
        <v>16.9</v>
      </c>
      <c r="Y282" s="3">
        <v>16.9</v>
      </c>
      <c r="Z282" s="3">
        <v>16.9</v>
      </c>
      <c r="AA282" s="3">
        <v>0</v>
      </c>
      <c r="AB282" s="3" t="s">
        <v>94</v>
      </c>
      <c r="AC282" s="3">
        <v>0</v>
      </c>
      <c r="AD282" s="3">
        <v>13.52</v>
      </c>
      <c r="AE282" s="3">
        <v>63</v>
      </c>
      <c r="AF282" s="3">
        <v>0</v>
      </c>
      <c r="AG282" s="3">
        <v>31.763609</v>
      </c>
      <c r="AH282" s="3">
        <v>0</v>
      </c>
      <c r="AI282" s="3" t="s">
        <v>121</v>
      </c>
      <c r="AJ282" s="3" t="s">
        <v>88</v>
      </c>
    </row>
    <row r="283" spans="1:36">
      <c r="A283" s="5">
        <v>43288</v>
      </c>
      <c r="B283" s="3" t="s">
        <v>1241</v>
      </c>
      <c r="C283" s="3" t="s">
        <v>1242</v>
      </c>
      <c r="D283" s="3" t="s">
        <v>1243</v>
      </c>
      <c r="E283" s="3" t="s">
        <v>1244</v>
      </c>
      <c r="F283" s="3" t="s">
        <v>84</v>
      </c>
      <c r="G283" s="3">
        <v>1</v>
      </c>
      <c r="H283" s="3">
        <v>0</v>
      </c>
      <c r="I283" s="3">
        <v>0</v>
      </c>
      <c r="J283" s="3">
        <v>0</v>
      </c>
      <c r="K283" s="3">
        <v>0</v>
      </c>
      <c r="L283" s="3">
        <v>1</v>
      </c>
      <c r="M283" s="3">
        <v>0</v>
      </c>
      <c r="N283" s="3" t="s">
        <v>85</v>
      </c>
      <c r="O283" s="3">
        <v>0</v>
      </c>
      <c r="P283" s="3">
        <v>0</v>
      </c>
      <c r="Q283" s="3">
        <v>1</v>
      </c>
      <c r="R283" s="3">
        <v>0.5</v>
      </c>
      <c r="S283" s="3">
        <v>0</v>
      </c>
      <c r="T283" s="3">
        <v>0</v>
      </c>
      <c r="U283" s="3">
        <v>0</v>
      </c>
      <c r="V283" s="3">
        <v>0</v>
      </c>
      <c r="W283" s="3" t="s">
        <v>93</v>
      </c>
      <c r="X283" s="3">
        <v>5.63</v>
      </c>
      <c r="Y283" s="3">
        <v>5.63</v>
      </c>
      <c r="Z283" s="3">
        <v>5.63</v>
      </c>
      <c r="AA283" s="3">
        <v>0</v>
      </c>
      <c r="AB283" s="3" t="s">
        <v>86</v>
      </c>
      <c r="AC283" s="3">
        <v>1</v>
      </c>
      <c r="AD283" s="3">
        <v>5.63</v>
      </c>
      <c r="AE283" s="3">
        <v>0</v>
      </c>
      <c r="AF283" s="3">
        <v>0</v>
      </c>
      <c r="AG283" s="3">
        <v>0</v>
      </c>
      <c r="AH283" s="3">
        <v>0</v>
      </c>
      <c r="AI283" s="3" t="s">
        <v>106</v>
      </c>
      <c r="AJ283" s="3" t="s">
        <v>88</v>
      </c>
    </row>
    <row r="284" spans="1:36">
      <c r="A284" s="5">
        <v>43288</v>
      </c>
      <c r="B284" s="3" t="s">
        <v>1245</v>
      </c>
      <c r="C284" s="3" t="s">
        <v>1246</v>
      </c>
      <c r="D284" s="3" t="s">
        <v>1247</v>
      </c>
      <c r="E284" s="3" t="s">
        <v>1248</v>
      </c>
      <c r="F284" s="3" t="s">
        <v>84</v>
      </c>
      <c r="G284" s="3">
        <v>1</v>
      </c>
      <c r="H284" s="3">
        <v>0</v>
      </c>
      <c r="I284" s="3">
        <v>0</v>
      </c>
      <c r="J284" s="3">
        <v>0</v>
      </c>
      <c r="K284" s="3">
        <v>0</v>
      </c>
      <c r="L284" s="3">
        <v>1</v>
      </c>
      <c r="M284" s="3">
        <v>0</v>
      </c>
      <c r="N284" s="3" t="s">
        <v>85</v>
      </c>
      <c r="O284" s="3">
        <v>1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 t="s">
        <v>93</v>
      </c>
      <c r="X284" s="3">
        <v>5.63</v>
      </c>
      <c r="Y284" s="3">
        <v>5.63</v>
      </c>
      <c r="Z284" s="3">
        <v>5.63</v>
      </c>
      <c r="AA284" s="3">
        <v>0</v>
      </c>
      <c r="AB284" s="3" t="s">
        <v>86</v>
      </c>
      <c r="AC284" s="3">
        <v>1</v>
      </c>
      <c r="AD284" s="3">
        <v>5.63</v>
      </c>
      <c r="AE284" s="3">
        <v>0</v>
      </c>
      <c r="AF284" s="3">
        <v>0</v>
      </c>
      <c r="AG284" s="3">
        <v>0</v>
      </c>
      <c r="AH284" s="3">
        <v>0</v>
      </c>
      <c r="AI284" s="3" t="s">
        <v>106</v>
      </c>
      <c r="AJ284" s="3" t="s">
        <v>88</v>
      </c>
    </row>
    <row r="285" spans="1:36">
      <c r="A285" s="5">
        <v>43288</v>
      </c>
      <c r="B285" s="3" t="s">
        <v>1249</v>
      </c>
      <c r="C285" s="3" t="s">
        <v>1250</v>
      </c>
      <c r="D285" s="3" t="s">
        <v>1251</v>
      </c>
      <c r="E285" s="3" t="s">
        <v>1252</v>
      </c>
      <c r="F285" s="3" t="s">
        <v>84</v>
      </c>
      <c r="G285" s="3">
        <v>34</v>
      </c>
      <c r="H285" s="3">
        <v>0</v>
      </c>
      <c r="I285" s="3">
        <v>2</v>
      </c>
      <c r="J285" s="3">
        <v>10</v>
      </c>
      <c r="K285" s="3">
        <v>0</v>
      </c>
      <c r="L285" s="3">
        <v>22</v>
      </c>
      <c r="M285" s="3">
        <v>0</v>
      </c>
      <c r="N285" s="3" t="s">
        <v>85</v>
      </c>
      <c r="O285" s="3">
        <v>24</v>
      </c>
      <c r="P285" s="3">
        <v>31.67</v>
      </c>
      <c r="Q285" s="3">
        <v>0</v>
      </c>
      <c r="R285" s="3">
        <v>0</v>
      </c>
      <c r="S285" s="3">
        <v>0</v>
      </c>
      <c r="T285" s="3">
        <v>2</v>
      </c>
      <c r="U285" s="3">
        <v>5</v>
      </c>
      <c r="V285" s="3">
        <v>7</v>
      </c>
      <c r="W285" s="3"/>
      <c r="X285" s="3">
        <v>8.53</v>
      </c>
      <c r="Y285" s="3">
        <v>8.53</v>
      </c>
      <c r="Z285" s="3">
        <v>8.53</v>
      </c>
      <c r="AA285" s="3">
        <v>0</v>
      </c>
      <c r="AB285" s="3" t="s">
        <v>94</v>
      </c>
      <c r="AC285" s="3">
        <v>0</v>
      </c>
      <c r="AD285" s="3">
        <v>6.82</v>
      </c>
      <c r="AE285" s="3">
        <v>182</v>
      </c>
      <c r="AF285" s="3">
        <v>0</v>
      </c>
      <c r="AG285" s="3">
        <v>56.780327</v>
      </c>
      <c r="AH285" s="3">
        <v>0.189189189189189</v>
      </c>
      <c r="AI285" s="3" t="s">
        <v>194</v>
      </c>
      <c r="AJ285" s="3" t="s">
        <v>88</v>
      </c>
    </row>
    <row r="286" spans="1:36">
      <c r="A286" s="5">
        <v>43288</v>
      </c>
      <c r="B286" s="3" t="s">
        <v>1253</v>
      </c>
      <c r="C286" s="3" t="s">
        <v>1254</v>
      </c>
      <c r="D286" s="3" t="s">
        <v>1255</v>
      </c>
      <c r="E286" s="3" t="s">
        <v>1256</v>
      </c>
      <c r="F286" s="3" t="s">
        <v>84</v>
      </c>
      <c r="G286" s="3">
        <v>2</v>
      </c>
      <c r="H286" s="3">
        <v>0</v>
      </c>
      <c r="I286" s="3">
        <v>0</v>
      </c>
      <c r="J286" s="3">
        <v>0</v>
      </c>
      <c r="K286" s="3">
        <v>0</v>
      </c>
      <c r="L286" s="3">
        <v>2</v>
      </c>
      <c r="M286" s="3">
        <v>0</v>
      </c>
      <c r="N286" s="3" t="s">
        <v>85</v>
      </c>
      <c r="O286" s="3">
        <v>0</v>
      </c>
      <c r="P286" s="3">
        <v>0</v>
      </c>
      <c r="Q286" s="3">
        <v>2</v>
      </c>
      <c r="R286" s="3">
        <v>5.31</v>
      </c>
      <c r="S286" s="3">
        <v>0</v>
      </c>
      <c r="T286" s="3">
        <v>0</v>
      </c>
      <c r="U286" s="3">
        <v>0</v>
      </c>
      <c r="V286" s="3">
        <v>0</v>
      </c>
      <c r="W286" s="3" t="s">
        <v>93</v>
      </c>
      <c r="X286" s="3">
        <v>17.9</v>
      </c>
      <c r="Y286" s="3">
        <v>17.9</v>
      </c>
      <c r="Z286" s="3">
        <v>17.9</v>
      </c>
      <c r="AA286" s="3">
        <v>0</v>
      </c>
      <c r="AB286" s="3" t="s">
        <v>94</v>
      </c>
      <c r="AC286" s="3">
        <v>0</v>
      </c>
      <c r="AD286" s="3">
        <v>14.32</v>
      </c>
      <c r="AE286" s="3">
        <v>63</v>
      </c>
      <c r="AF286" s="3">
        <v>0</v>
      </c>
      <c r="AG286" s="3">
        <v>34.27061</v>
      </c>
      <c r="AH286" s="3">
        <v>0</v>
      </c>
      <c r="AI286" s="3" t="s">
        <v>595</v>
      </c>
      <c r="AJ286" s="3" t="s">
        <v>88</v>
      </c>
    </row>
    <row r="287" spans="1:36">
      <c r="A287" s="5">
        <v>43288</v>
      </c>
      <c r="B287" s="3" t="s">
        <v>1257</v>
      </c>
      <c r="C287" s="3" t="s">
        <v>1258</v>
      </c>
      <c r="D287" s="3" t="s">
        <v>1259</v>
      </c>
      <c r="E287" s="3" t="s">
        <v>1260</v>
      </c>
      <c r="F287" s="3" t="s">
        <v>84</v>
      </c>
      <c r="G287" s="3">
        <v>7</v>
      </c>
      <c r="H287" s="3">
        <v>0</v>
      </c>
      <c r="I287" s="3">
        <v>0</v>
      </c>
      <c r="J287" s="3">
        <v>0</v>
      </c>
      <c r="K287" s="3">
        <v>0</v>
      </c>
      <c r="L287" s="3">
        <v>7</v>
      </c>
      <c r="M287" s="3">
        <v>0</v>
      </c>
      <c r="N287" s="3" t="s">
        <v>85</v>
      </c>
      <c r="O287" s="3">
        <v>7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 t="s">
        <v>100</v>
      </c>
      <c r="X287" s="3">
        <v>13.9</v>
      </c>
      <c r="Y287" s="3">
        <v>13.9</v>
      </c>
      <c r="Z287" s="3">
        <v>13.9</v>
      </c>
      <c r="AA287" s="3">
        <v>0</v>
      </c>
      <c r="AB287" s="3" t="s">
        <v>86</v>
      </c>
      <c r="AC287" s="3">
        <v>7</v>
      </c>
      <c r="AD287" s="3">
        <v>13.9</v>
      </c>
      <c r="AE287" s="3">
        <v>0</v>
      </c>
      <c r="AF287" s="3">
        <v>0</v>
      </c>
      <c r="AG287" s="3">
        <v>0</v>
      </c>
      <c r="AH287" s="3">
        <v>0</v>
      </c>
      <c r="AI287" s="3" t="s">
        <v>106</v>
      </c>
      <c r="AJ287" s="3" t="s">
        <v>107</v>
      </c>
    </row>
    <row r="288" spans="1:36">
      <c r="A288" s="5">
        <v>43288</v>
      </c>
      <c r="B288" s="3" t="s">
        <v>8</v>
      </c>
      <c r="C288" s="3" t="s">
        <v>9</v>
      </c>
      <c r="D288" s="3" t="s">
        <v>10</v>
      </c>
      <c r="E288" s="3" t="s">
        <v>11</v>
      </c>
      <c r="F288" s="3" t="s">
        <v>84</v>
      </c>
      <c r="G288" s="3">
        <v>15</v>
      </c>
      <c r="H288" s="3">
        <v>0</v>
      </c>
      <c r="I288" s="3">
        <v>7</v>
      </c>
      <c r="J288" s="3">
        <v>8</v>
      </c>
      <c r="K288" s="3">
        <v>0</v>
      </c>
      <c r="L288" s="3">
        <v>0</v>
      </c>
      <c r="M288" s="3">
        <v>0</v>
      </c>
      <c r="N288" s="3" t="s">
        <v>85</v>
      </c>
      <c r="O288" s="3">
        <v>0</v>
      </c>
      <c r="P288" s="3">
        <v>0</v>
      </c>
      <c r="Q288" s="3">
        <v>0</v>
      </c>
      <c r="R288" s="3">
        <v>0</v>
      </c>
      <c r="S288" s="3">
        <v>3</v>
      </c>
      <c r="T288" s="3">
        <v>6</v>
      </c>
      <c r="U288" s="3">
        <v>14</v>
      </c>
      <c r="V288" s="3">
        <v>39</v>
      </c>
      <c r="W288" s="3" t="s">
        <v>93</v>
      </c>
      <c r="X288" s="3">
        <v>22.99</v>
      </c>
      <c r="Y288" s="3">
        <v>22.99</v>
      </c>
      <c r="Z288" s="3">
        <v>22.99</v>
      </c>
      <c r="AA288" s="3">
        <v>0</v>
      </c>
      <c r="AB288" s="3" t="s">
        <v>239</v>
      </c>
      <c r="AC288" s="3">
        <v>15</v>
      </c>
      <c r="AD288" s="3">
        <v>22.99</v>
      </c>
      <c r="AE288" s="3">
        <v>0</v>
      </c>
      <c r="AF288" s="3">
        <v>0</v>
      </c>
      <c r="AG288" s="3">
        <v>0</v>
      </c>
      <c r="AH288" s="3">
        <v>1.41818181818181</v>
      </c>
      <c r="AI288" s="3" t="s">
        <v>111</v>
      </c>
      <c r="AJ288" s="3" t="s">
        <v>107</v>
      </c>
    </row>
    <row r="289" spans="1:36">
      <c r="A289" s="5">
        <v>43288</v>
      </c>
      <c r="B289" s="3" t="s">
        <v>1261</v>
      </c>
      <c r="C289" s="3" t="s">
        <v>1262</v>
      </c>
      <c r="D289" s="3" t="s">
        <v>1263</v>
      </c>
      <c r="E289" s="3" t="s">
        <v>1264</v>
      </c>
      <c r="F289" s="3" t="s">
        <v>84</v>
      </c>
      <c r="G289" s="3">
        <v>6</v>
      </c>
      <c r="H289" s="3">
        <v>0</v>
      </c>
      <c r="I289" s="3">
        <v>0</v>
      </c>
      <c r="J289" s="3">
        <v>0</v>
      </c>
      <c r="K289" s="3">
        <v>0</v>
      </c>
      <c r="L289" s="3">
        <v>6</v>
      </c>
      <c r="M289" s="3">
        <v>0</v>
      </c>
      <c r="N289" s="3" t="s">
        <v>85</v>
      </c>
      <c r="O289" s="3">
        <v>6</v>
      </c>
      <c r="P289" s="3">
        <v>9.59</v>
      </c>
      <c r="Q289" s="3">
        <v>0</v>
      </c>
      <c r="R289" s="3">
        <v>0</v>
      </c>
      <c r="S289" s="3">
        <v>0</v>
      </c>
      <c r="T289" s="3">
        <v>2</v>
      </c>
      <c r="U289" s="3">
        <v>3</v>
      </c>
      <c r="V289" s="3">
        <v>4</v>
      </c>
      <c r="W289" s="3"/>
      <c r="X289" s="3">
        <v>13.9</v>
      </c>
      <c r="Y289" s="3">
        <v>13.9</v>
      </c>
      <c r="Z289" s="3">
        <v>13.9</v>
      </c>
      <c r="AA289" s="3">
        <v>0</v>
      </c>
      <c r="AB289" s="3" t="s">
        <v>86</v>
      </c>
      <c r="AC289" s="3">
        <v>6</v>
      </c>
      <c r="AD289" s="3">
        <v>13.9</v>
      </c>
      <c r="AE289" s="3">
        <v>0</v>
      </c>
      <c r="AF289" s="3">
        <v>0</v>
      </c>
      <c r="AG289" s="3">
        <v>0</v>
      </c>
      <c r="AH289" s="3">
        <v>0.484848484848484</v>
      </c>
      <c r="AI289" s="3" t="s">
        <v>140</v>
      </c>
      <c r="AJ289" s="3" t="s">
        <v>88</v>
      </c>
    </row>
    <row r="290" spans="1:36">
      <c r="A290" s="5">
        <v>43288</v>
      </c>
      <c r="B290" s="3" t="s">
        <v>1265</v>
      </c>
      <c r="C290" s="3" t="s">
        <v>1266</v>
      </c>
      <c r="D290" s="3" t="s">
        <v>1267</v>
      </c>
      <c r="E290" s="3" t="s">
        <v>1268</v>
      </c>
      <c r="F290" s="3" t="s">
        <v>84</v>
      </c>
      <c r="G290" s="3">
        <v>1</v>
      </c>
      <c r="H290" s="3">
        <v>0</v>
      </c>
      <c r="I290" s="3">
        <v>1</v>
      </c>
      <c r="J290" s="3">
        <v>0</v>
      </c>
      <c r="K290" s="3">
        <v>0</v>
      </c>
      <c r="L290" s="3">
        <v>0</v>
      </c>
      <c r="M290" s="3">
        <v>0</v>
      </c>
      <c r="N290" s="3" t="s">
        <v>85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1</v>
      </c>
      <c r="W290" s="3" t="s">
        <v>100</v>
      </c>
      <c r="X290" s="3">
        <v>42.99</v>
      </c>
      <c r="Y290" s="3">
        <v>42.99</v>
      </c>
      <c r="Z290" s="3">
        <v>42.49</v>
      </c>
      <c r="AA290" s="3">
        <v>0</v>
      </c>
      <c r="AB290" s="3" t="s">
        <v>94</v>
      </c>
      <c r="AC290" s="3">
        <v>0</v>
      </c>
      <c r="AD290" s="3">
        <v>34.39</v>
      </c>
      <c r="AE290" s="3">
        <v>63</v>
      </c>
      <c r="AF290" s="3">
        <v>0</v>
      </c>
      <c r="AG290" s="3">
        <v>9.504952</v>
      </c>
      <c r="AH290" s="3">
        <v>0.666666666666666</v>
      </c>
      <c r="AI290" s="3" t="s">
        <v>1269</v>
      </c>
      <c r="AJ290" s="3" t="s">
        <v>612</v>
      </c>
    </row>
    <row r="291" spans="1:36">
      <c r="A291" s="5">
        <v>43288</v>
      </c>
      <c r="B291" s="3" t="s">
        <v>1270</v>
      </c>
      <c r="C291" s="3" t="s">
        <v>1271</v>
      </c>
      <c r="D291" s="3" t="s">
        <v>1272</v>
      </c>
      <c r="E291" s="3" t="s">
        <v>1273</v>
      </c>
      <c r="F291" s="3" t="s">
        <v>84</v>
      </c>
      <c r="G291" s="3">
        <v>5</v>
      </c>
      <c r="H291" s="3">
        <v>0</v>
      </c>
      <c r="I291" s="3">
        <v>0</v>
      </c>
      <c r="J291" s="3">
        <v>2</v>
      </c>
      <c r="K291" s="3">
        <v>3</v>
      </c>
      <c r="L291" s="3">
        <v>0</v>
      </c>
      <c r="M291" s="3">
        <v>0</v>
      </c>
      <c r="N291" s="3" t="s">
        <v>85</v>
      </c>
      <c r="O291" s="3">
        <v>5</v>
      </c>
      <c r="P291" s="3">
        <v>43.94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 t="s">
        <v>100</v>
      </c>
      <c r="X291" s="3">
        <v>42.99</v>
      </c>
      <c r="Y291" s="3">
        <v>42.99</v>
      </c>
      <c r="Z291" s="3">
        <v>34.39</v>
      </c>
      <c r="AA291" s="3">
        <v>0</v>
      </c>
      <c r="AB291" s="3" t="s">
        <v>94</v>
      </c>
      <c r="AC291" s="3">
        <v>0</v>
      </c>
      <c r="AD291" s="3">
        <v>39.37</v>
      </c>
      <c r="AE291" s="3">
        <v>35</v>
      </c>
      <c r="AF291" s="3">
        <v>0</v>
      </c>
      <c r="AG291" s="3">
        <v>539.300371</v>
      </c>
      <c r="AH291" s="3">
        <v>0</v>
      </c>
      <c r="AI291" s="3" t="s">
        <v>308</v>
      </c>
      <c r="AJ291" s="3" t="s">
        <v>88</v>
      </c>
    </row>
    <row r="292" spans="1:36">
      <c r="A292" s="5">
        <v>43288</v>
      </c>
      <c r="B292" s="3" t="s">
        <v>24</v>
      </c>
      <c r="C292" s="3" t="s">
        <v>25</v>
      </c>
      <c r="D292" s="3" t="s">
        <v>26</v>
      </c>
      <c r="E292" s="3" t="s">
        <v>27</v>
      </c>
      <c r="F292" s="3" t="s">
        <v>84</v>
      </c>
      <c r="G292" s="3">
        <v>30</v>
      </c>
      <c r="H292" s="3">
        <v>0</v>
      </c>
      <c r="I292" s="3">
        <v>4</v>
      </c>
      <c r="J292" s="3">
        <v>3</v>
      </c>
      <c r="K292" s="3">
        <v>1</v>
      </c>
      <c r="L292" s="3">
        <v>22</v>
      </c>
      <c r="M292" s="3">
        <v>0</v>
      </c>
      <c r="N292" s="3" t="s">
        <v>85</v>
      </c>
      <c r="O292" s="3">
        <v>26</v>
      </c>
      <c r="P292" s="3">
        <v>34.31</v>
      </c>
      <c r="Q292" s="3">
        <v>0</v>
      </c>
      <c r="R292" s="3">
        <v>0</v>
      </c>
      <c r="S292" s="3">
        <v>0</v>
      </c>
      <c r="T292" s="3">
        <v>4</v>
      </c>
      <c r="U292" s="3">
        <v>9</v>
      </c>
      <c r="V292" s="3">
        <v>17</v>
      </c>
      <c r="W292" s="3"/>
      <c r="X292" s="3">
        <v>35.9</v>
      </c>
      <c r="Y292" s="3">
        <v>9.99</v>
      </c>
      <c r="Z292" s="3">
        <v>9.99</v>
      </c>
      <c r="AA292" s="3">
        <v>0</v>
      </c>
      <c r="AB292" s="3" t="s">
        <v>86</v>
      </c>
      <c r="AC292" s="3">
        <v>30</v>
      </c>
      <c r="AD292" s="3">
        <v>9.99</v>
      </c>
      <c r="AE292" s="3">
        <v>0</v>
      </c>
      <c r="AF292" s="3">
        <v>0</v>
      </c>
      <c r="AG292" s="3">
        <v>0</v>
      </c>
      <c r="AH292" s="3">
        <v>0.475524475524475</v>
      </c>
      <c r="AI292" s="3" t="s">
        <v>194</v>
      </c>
      <c r="AJ292" s="3" t="s">
        <v>88</v>
      </c>
    </row>
    <row r="293" spans="1:36">
      <c r="A293" s="5">
        <v>43288</v>
      </c>
      <c r="B293" s="3" t="s">
        <v>1274</v>
      </c>
      <c r="C293" s="3" t="s">
        <v>1275</v>
      </c>
      <c r="D293" s="3" t="s">
        <v>1276</v>
      </c>
      <c r="E293" s="3" t="s">
        <v>1277</v>
      </c>
      <c r="F293" s="3" t="s">
        <v>84</v>
      </c>
      <c r="G293" s="3">
        <v>27</v>
      </c>
      <c r="H293" s="3">
        <v>0</v>
      </c>
      <c r="I293" s="3">
        <v>0</v>
      </c>
      <c r="J293" s="3">
        <v>0</v>
      </c>
      <c r="K293" s="3">
        <v>0</v>
      </c>
      <c r="L293" s="3">
        <v>27</v>
      </c>
      <c r="M293" s="3">
        <v>0</v>
      </c>
      <c r="N293" s="3" t="s">
        <v>85</v>
      </c>
      <c r="O293" s="3">
        <v>27</v>
      </c>
      <c r="P293" s="3">
        <v>36.87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 t="s">
        <v>100</v>
      </c>
      <c r="X293" s="3">
        <v>9.42</v>
      </c>
      <c r="Y293" s="3">
        <v>9.42</v>
      </c>
      <c r="Z293" s="3">
        <v>9.42</v>
      </c>
      <c r="AA293" s="3">
        <v>0</v>
      </c>
      <c r="AB293" s="3" t="s">
        <v>94</v>
      </c>
      <c r="AC293" s="3">
        <v>0</v>
      </c>
      <c r="AD293" s="3">
        <v>7.54</v>
      </c>
      <c r="AE293" s="3">
        <v>364</v>
      </c>
      <c r="AF293" s="3">
        <v>0</v>
      </c>
      <c r="AG293" s="3">
        <v>450.173899</v>
      </c>
      <c r="AH293" s="3">
        <v>0</v>
      </c>
      <c r="AI293" s="3" t="s">
        <v>164</v>
      </c>
      <c r="AJ293" s="3" t="s">
        <v>88</v>
      </c>
    </row>
    <row r="294" spans="1:36">
      <c r="A294" s="5">
        <v>43288</v>
      </c>
      <c r="B294" s="3" t="s">
        <v>1278</v>
      </c>
      <c r="C294" s="3" t="s">
        <v>1279</v>
      </c>
      <c r="D294" s="3" t="s">
        <v>1280</v>
      </c>
      <c r="E294" s="3" t="s">
        <v>1281</v>
      </c>
      <c r="F294" s="3" t="s">
        <v>84</v>
      </c>
      <c r="G294" s="3">
        <v>5</v>
      </c>
      <c r="H294" s="3">
        <v>0</v>
      </c>
      <c r="I294" s="3">
        <v>0</v>
      </c>
      <c r="J294" s="3">
        <v>0</v>
      </c>
      <c r="K294" s="3">
        <v>1</v>
      </c>
      <c r="L294" s="3">
        <v>4</v>
      </c>
      <c r="M294" s="3">
        <v>0</v>
      </c>
      <c r="N294" s="3" t="s">
        <v>85</v>
      </c>
      <c r="O294" s="3">
        <v>5</v>
      </c>
      <c r="P294" s="3">
        <v>8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0</v>
      </c>
      <c r="W294" s="3" t="s">
        <v>100</v>
      </c>
      <c r="X294" s="3">
        <v>13.9</v>
      </c>
      <c r="Y294" s="3">
        <v>13.9</v>
      </c>
      <c r="Z294" s="3">
        <v>13.9</v>
      </c>
      <c r="AA294" s="3">
        <v>0</v>
      </c>
      <c r="AB294" s="3" t="s">
        <v>94</v>
      </c>
      <c r="AC294" s="3">
        <v>0</v>
      </c>
      <c r="AD294" s="3">
        <v>11.25</v>
      </c>
      <c r="AE294" s="3">
        <v>217</v>
      </c>
      <c r="AF294" s="3">
        <v>0</v>
      </c>
      <c r="AG294" s="3">
        <v>108.172617</v>
      </c>
      <c r="AH294" s="3">
        <v>0</v>
      </c>
      <c r="AI294" s="3" t="s">
        <v>140</v>
      </c>
      <c r="AJ294" s="3" t="s">
        <v>88</v>
      </c>
    </row>
    <row r="295" spans="1:36">
      <c r="A295" s="5">
        <v>43288</v>
      </c>
      <c r="B295" s="3" t="s">
        <v>1282</v>
      </c>
      <c r="C295" s="3" t="s">
        <v>1283</v>
      </c>
      <c r="D295" s="3" t="s">
        <v>1284</v>
      </c>
      <c r="E295" s="3" t="s">
        <v>1285</v>
      </c>
      <c r="F295" s="3" t="s">
        <v>84</v>
      </c>
      <c r="G295" s="3">
        <v>1</v>
      </c>
      <c r="H295" s="3">
        <v>0</v>
      </c>
      <c r="I295" s="3">
        <v>0</v>
      </c>
      <c r="J295" s="3">
        <v>0</v>
      </c>
      <c r="K295" s="3">
        <v>0</v>
      </c>
      <c r="L295" s="3">
        <v>1</v>
      </c>
      <c r="M295" s="3">
        <v>0</v>
      </c>
      <c r="N295" s="3" t="s">
        <v>85</v>
      </c>
      <c r="O295" s="3">
        <v>0</v>
      </c>
      <c r="P295" s="3">
        <v>0</v>
      </c>
      <c r="Q295" s="3">
        <v>1</v>
      </c>
      <c r="R295" s="3">
        <v>0.5</v>
      </c>
      <c r="S295" s="3">
        <v>0</v>
      </c>
      <c r="T295" s="3">
        <v>0</v>
      </c>
      <c r="U295" s="3">
        <v>0</v>
      </c>
      <c r="V295" s="3">
        <v>0</v>
      </c>
      <c r="W295" s="3" t="s">
        <v>93</v>
      </c>
      <c r="X295" s="3">
        <v>5.36</v>
      </c>
      <c r="Y295" s="3">
        <v>5.36</v>
      </c>
      <c r="Z295" s="3">
        <v>5.36</v>
      </c>
      <c r="AA295" s="3">
        <v>0</v>
      </c>
      <c r="AB295" s="3" t="s">
        <v>86</v>
      </c>
      <c r="AC295" s="3">
        <v>1</v>
      </c>
      <c r="AD295" s="3">
        <v>5.36</v>
      </c>
      <c r="AE295" s="3">
        <v>0</v>
      </c>
      <c r="AF295" s="3">
        <v>0</v>
      </c>
      <c r="AG295" s="3">
        <v>0</v>
      </c>
      <c r="AH295" s="3">
        <v>0</v>
      </c>
      <c r="AI295" s="3" t="s">
        <v>106</v>
      </c>
      <c r="AJ295" s="3" t="s">
        <v>88</v>
      </c>
    </row>
    <row r="296" spans="1:36">
      <c r="A296" s="5">
        <v>43288</v>
      </c>
      <c r="B296" s="3" t="s">
        <v>1286</v>
      </c>
      <c r="C296" s="3" t="s">
        <v>1287</v>
      </c>
      <c r="D296" s="3" t="s">
        <v>1288</v>
      </c>
      <c r="E296" s="3" t="s">
        <v>1289</v>
      </c>
      <c r="F296" s="3" t="s">
        <v>84</v>
      </c>
      <c r="G296" s="3">
        <v>11</v>
      </c>
      <c r="H296" s="3">
        <v>0</v>
      </c>
      <c r="I296" s="3">
        <v>0</v>
      </c>
      <c r="J296" s="3">
        <v>11</v>
      </c>
      <c r="K296" s="3">
        <v>0</v>
      </c>
      <c r="L296" s="3">
        <v>0</v>
      </c>
      <c r="M296" s="3">
        <v>0</v>
      </c>
      <c r="N296" s="3" t="s">
        <v>85</v>
      </c>
      <c r="O296" s="3">
        <v>3</v>
      </c>
      <c r="P296" s="3">
        <v>0.69</v>
      </c>
      <c r="Q296" s="3">
        <v>0</v>
      </c>
      <c r="R296" s="3">
        <v>0</v>
      </c>
      <c r="S296" s="3">
        <v>0</v>
      </c>
      <c r="T296" s="3">
        <v>0</v>
      </c>
      <c r="U296" s="3">
        <v>1</v>
      </c>
      <c r="V296" s="3">
        <v>2</v>
      </c>
      <c r="W296" s="3" t="s">
        <v>100</v>
      </c>
      <c r="X296" s="3">
        <v>18.99</v>
      </c>
      <c r="Y296" s="3">
        <v>18.99</v>
      </c>
      <c r="Z296" s="3">
        <v>18.99</v>
      </c>
      <c r="AA296" s="3">
        <v>0</v>
      </c>
      <c r="AB296" s="3" t="s">
        <v>94</v>
      </c>
      <c r="AC296" s="3">
        <v>1</v>
      </c>
      <c r="AD296" s="3">
        <v>14.18</v>
      </c>
      <c r="AE296" s="3">
        <v>364</v>
      </c>
      <c r="AF296" s="3">
        <v>0</v>
      </c>
      <c r="AG296" s="3">
        <v>26.359003</v>
      </c>
      <c r="AH296" s="3">
        <v>0.170212765957446</v>
      </c>
      <c r="AI296" s="3" t="s">
        <v>366</v>
      </c>
      <c r="AJ296" s="3" t="s">
        <v>88</v>
      </c>
    </row>
    <row r="297" spans="1:36">
      <c r="A297" s="5">
        <v>43288</v>
      </c>
      <c r="B297" s="3" t="s">
        <v>1290</v>
      </c>
      <c r="C297" s="3" t="s">
        <v>1291</v>
      </c>
      <c r="D297" s="3" t="s">
        <v>1292</v>
      </c>
      <c r="E297" s="3" t="s">
        <v>732</v>
      </c>
      <c r="F297" s="3" t="s">
        <v>84</v>
      </c>
      <c r="G297" s="3">
        <v>13</v>
      </c>
      <c r="H297" s="3">
        <v>0</v>
      </c>
      <c r="I297" s="3">
        <v>0</v>
      </c>
      <c r="J297" s="3">
        <v>13</v>
      </c>
      <c r="K297" s="3">
        <v>0</v>
      </c>
      <c r="L297" s="3">
        <v>0</v>
      </c>
      <c r="M297" s="3">
        <v>0</v>
      </c>
      <c r="N297" s="3" t="s">
        <v>85</v>
      </c>
      <c r="O297" s="3">
        <v>13</v>
      </c>
      <c r="P297" s="3">
        <v>26.08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 t="s">
        <v>100</v>
      </c>
      <c r="X297" s="3">
        <v>20.99</v>
      </c>
      <c r="Y297" s="3">
        <v>20.99</v>
      </c>
      <c r="Z297" s="3">
        <v>20.99</v>
      </c>
      <c r="AA297" s="3">
        <v>0</v>
      </c>
      <c r="AB297" s="3" t="s">
        <v>94</v>
      </c>
      <c r="AC297" s="3">
        <v>0</v>
      </c>
      <c r="AD297" s="3">
        <v>15.96</v>
      </c>
      <c r="AE297" s="3">
        <v>350</v>
      </c>
      <c r="AF297" s="3">
        <v>0</v>
      </c>
      <c r="AG297" s="3">
        <v>345.960202</v>
      </c>
      <c r="AH297" s="3">
        <v>0</v>
      </c>
      <c r="AI297" s="3" t="s">
        <v>87</v>
      </c>
      <c r="AJ297" s="3" t="s">
        <v>88</v>
      </c>
    </row>
    <row r="298" spans="1:36">
      <c r="A298" s="5">
        <v>43288</v>
      </c>
      <c r="B298" s="3" t="s">
        <v>1293</v>
      </c>
      <c r="C298" s="3" t="s">
        <v>1294</v>
      </c>
      <c r="D298" s="3" t="s">
        <v>1295</v>
      </c>
      <c r="E298" s="3" t="s">
        <v>1296</v>
      </c>
      <c r="F298" s="3" t="s">
        <v>84</v>
      </c>
      <c r="G298" s="3">
        <v>5</v>
      </c>
      <c r="H298" s="3">
        <v>0</v>
      </c>
      <c r="I298" s="3">
        <v>1</v>
      </c>
      <c r="J298" s="3">
        <v>4</v>
      </c>
      <c r="K298" s="3">
        <v>0</v>
      </c>
      <c r="L298" s="3">
        <v>0</v>
      </c>
      <c r="M298" s="3">
        <v>0</v>
      </c>
      <c r="N298" s="3" t="s">
        <v>85</v>
      </c>
      <c r="O298" s="3">
        <v>3</v>
      </c>
      <c r="P298" s="3">
        <v>26.37</v>
      </c>
      <c r="Q298" s="3">
        <v>0</v>
      </c>
      <c r="R298" s="3">
        <v>0</v>
      </c>
      <c r="S298" s="3">
        <v>0</v>
      </c>
      <c r="T298" s="3">
        <v>1</v>
      </c>
      <c r="U298" s="3">
        <v>1</v>
      </c>
      <c r="V298" s="3">
        <v>1</v>
      </c>
      <c r="W298" s="3"/>
      <c r="X298" s="3">
        <v>42.99</v>
      </c>
      <c r="Y298" s="3">
        <v>42.99</v>
      </c>
      <c r="Z298" s="3">
        <v>42.99</v>
      </c>
      <c r="AA298" s="3">
        <v>0</v>
      </c>
      <c r="AB298" s="3" t="s">
        <v>94</v>
      </c>
      <c r="AC298" s="3">
        <v>2</v>
      </c>
      <c r="AD298" s="3">
        <v>36.92</v>
      </c>
      <c r="AE298" s="3">
        <v>35</v>
      </c>
      <c r="AF298" s="3">
        <v>0</v>
      </c>
      <c r="AG298" s="3">
        <v>6.596319</v>
      </c>
      <c r="AH298" s="3">
        <v>0.117647058823529</v>
      </c>
      <c r="AI298" s="3" t="s">
        <v>1297</v>
      </c>
      <c r="AJ298" s="3" t="s">
        <v>88</v>
      </c>
    </row>
    <row r="299" spans="1:36">
      <c r="A299" s="5">
        <v>43288</v>
      </c>
      <c r="B299" s="3" t="s">
        <v>1298</v>
      </c>
      <c r="C299" s="3" t="s">
        <v>1299</v>
      </c>
      <c r="D299" s="3" t="s">
        <v>1300</v>
      </c>
      <c r="E299" s="3" t="s">
        <v>1301</v>
      </c>
      <c r="F299" s="3" t="s">
        <v>84</v>
      </c>
      <c r="G299" s="3">
        <v>4</v>
      </c>
      <c r="H299" s="3">
        <v>0</v>
      </c>
      <c r="I299" s="3">
        <v>0</v>
      </c>
      <c r="J299" s="3">
        <v>0</v>
      </c>
      <c r="K299" s="3">
        <v>0</v>
      </c>
      <c r="L299" s="3">
        <v>4</v>
      </c>
      <c r="M299" s="3">
        <v>0</v>
      </c>
      <c r="N299" s="3" t="s">
        <v>85</v>
      </c>
      <c r="O299" s="3">
        <v>0</v>
      </c>
      <c r="P299" s="3">
        <v>0</v>
      </c>
      <c r="Q299" s="3">
        <v>4</v>
      </c>
      <c r="R299" s="3">
        <v>2</v>
      </c>
      <c r="S299" s="3">
        <v>0</v>
      </c>
      <c r="T299" s="3">
        <v>0</v>
      </c>
      <c r="U299" s="3">
        <v>0</v>
      </c>
      <c r="V299" s="3">
        <v>0</v>
      </c>
      <c r="W299" s="3" t="s">
        <v>93</v>
      </c>
      <c r="X299" s="3">
        <v>66.9</v>
      </c>
      <c r="Y299" s="3">
        <v>66.9</v>
      </c>
      <c r="Z299" s="3">
        <v>66.9</v>
      </c>
      <c r="AA299" s="3">
        <v>0</v>
      </c>
      <c r="AB299" s="3" t="s">
        <v>94</v>
      </c>
      <c r="AC299" s="3">
        <v>0</v>
      </c>
      <c r="AD299" s="3">
        <v>53.52</v>
      </c>
      <c r="AE299" s="3">
        <v>63</v>
      </c>
      <c r="AF299" s="3">
        <v>0</v>
      </c>
      <c r="AG299" s="3">
        <v>25.847833</v>
      </c>
      <c r="AH299" s="3">
        <v>0</v>
      </c>
      <c r="AI299" s="3" t="s">
        <v>95</v>
      </c>
      <c r="AJ299" s="3" t="s">
        <v>88</v>
      </c>
    </row>
    <row r="300" spans="1:36">
      <c r="A300" s="5">
        <v>43288</v>
      </c>
      <c r="B300" s="3" t="s">
        <v>1302</v>
      </c>
      <c r="C300" s="3" t="s">
        <v>1303</v>
      </c>
      <c r="D300" s="3" t="s">
        <v>1304</v>
      </c>
      <c r="E300" s="3" t="s">
        <v>1305</v>
      </c>
      <c r="F300" s="3" t="s">
        <v>84</v>
      </c>
      <c r="G300" s="3">
        <v>2</v>
      </c>
      <c r="H300" s="3">
        <v>0</v>
      </c>
      <c r="I300" s="3">
        <v>0</v>
      </c>
      <c r="J300" s="3">
        <v>0</v>
      </c>
      <c r="K300" s="3">
        <v>2</v>
      </c>
      <c r="L300" s="3">
        <v>0</v>
      </c>
      <c r="M300" s="3">
        <v>0</v>
      </c>
      <c r="N300" s="3" t="s">
        <v>85</v>
      </c>
      <c r="O300" s="3">
        <v>2</v>
      </c>
      <c r="P300" s="3">
        <v>12.66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 t="s">
        <v>100</v>
      </c>
      <c r="X300" s="3">
        <v>69.99</v>
      </c>
      <c r="Y300" s="3">
        <v>42.99</v>
      </c>
      <c r="Z300" s="3">
        <v>38.8</v>
      </c>
      <c r="AA300" s="3">
        <v>0</v>
      </c>
      <c r="AB300" s="3" t="s">
        <v>94</v>
      </c>
      <c r="AC300" s="3">
        <v>0</v>
      </c>
      <c r="AD300" s="3">
        <v>37.66</v>
      </c>
      <c r="AE300" s="3">
        <v>182</v>
      </c>
      <c r="AF300" s="3">
        <v>0</v>
      </c>
      <c r="AG300" s="3">
        <v>146.459133</v>
      </c>
      <c r="AH300" s="3">
        <v>0</v>
      </c>
      <c r="AI300" s="3" t="s">
        <v>135</v>
      </c>
      <c r="AJ300" s="3" t="s">
        <v>88</v>
      </c>
    </row>
    <row r="301" spans="1:36">
      <c r="A301" s="5">
        <v>43288</v>
      </c>
      <c r="B301" s="3" t="s">
        <v>1306</v>
      </c>
      <c r="C301" s="3" t="s">
        <v>1307</v>
      </c>
      <c r="D301" s="3" t="s">
        <v>1308</v>
      </c>
      <c r="E301" s="3" t="s">
        <v>1309</v>
      </c>
      <c r="F301" s="3" t="s">
        <v>84</v>
      </c>
      <c r="G301" s="3">
        <v>4</v>
      </c>
      <c r="H301" s="3">
        <v>0</v>
      </c>
      <c r="I301" s="3">
        <v>0</v>
      </c>
      <c r="J301" s="3">
        <v>0</v>
      </c>
      <c r="K301" s="3">
        <v>0</v>
      </c>
      <c r="L301" s="3">
        <v>4</v>
      </c>
      <c r="M301" s="3">
        <v>0</v>
      </c>
      <c r="N301" s="3" t="s">
        <v>85</v>
      </c>
      <c r="O301" s="3">
        <v>4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1</v>
      </c>
      <c r="W301" s="3" t="s">
        <v>100</v>
      </c>
      <c r="X301" s="3">
        <v>13.9</v>
      </c>
      <c r="Y301" s="3">
        <v>13.9</v>
      </c>
      <c r="Z301" s="3">
        <v>13.9</v>
      </c>
      <c r="AA301" s="3">
        <v>0</v>
      </c>
      <c r="AB301" s="3" t="s">
        <v>86</v>
      </c>
      <c r="AC301" s="3">
        <v>4</v>
      </c>
      <c r="AD301" s="3">
        <v>13.9</v>
      </c>
      <c r="AE301" s="3">
        <v>0</v>
      </c>
      <c r="AF301" s="3">
        <v>0</v>
      </c>
      <c r="AG301" s="3">
        <v>0</v>
      </c>
      <c r="AH301" s="3">
        <v>0.235294117647058</v>
      </c>
      <c r="AI301" s="3" t="s">
        <v>106</v>
      </c>
      <c r="AJ301" s="3" t="s">
        <v>88</v>
      </c>
    </row>
    <row r="302" spans="1:36">
      <c r="A302" s="5">
        <v>43288</v>
      </c>
      <c r="B302" s="3" t="s">
        <v>1310</v>
      </c>
      <c r="C302" s="3" t="s">
        <v>1311</v>
      </c>
      <c r="D302" s="3" t="s">
        <v>1312</v>
      </c>
      <c r="E302" s="3" t="s">
        <v>1313</v>
      </c>
      <c r="F302" s="3" t="s">
        <v>84</v>
      </c>
      <c r="G302" s="3">
        <v>41</v>
      </c>
      <c r="H302" s="3">
        <v>0</v>
      </c>
      <c r="I302" s="3">
        <v>1</v>
      </c>
      <c r="J302" s="3">
        <v>1</v>
      </c>
      <c r="K302" s="3">
        <v>1</v>
      </c>
      <c r="L302" s="3">
        <v>38</v>
      </c>
      <c r="M302" s="3">
        <v>0</v>
      </c>
      <c r="N302" s="3" t="s">
        <v>85</v>
      </c>
      <c r="O302" s="3">
        <v>39</v>
      </c>
      <c r="P302" s="3">
        <v>54.64</v>
      </c>
      <c r="Q302" s="3">
        <v>0</v>
      </c>
      <c r="R302" s="3">
        <v>0</v>
      </c>
      <c r="S302" s="3">
        <v>1</v>
      </c>
      <c r="T302" s="3">
        <v>2</v>
      </c>
      <c r="U302" s="3">
        <v>2</v>
      </c>
      <c r="V302" s="3">
        <v>2</v>
      </c>
      <c r="W302" s="3" t="s">
        <v>93</v>
      </c>
      <c r="X302" s="3">
        <v>7.99</v>
      </c>
      <c r="Y302" s="3">
        <v>7.99</v>
      </c>
      <c r="Z302" s="3">
        <v>7.99</v>
      </c>
      <c r="AA302" s="3">
        <v>0</v>
      </c>
      <c r="AB302" s="3" t="s">
        <v>239</v>
      </c>
      <c r="AC302" s="3">
        <v>5</v>
      </c>
      <c r="AD302" s="3">
        <v>5.85</v>
      </c>
      <c r="AE302" s="3">
        <v>140</v>
      </c>
      <c r="AF302" s="3">
        <v>0</v>
      </c>
      <c r="AG302" s="3">
        <v>255.827674</v>
      </c>
      <c r="AH302" s="3">
        <v>0.0473372781065088</v>
      </c>
      <c r="AI302" s="3" t="s">
        <v>328</v>
      </c>
      <c r="AJ302" s="3" t="s">
        <v>88</v>
      </c>
    </row>
    <row r="303" spans="1:36">
      <c r="A303" s="5">
        <v>43288</v>
      </c>
      <c r="B303" s="3" t="s">
        <v>1314</v>
      </c>
      <c r="C303" s="3" t="s">
        <v>1315</v>
      </c>
      <c r="D303" s="3" t="s">
        <v>1316</v>
      </c>
      <c r="E303" s="3" t="s">
        <v>1317</v>
      </c>
      <c r="F303" s="3" t="s">
        <v>84</v>
      </c>
      <c r="G303" s="3">
        <v>2</v>
      </c>
      <c r="H303" s="3">
        <v>0</v>
      </c>
      <c r="I303" s="3">
        <v>0</v>
      </c>
      <c r="J303" s="3">
        <v>0</v>
      </c>
      <c r="K303" s="3">
        <v>0</v>
      </c>
      <c r="L303" s="3">
        <v>2</v>
      </c>
      <c r="M303" s="3">
        <v>0</v>
      </c>
      <c r="N303" s="3" t="s">
        <v>85</v>
      </c>
      <c r="O303" s="3">
        <v>2</v>
      </c>
      <c r="P303" s="3">
        <v>3.85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 t="s">
        <v>93</v>
      </c>
      <c r="X303" s="3">
        <v>11.9</v>
      </c>
      <c r="Y303" s="3">
        <v>11.9</v>
      </c>
      <c r="Z303" s="3">
        <v>11.9</v>
      </c>
      <c r="AA303" s="3">
        <v>0</v>
      </c>
      <c r="AB303" s="3" t="s">
        <v>94</v>
      </c>
      <c r="AC303" s="3">
        <v>0</v>
      </c>
      <c r="AD303" s="3">
        <v>9.52</v>
      </c>
      <c r="AE303" s="3">
        <v>63</v>
      </c>
      <c r="AF303" s="3">
        <v>0</v>
      </c>
      <c r="AG303" s="3">
        <v>45.224301</v>
      </c>
      <c r="AH303" s="3">
        <v>0</v>
      </c>
      <c r="AI303" s="3" t="s">
        <v>371</v>
      </c>
      <c r="AJ303" s="3" t="s">
        <v>88</v>
      </c>
    </row>
    <row r="304" spans="1:36">
      <c r="A304" s="5">
        <v>43288</v>
      </c>
      <c r="B304" s="3" t="s">
        <v>1318</v>
      </c>
      <c r="C304" s="3" t="s">
        <v>1319</v>
      </c>
      <c r="D304" s="3" t="s">
        <v>1320</v>
      </c>
      <c r="E304" s="3" t="s">
        <v>1321</v>
      </c>
      <c r="F304" s="3" t="s">
        <v>84</v>
      </c>
      <c r="G304" s="3">
        <v>10</v>
      </c>
      <c r="H304" s="3">
        <v>0</v>
      </c>
      <c r="I304" s="3">
        <v>0</v>
      </c>
      <c r="J304" s="3">
        <v>1</v>
      </c>
      <c r="K304" s="3">
        <v>1</v>
      </c>
      <c r="L304" s="3">
        <v>8</v>
      </c>
      <c r="M304" s="3">
        <v>0</v>
      </c>
      <c r="N304" s="3" t="s">
        <v>85</v>
      </c>
      <c r="O304" s="3">
        <v>3</v>
      </c>
      <c r="P304" s="3">
        <v>4.8</v>
      </c>
      <c r="Q304" s="3">
        <v>6</v>
      </c>
      <c r="R304" s="3">
        <v>19.19</v>
      </c>
      <c r="S304" s="3">
        <v>0</v>
      </c>
      <c r="T304" s="3">
        <v>0</v>
      </c>
      <c r="U304" s="3">
        <v>1</v>
      </c>
      <c r="V304" s="3">
        <v>3</v>
      </c>
      <c r="W304" s="3" t="s">
        <v>100</v>
      </c>
      <c r="X304" s="3">
        <v>13.9</v>
      </c>
      <c r="Y304" s="3">
        <v>13.9</v>
      </c>
      <c r="Z304" s="3">
        <v>13.9</v>
      </c>
      <c r="AA304" s="3">
        <v>0</v>
      </c>
      <c r="AB304" s="3" t="s">
        <v>94</v>
      </c>
      <c r="AC304" s="3">
        <v>7</v>
      </c>
      <c r="AD304" s="3">
        <v>11.71</v>
      </c>
      <c r="AE304" s="3">
        <v>35</v>
      </c>
      <c r="AF304" s="3">
        <v>0</v>
      </c>
      <c r="AG304" s="3">
        <v>0.890481</v>
      </c>
      <c r="AH304" s="3">
        <v>0.272727272727272</v>
      </c>
      <c r="AI304" s="3" t="s">
        <v>140</v>
      </c>
      <c r="AJ304" s="3" t="s">
        <v>88</v>
      </c>
    </row>
    <row r="305" spans="1:36">
      <c r="A305" s="5">
        <v>43288</v>
      </c>
      <c r="B305" s="3" t="s">
        <v>1322</v>
      </c>
      <c r="C305" s="3" t="s">
        <v>1323</v>
      </c>
      <c r="D305" s="3" t="s">
        <v>1324</v>
      </c>
      <c r="E305" s="3" t="s">
        <v>1325</v>
      </c>
      <c r="F305" s="3" t="s">
        <v>84</v>
      </c>
      <c r="G305" s="3">
        <v>3</v>
      </c>
      <c r="H305" s="3">
        <v>0</v>
      </c>
      <c r="I305" s="3">
        <v>0</v>
      </c>
      <c r="J305" s="3">
        <v>0</v>
      </c>
      <c r="K305" s="3">
        <v>0</v>
      </c>
      <c r="L305" s="3">
        <v>3</v>
      </c>
      <c r="M305" s="3">
        <v>0</v>
      </c>
      <c r="N305" s="3" t="s">
        <v>85</v>
      </c>
      <c r="O305" s="3">
        <v>1</v>
      </c>
      <c r="P305" s="3">
        <v>0.71</v>
      </c>
      <c r="Q305" s="3">
        <v>2</v>
      </c>
      <c r="R305" s="3">
        <v>2.86</v>
      </c>
      <c r="S305" s="3">
        <v>0</v>
      </c>
      <c r="T305" s="3">
        <v>0</v>
      </c>
      <c r="U305" s="3">
        <v>0</v>
      </c>
      <c r="V305" s="3">
        <v>0</v>
      </c>
      <c r="W305" s="3" t="s">
        <v>93</v>
      </c>
      <c r="X305" s="3">
        <v>12.9</v>
      </c>
      <c r="Y305" s="3">
        <v>12.9</v>
      </c>
      <c r="Z305" s="3">
        <v>12.9</v>
      </c>
      <c r="AA305" s="3">
        <v>0</v>
      </c>
      <c r="AB305" s="3" t="s">
        <v>94</v>
      </c>
      <c r="AC305" s="3">
        <v>0</v>
      </c>
      <c r="AD305" s="3">
        <v>10.32</v>
      </c>
      <c r="AE305" s="3">
        <v>63</v>
      </c>
      <c r="AF305" s="3">
        <v>0</v>
      </c>
      <c r="AG305" s="3">
        <v>27.970529</v>
      </c>
      <c r="AH305" s="3">
        <v>0</v>
      </c>
      <c r="AI305" s="3" t="s">
        <v>276</v>
      </c>
      <c r="AJ305" s="3" t="s">
        <v>88</v>
      </c>
    </row>
    <row r="306" spans="1:36">
      <c r="A306" s="5">
        <v>43288</v>
      </c>
      <c r="B306" s="3" t="s">
        <v>1326</v>
      </c>
      <c r="C306" s="3" t="s">
        <v>1327</v>
      </c>
      <c r="D306" s="3" t="s">
        <v>1328</v>
      </c>
      <c r="E306" s="3" t="s">
        <v>1329</v>
      </c>
      <c r="F306" s="3" t="s">
        <v>84</v>
      </c>
      <c r="G306" s="3">
        <v>3</v>
      </c>
      <c r="H306" s="3">
        <v>0</v>
      </c>
      <c r="I306" s="3">
        <v>0</v>
      </c>
      <c r="J306" s="3">
        <v>0</v>
      </c>
      <c r="K306" s="3">
        <v>3</v>
      </c>
      <c r="L306" s="3">
        <v>0</v>
      </c>
      <c r="M306" s="3">
        <v>0</v>
      </c>
      <c r="N306" s="3" t="s">
        <v>85</v>
      </c>
      <c r="O306" s="3">
        <v>3</v>
      </c>
      <c r="P306" s="3">
        <v>4.47</v>
      </c>
      <c r="Q306" s="3">
        <v>0</v>
      </c>
      <c r="R306" s="3">
        <v>0</v>
      </c>
      <c r="S306" s="3">
        <v>1</v>
      </c>
      <c r="T306" s="3">
        <v>1</v>
      </c>
      <c r="U306" s="3">
        <v>2</v>
      </c>
      <c r="V306" s="3">
        <v>2</v>
      </c>
      <c r="W306" s="3" t="s">
        <v>93</v>
      </c>
      <c r="X306" s="3">
        <v>20.9</v>
      </c>
      <c r="Y306" s="3">
        <v>20.9</v>
      </c>
      <c r="Z306" s="3">
        <v>20.9</v>
      </c>
      <c r="AA306" s="3">
        <v>0</v>
      </c>
      <c r="AB306" s="3" t="s">
        <v>769</v>
      </c>
      <c r="AC306" s="3">
        <v>0</v>
      </c>
      <c r="AD306" s="3">
        <v>20.9</v>
      </c>
      <c r="AE306" s="3">
        <v>0</v>
      </c>
      <c r="AF306" s="3">
        <v>3</v>
      </c>
      <c r="AG306" s="3">
        <v>69.806159</v>
      </c>
      <c r="AH306" s="3">
        <v>0.470588235294117</v>
      </c>
      <c r="AI306" s="3" t="s">
        <v>1330</v>
      </c>
      <c r="AJ306" s="3" t="s">
        <v>88</v>
      </c>
    </row>
    <row r="307" spans="1:36">
      <c r="A307" s="5">
        <v>43288</v>
      </c>
      <c r="B307" s="3" t="s">
        <v>1331</v>
      </c>
      <c r="C307" s="3" t="s">
        <v>1332</v>
      </c>
      <c r="D307" s="3" t="s">
        <v>1333</v>
      </c>
      <c r="E307" s="3" t="s">
        <v>1334</v>
      </c>
      <c r="F307" s="3" t="s">
        <v>84</v>
      </c>
      <c r="G307" s="3">
        <v>1</v>
      </c>
      <c r="H307" s="3">
        <v>0</v>
      </c>
      <c r="I307" s="3">
        <v>0</v>
      </c>
      <c r="J307" s="3">
        <v>0</v>
      </c>
      <c r="K307" s="3">
        <v>1</v>
      </c>
      <c r="L307" s="3">
        <v>0</v>
      </c>
      <c r="M307" s="3">
        <v>0</v>
      </c>
      <c r="N307" s="3" t="s">
        <v>85</v>
      </c>
      <c r="O307" s="3">
        <v>1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 t="s">
        <v>93</v>
      </c>
      <c r="X307" s="3">
        <v>16.9</v>
      </c>
      <c r="Y307" s="3">
        <v>16.9</v>
      </c>
      <c r="Z307" s="3">
        <v>16.9</v>
      </c>
      <c r="AA307" s="3">
        <v>0</v>
      </c>
      <c r="AB307" s="3" t="s">
        <v>239</v>
      </c>
      <c r="AC307" s="3">
        <v>0</v>
      </c>
      <c r="AD307" s="3">
        <v>15.87</v>
      </c>
      <c r="AE307" s="3">
        <v>7</v>
      </c>
      <c r="AF307" s="3">
        <v>0</v>
      </c>
      <c r="AG307" s="3">
        <v>10.237971</v>
      </c>
      <c r="AH307" s="3">
        <v>0</v>
      </c>
      <c r="AI307" s="3" t="s">
        <v>95</v>
      </c>
      <c r="AJ307" s="3" t="s">
        <v>88</v>
      </c>
    </row>
    <row r="308" spans="1:36">
      <c r="A308" s="5">
        <v>43288</v>
      </c>
      <c r="B308" s="3" t="s">
        <v>1335</v>
      </c>
      <c r="C308" s="3" t="s">
        <v>1336</v>
      </c>
      <c r="D308" s="3" t="s">
        <v>1337</v>
      </c>
      <c r="E308" s="3" t="s">
        <v>1338</v>
      </c>
      <c r="F308" s="3" t="s">
        <v>84</v>
      </c>
      <c r="G308" s="3">
        <v>5</v>
      </c>
      <c r="H308" s="3">
        <v>0</v>
      </c>
      <c r="I308" s="3">
        <v>0</v>
      </c>
      <c r="J308" s="3">
        <v>0</v>
      </c>
      <c r="K308" s="3">
        <v>5</v>
      </c>
      <c r="L308" s="3">
        <v>0</v>
      </c>
      <c r="M308" s="3">
        <v>0</v>
      </c>
      <c r="N308" s="3" t="s">
        <v>85</v>
      </c>
      <c r="O308" s="3">
        <v>5</v>
      </c>
      <c r="P308" s="3">
        <v>7.85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 t="s">
        <v>93</v>
      </c>
      <c r="X308" s="3">
        <v>20.9</v>
      </c>
      <c r="Y308" s="3">
        <v>20.9</v>
      </c>
      <c r="Z308" s="3">
        <v>20.9</v>
      </c>
      <c r="AA308" s="3">
        <v>0</v>
      </c>
      <c r="AB308" s="3" t="s">
        <v>94</v>
      </c>
      <c r="AC308" s="3">
        <v>0</v>
      </c>
      <c r="AD308" s="3">
        <v>16.72</v>
      </c>
      <c r="AE308" s="3">
        <v>63</v>
      </c>
      <c r="AF308" s="3">
        <v>0</v>
      </c>
      <c r="AG308" s="3">
        <v>98.380181</v>
      </c>
      <c r="AH308" s="3">
        <v>0</v>
      </c>
      <c r="AI308" s="3" t="s">
        <v>1339</v>
      </c>
      <c r="AJ308" s="3" t="s">
        <v>88</v>
      </c>
    </row>
    <row r="309" spans="1:36">
      <c r="A309" s="5">
        <v>43288</v>
      </c>
      <c r="B309" s="3" t="s">
        <v>1340</v>
      </c>
      <c r="C309" s="3" t="s">
        <v>1341</v>
      </c>
      <c r="D309" s="3" t="s">
        <v>1342</v>
      </c>
      <c r="E309" s="3" t="s">
        <v>1343</v>
      </c>
      <c r="F309" s="3" t="s">
        <v>84</v>
      </c>
      <c r="G309" s="3">
        <v>2</v>
      </c>
      <c r="H309" s="3">
        <v>0</v>
      </c>
      <c r="I309" s="3">
        <v>0</v>
      </c>
      <c r="J309" s="3">
        <v>0</v>
      </c>
      <c r="K309" s="3">
        <v>0</v>
      </c>
      <c r="L309" s="3">
        <v>2</v>
      </c>
      <c r="M309" s="3">
        <v>0</v>
      </c>
      <c r="N309" s="3" t="s">
        <v>85</v>
      </c>
      <c r="O309" s="3">
        <v>0</v>
      </c>
      <c r="P309" s="3">
        <v>0</v>
      </c>
      <c r="Q309" s="3">
        <v>2</v>
      </c>
      <c r="R309" s="3">
        <v>1.85</v>
      </c>
      <c r="S309" s="3">
        <v>0</v>
      </c>
      <c r="T309" s="3">
        <v>0</v>
      </c>
      <c r="U309" s="3">
        <v>0</v>
      </c>
      <c r="V309" s="3">
        <v>0</v>
      </c>
      <c r="W309" s="3" t="s">
        <v>93</v>
      </c>
      <c r="X309" s="3">
        <v>4.66</v>
      </c>
      <c r="Y309" s="3">
        <v>4.66</v>
      </c>
      <c r="Z309" s="3">
        <v>4.66</v>
      </c>
      <c r="AA309" s="3">
        <v>0</v>
      </c>
      <c r="AB309" s="3" t="s">
        <v>94</v>
      </c>
      <c r="AC309" s="3">
        <v>0</v>
      </c>
      <c r="AD309" s="3">
        <v>3.73</v>
      </c>
      <c r="AE309" s="3">
        <v>63</v>
      </c>
      <c r="AF309" s="3">
        <v>0</v>
      </c>
      <c r="AG309" s="3">
        <v>11.68406</v>
      </c>
      <c r="AH309" s="3">
        <v>0</v>
      </c>
      <c r="AI309" s="3" t="s">
        <v>203</v>
      </c>
      <c r="AJ309" s="3" t="s">
        <v>88</v>
      </c>
    </row>
    <row r="310" spans="1:36">
      <c r="A310" s="5">
        <v>43288</v>
      </c>
      <c r="B310" s="3" t="s">
        <v>1344</v>
      </c>
      <c r="C310" s="3" t="s">
        <v>1345</v>
      </c>
      <c r="D310" s="3" t="s">
        <v>1346</v>
      </c>
      <c r="E310" s="3" t="s">
        <v>1347</v>
      </c>
      <c r="F310" s="3" t="s">
        <v>84</v>
      </c>
      <c r="G310" s="3">
        <v>2</v>
      </c>
      <c r="H310" s="3">
        <v>0</v>
      </c>
      <c r="I310" s="3">
        <v>0</v>
      </c>
      <c r="J310" s="3">
        <v>0</v>
      </c>
      <c r="K310" s="3">
        <v>0</v>
      </c>
      <c r="L310" s="3">
        <v>2</v>
      </c>
      <c r="M310" s="3">
        <v>0</v>
      </c>
      <c r="N310" s="3" t="s">
        <v>85</v>
      </c>
      <c r="O310" s="3">
        <v>0</v>
      </c>
      <c r="P310" s="3">
        <v>0</v>
      </c>
      <c r="Q310" s="3">
        <v>2</v>
      </c>
      <c r="R310" s="3">
        <v>1</v>
      </c>
      <c r="S310" s="3">
        <v>0</v>
      </c>
      <c r="T310" s="3">
        <v>0</v>
      </c>
      <c r="U310" s="3">
        <v>0</v>
      </c>
      <c r="V310" s="3">
        <v>0</v>
      </c>
      <c r="W310" s="3" t="s">
        <v>93</v>
      </c>
      <c r="X310" s="3">
        <v>4.66</v>
      </c>
      <c r="Y310" s="3">
        <v>4.66</v>
      </c>
      <c r="Z310" s="3">
        <v>4.66</v>
      </c>
      <c r="AA310" s="3">
        <v>0</v>
      </c>
      <c r="AB310" s="3" t="s">
        <v>86</v>
      </c>
      <c r="AC310" s="3">
        <v>2</v>
      </c>
      <c r="AD310" s="3">
        <v>4.66</v>
      </c>
      <c r="AE310" s="3">
        <v>0</v>
      </c>
      <c r="AF310" s="3">
        <v>0</v>
      </c>
      <c r="AG310" s="3">
        <v>0</v>
      </c>
      <c r="AH310" s="3">
        <v>0</v>
      </c>
      <c r="AI310" s="3" t="s">
        <v>106</v>
      </c>
      <c r="AJ310" s="3" t="s">
        <v>107</v>
      </c>
    </row>
    <row r="311" spans="1:36">
      <c r="A311" s="5">
        <v>43288</v>
      </c>
      <c r="B311" s="3" t="s">
        <v>1348</v>
      </c>
      <c r="C311" s="3" t="s">
        <v>1349</v>
      </c>
      <c r="D311" s="3" t="s">
        <v>1350</v>
      </c>
      <c r="E311" s="3" t="s">
        <v>1351</v>
      </c>
      <c r="F311" s="3" t="s">
        <v>84</v>
      </c>
      <c r="G311" s="3">
        <v>43</v>
      </c>
      <c r="H311" s="3">
        <v>0</v>
      </c>
      <c r="I311" s="3">
        <v>0</v>
      </c>
      <c r="J311" s="3">
        <v>1</v>
      </c>
      <c r="K311" s="3">
        <v>0</v>
      </c>
      <c r="L311" s="3">
        <v>42</v>
      </c>
      <c r="M311" s="3">
        <v>0</v>
      </c>
      <c r="N311" s="3" t="s">
        <v>85</v>
      </c>
      <c r="O311" s="3">
        <v>42</v>
      </c>
      <c r="P311" s="3">
        <v>58.84</v>
      </c>
      <c r="Q311" s="3">
        <v>0</v>
      </c>
      <c r="R311" s="3">
        <v>0</v>
      </c>
      <c r="S311" s="3">
        <v>0</v>
      </c>
      <c r="T311" s="3">
        <v>0</v>
      </c>
      <c r="U311" s="3">
        <v>3</v>
      </c>
      <c r="V311" s="3">
        <v>3</v>
      </c>
      <c r="W311" s="3" t="s">
        <v>93</v>
      </c>
      <c r="X311" s="3">
        <v>7.99</v>
      </c>
      <c r="Y311" s="3">
        <v>7.99</v>
      </c>
      <c r="Z311" s="3">
        <v>7.99</v>
      </c>
      <c r="AA311" s="3">
        <v>0</v>
      </c>
      <c r="AB311" s="3" t="s">
        <v>239</v>
      </c>
      <c r="AC311" s="3">
        <v>4</v>
      </c>
      <c r="AD311" s="3">
        <v>5.75</v>
      </c>
      <c r="AE311" s="3">
        <v>273</v>
      </c>
      <c r="AF311" s="3">
        <v>0</v>
      </c>
      <c r="AG311" s="3">
        <v>389.983596</v>
      </c>
      <c r="AH311" s="3">
        <v>0.0674157303370786</v>
      </c>
      <c r="AI311" s="3" t="s">
        <v>328</v>
      </c>
      <c r="AJ311" s="3" t="s">
        <v>88</v>
      </c>
    </row>
    <row r="312" spans="1:36">
      <c r="A312" s="5">
        <v>43288</v>
      </c>
      <c r="B312" s="3" t="s">
        <v>1352</v>
      </c>
      <c r="C312" s="3" t="s">
        <v>1353</v>
      </c>
      <c r="D312" s="3" t="s">
        <v>1354</v>
      </c>
      <c r="E312" s="3" t="s">
        <v>1355</v>
      </c>
      <c r="F312" s="3" t="s">
        <v>84</v>
      </c>
      <c r="G312" s="3">
        <v>22</v>
      </c>
      <c r="H312" s="3">
        <v>0</v>
      </c>
      <c r="I312" s="3">
        <v>1</v>
      </c>
      <c r="J312" s="3">
        <v>4</v>
      </c>
      <c r="K312" s="3">
        <v>3</v>
      </c>
      <c r="L312" s="3">
        <v>14</v>
      </c>
      <c r="M312" s="3">
        <v>0</v>
      </c>
      <c r="N312" s="3" t="s">
        <v>85</v>
      </c>
      <c r="O312" s="3">
        <v>19</v>
      </c>
      <c r="P312" s="3">
        <v>26.18</v>
      </c>
      <c r="Q312" s="3">
        <v>0</v>
      </c>
      <c r="R312" s="3">
        <v>0</v>
      </c>
      <c r="S312" s="3">
        <v>1</v>
      </c>
      <c r="T312" s="3">
        <v>3</v>
      </c>
      <c r="U312" s="3">
        <v>4</v>
      </c>
      <c r="V312" s="3">
        <v>5</v>
      </c>
      <c r="W312" s="3"/>
      <c r="X312" s="3">
        <v>9.99</v>
      </c>
      <c r="Y312" s="3">
        <v>9.99</v>
      </c>
      <c r="Z312" s="3">
        <v>9.99</v>
      </c>
      <c r="AA312" s="3">
        <v>0</v>
      </c>
      <c r="AB312" s="3" t="s">
        <v>94</v>
      </c>
      <c r="AC312" s="3">
        <v>2</v>
      </c>
      <c r="AD312" s="3">
        <v>7.74</v>
      </c>
      <c r="AE312" s="3">
        <v>56</v>
      </c>
      <c r="AF312" s="3">
        <v>0</v>
      </c>
      <c r="AG312" s="3">
        <v>23.571288</v>
      </c>
      <c r="AH312" s="3">
        <v>0.206185567010309</v>
      </c>
      <c r="AI312" s="3" t="s">
        <v>101</v>
      </c>
      <c r="AJ312" s="3" t="s">
        <v>88</v>
      </c>
    </row>
    <row r="313" spans="1:36">
      <c r="A313" s="5">
        <v>43288</v>
      </c>
      <c r="B313" s="3" t="s">
        <v>1356</v>
      </c>
      <c r="C313" s="3" t="s">
        <v>1357</v>
      </c>
      <c r="D313" s="3" t="s">
        <v>1358</v>
      </c>
      <c r="E313" s="3" t="s">
        <v>1359</v>
      </c>
      <c r="F313" s="3" t="s">
        <v>84</v>
      </c>
      <c r="G313" s="3">
        <v>11</v>
      </c>
      <c r="H313" s="3">
        <v>0</v>
      </c>
      <c r="I313" s="3">
        <v>0</v>
      </c>
      <c r="J313" s="3">
        <v>0</v>
      </c>
      <c r="K313" s="3">
        <v>0</v>
      </c>
      <c r="L313" s="3">
        <v>11</v>
      </c>
      <c r="M313" s="3">
        <v>0</v>
      </c>
      <c r="N313" s="3" t="s">
        <v>85</v>
      </c>
      <c r="O313" s="3">
        <v>11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1</v>
      </c>
      <c r="V313" s="3">
        <v>1</v>
      </c>
      <c r="W313" s="3" t="s">
        <v>100</v>
      </c>
      <c r="X313" s="3">
        <v>13.9</v>
      </c>
      <c r="Y313" s="3">
        <v>13.9</v>
      </c>
      <c r="Z313" s="3">
        <v>13.9</v>
      </c>
      <c r="AA313" s="3">
        <v>0</v>
      </c>
      <c r="AB313" s="3" t="s">
        <v>86</v>
      </c>
      <c r="AC313" s="3">
        <v>11</v>
      </c>
      <c r="AD313" s="3">
        <v>13.9</v>
      </c>
      <c r="AE313" s="3">
        <v>0</v>
      </c>
      <c r="AF313" s="3">
        <v>0</v>
      </c>
      <c r="AG313" s="3">
        <v>0</v>
      </c>
      <c r="AH313" s="3">
        <v>0.0869565217391304</v>
      </c>
      <c r="AI313" s="3" t="s">
        <v>106</v>
      </c>
      <c r="AJ313" s="3" t="s">
        <v>107</v>
      </c>
    </row>
    <row r="314" spans="1:36">
      <c r="A314" s="5">
        <v>43288</v>
      </c>
      <c r="B314" s="3" t="s">
        <v>1360</v>
      </c>
      <c r="C314" s="3" t="s">
        <v>1361</v>
      </c>
      <c r="D314" s="3" t="s">
        <v>1362</v>
      </c>
      <c r="E314" s="3" t="s">
        <v>1363</v>
      </c>
      <c r="F314" s="3" t="s">
        <v>84</v>
      </c>
      <c r="G314" s="3">
        <v>7</v>
      </c>
      <c r="H314" s="3">
        <v>0</v>
      </c>
      <c r="I314" s="3">
        <v>1</v>
      </c>
      <c r="J314" s="3">
        <v>6</v>
      </c>
      <c r="K314" s="3">
        <v>0</v>
      </c>
      <c r="L314" s="3">
        <v>0</v>
      </c>
      <c r="M314" s="3">
        <v>0</v>
      </c>
      <c r="N314" s="3" t="s">
        <v>85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3</v>
      </c>
      <c r="U314" s="3">
        <v>6</v>
      </c>
      <c r="V314" s="3">
        <v>6</v>
      </c>
      <c r="W314" s="3" t="s">
        <v>100</v>
      </c>
      <c r="X314" s="3">
        <v>18.99</v>
      </c>
      <c r="Y314" s="3">
        <v>18.99</v>
      </c>
      <c r="Z314" s="3">
        <v>18.99</v>
      </c>
      <c r="AA314" s="3">
        <v>0</v>
      </c>
      <c r="AB314" s="3" t="s">
        <v>86</v>
      </c>
      <c r="AC314" s="3">
        <v>7</v>
      </c>
      <c r="AD314" s="3">
        <v>18.99</v>
      </c>
      <c r="AE314" s="3">
        <v>0</v>
      </c>
      <c r="AF314" s="3">
        <v>0</v>
      </c>
      <c r="AG314" s="3">
        <v>0</v>
      </c>
      <c r="AH314" s="3">
        <v>0.585365853658536</v>
      </c>
      <c r="AI314" s="3" t="s">
        <v>366</v>
      </c>
      <c r="AJ314" s="3" t="s">
        <v>88</v>
      </c>
    </row>
    <row r="315" spans="1:36">
      <c r="A315" s="5">
        <v>43288</v>
      </c>
      <c r="B315" s="3" t="s">
        <v>1364</v>
      </c>
      <c r="C315" s="3" t="s">
        <v>1365</v>
      </c>
      <c r="D315" s="3" t="s">
        <v>1366</v>
      </c>
      <c r="E315" s="3" t="s">
        <v>1367</v>
      </c>
      <c r="F315" s="3" t="s">
        <v>84</v>
      </c>
      <c r="G315" s="3">
        <v>2</v>
      </c>
      <c r="H315" s="3">
        <v>0</v>
      </c>
      <c r="I315" s="3">
        <v>0</v>
      </c>
      <c r="J315" s="3">
        <v>0</v>
      </c>
      <c r="K315" s="3">
        <v>0</v>
      </c>
      <c r="L315" s="3">
        <v>2</v>
      </c>
      <c r="M315" s="3">
        <v>0</v>
      </c>
      <c r="N315" s="3" t="s">
        <v>85</v>
      </c>
      <c r="O315" s="3">
        <v>1</v>
      </c>
      <c r="P315" s="3">
        <v>1.81</v>
      </c>
      <c r="Q315" s="3">
        <v>1</v>
      </c>
      <c r="R315" s="3">
        <v>3.62</v>
      </c>
      <c r="S315" s="3">
        <v>0</v>
      </c>
      <c r="T315" s="3">
        <v>0</v>
      </c>
      <c r="U315" s="3">
        <v>0</v>
      </c>
      <c r="V315" s="3">
        <v>0</v>
      </c>
      <c r="W315" s="3" t="s">
        <v>93</v>
      </c>
      <c r="X315" s="3">
        <v>13.9</v>
      </c>
      <c r="Y315" s="3">
        <v>13.9</v>
      </c>
      <c r="Z315" s="3">
        <v>13.9</v>
      </c>
      <c r="AA315" s="3">
        <v>0</v>
      </c>
      <c r="AB315" s="3" t="s">
        <v>86</v>
      </c>
      <c r="AC315" s="3">
        <v>2</v>
      </c>
      <c r="AD315" s="3">
        <v>13.9</v>
      </c>
      <c r="AE315" s="3">
        <v>0</v>
      </c>
      <c r="AF315" s="3">
        <v>0</v>
      </c>
      <c r="AG315" s="3">
        <v>0</v>
      </c>
      <c r="AH315" s="3">
        <v>0</v>
      </c>
      <c r="AI315" s="3" t="s">
        <v>1368</v>
      </c>
      <c r="AJ315" s="3" t="s">
        <v>88</v>
      </c>
    </row>
    <row r="316" spans="1:36">
      <c r="A316" s="5">
        <v>43288</v>
      </c>
      <c r="B316" s="3" t="s">
        <v>1369</v>
      </c>
      <c r="C316" s="3" t="s">
        <v>1370</v>
      </c>
      <c r="D316" s="3" t="s">
        <v>1371</v>
      </c>
      <c r="E316" s="3" t="s">
        <v>1372</v>
      </c>
      <c r="F316" s="3" t="s">
        <v>84</v>
      </c>
      <c r="G316" s="3">
        <v>1</v>
      </c>
      <c r="H316" s="3">
        <v>0</v>
      </c>
      <c r="I316" s="3">
        <v>0</v>
      </c>
      <c r="J316" s="3">
        <v>0</v>
      </c>
      <c r="K316" s="3">
        <v>0</v>
      </c>
      <c r="L316" s="3">
        <v>1</v>
      </c>
      <c r="M316" s="3">
        <v>0</v>
      </c>
      <c r="N316" s="3" t="s">
        <v>85</v>
      </c>
      <c r="O316" s="3">
        <v>0</v>
      </c>
      <c r="P316" s="3">
        <v>0</v>
      </c>
      <c r="Q316" s="3">
        <v>1</v>
      </c>
      <c r="R316" s="3">
        <v>0.5</v>
      </c>
      <c r="S316" s="3">
        <v>0</v>
      </c>
      <c r="T316" s="3">
        <v>0</v>
      </c>
      <c r="U316" s="3">
        <v>0</v>
      </c>
      <c r="V316" s="3">
        <v>0</v>
      </c>
      <c r="W316" s="3" t="s">
        <v>93</v>
      </c>
      <c r="X316" s="3">
        <v>4.99</v>
      </c>
      <c r="Y316" s="3">
        <v>4.99</v>
      </c>
      <c r="Z316" s="3">
        <v>4.99</v>
      </c>
      <c r="AA316" s="3">
        <v>0</v>
      </c>
      <c r="AB316" s="3" t="s">
        <v>86</v>
      </c>
      <c r="AC316" s="3">
        <v>1</v>
      </c>
      <c r="AD316" s="3">
        <v>4.99</v>
      </c>
      <c r="AE316" s="3">
        <v>0</v>
      </c>
      <c r="AF316" s="3">
        <v>0</v>
      </c>
      <c r="AG316" s="3">
        <v>0</v>
      </c>
      <c r="AH316" s="3">
        <v>0</v>
      </c>
      <c r="AI316" s="3" t="s">
        <v>106</v>
      </c>
      <c r="AJ316" s="3" t="s">
        <v>88</v>
      </c>
    </row>
    <row r="317" spans="1:36">
      <c r="A317" s="5">
        <v>43288</v>
      </c>
      <c r="B317" s="3" t="s">
        <v>1373</v>
      </c>
      <c r="C317" s="3" t="s">
        <v>1374</v>
      </c>
      <c r="D317" s="3" t="s">
        <v>1375</v>
      </c>
      <c r="E317" s="3" t="s">
        <v>1376</v>
      </c>
      <c r="F317" s="3" t="s">
        <v>84</v>
      </c>
      <c r="G317" s="3">
        <v>4</v>
      </c>
      <c r="H317" s="3">
        <v>0</v>
      </c>
      <c r="I317" s="3">
        <v>0</v>
      </c>
      <c r="J317" s="3">
        <v>0</v>
      </c>
      <c r="K317" s="3">
        <v>3</v>
      </c>
      <c r="L317" s="3">
        <v>1</v>
      </c>
      <c r="M317" s="3">
        <v>0</v>
      </c>
      <c r="N317" s="3" t="s">
        <v>85</v>
      </c>
      <c r="O317" s="3">
        <v>3</v>
      </c>
      <c r="P317" s="3">
        <v>4.8</v>
      </c>
      <c r="Q317" s="3">
        <v>1</v>
      </c>
      <c r="R317" s="3">
        <v>3.2</v>
      </c>
      <c r="S317" s="3">
        <v>0</v>
      </c>
      <c r="T317" s="3">
        <v>0</v>
      </c>
      <c r="U317" s="3">
        <v>1</v>
      </c>
      <c r="V317" s="3">
        <v>1</v>
      </c>
      <c r="W317" s="3" t="s">
        <v>100</v>
      </c>
      <c r="X317" s="3">
        <v>13.9</v>
      </c>
      <c r="Y317" s="3">
        <v>13.9</v>
      </c>
      <c r="Z317" s="3">
        <v>13.9</v>
      </c>
      <c r="AA317" s="3">
        <v>0</v>
      </c>
      <c r="AB317" s="3" t="s">
        <v>94</v>
      </c>
      <c r="AC317" s="3">
        <v>0</v>
      </c>
      <c r="AD317" s="3">
        <v>11.05</v>
      </c>
      <c r="AE317" s="3">
        <v>364</v>
      </c>
      <c r="AF317" s="3">
        <v>0</v>
      </c>
      <c r="AG317" s="3">
        <v>73.073465</v>
      </c>
      <c r="AH317" s="3">
        <v>0.222222222222222</v>
      </c>
      <c r="AI317" s="3" t="s">
        <v>140</v>
      </c>
      <c r="AJ317" s="3" t="s">
        <v>88</v>
      </c>
    </row>
    <row r="318" spans="1:36">
      <c r="A318" s="5">
        <v>43288</v>
      </c>
      <c r="B318" s="3" t="s">
        <v>1377</v>
      </c>
      <c r="C318" s="3" t="s">
        <v>1378</v>
      </c>
      <c r="D318" s="3" t="s">
        <v>1379</v>
      </c>
      <c r="E318" s="3" t="s">
        <v>1380</v>
      </c>
      <c r="F318" s="3" t="s">
        <v>84</v>
      </c>
      <c r="G318" s="3">
        <v>1</v>
      </c>
      <c r="H318" s="3">
        <v>0</v>
      </c>
      <c r="I318" s="3">
        <v>0</v>
      </c>
      <c r="J318" s="3">
        <v>0</v>
      </c>
      <c r="K318" s="3">
        <v>0</v>
      </c>
      <c r="L318" s="3">
        <v>1</v>
      </c>
      <c r="M318" s="3">
        <v>0</v>
      </c>
      <c r="N318" s="3" t="s">
        <v>85</v>
      </c>
      <c r="O318" s="3">
        <v>0</v>
      </c>
      <c r="P318" s="3">
        <v>0</v>
      </c>
      <c r="Q318" s="3">
        <v>1</v>
      </c>
      <c r="R318" s="3">
        <v>0.93</v>
      </c>
      <c r="S318" s="3">
        <v>0</v>
      </c>
      <c r="T318" s="3">
        <v>0</v>
      </c>
      <c r="U318" s="3">
        <v>0</v>
      </c>
      <c r="V318" s="3">
        <v>0</v>
      </c>
      <c r="W318" s="3" t="s">
        <v>93</v>
      </c>
      <c r="X318" s="3">
        <v>4.66</v>
      </c>
      <c r="Y318" s="3">
        <v>4.66</v>
      </c>
      <c r="Z318" s="3">
        <v>4.66</v>
      </c>
      <c r="AA318" s="3">
        <v>0</v>
      </c>
      <c r="AB318" s="3" t="s">
        <v>86</v>
      </c>
      <c r="AC318" s="3">
        <v>1</v>
      </c>
      <c r="AD318" s="3">
        <v>4.66</v>
      </c>
      <c r="AE318" s="3">
        <v>0</v>
      </c>
      <c r="AF318" s="3">
        <v>0</v>
      </c>
      <c r="AG318" s="3">
        <v>0</v>
      </c>
      <c r="AH318" s="3">
        <v>0</v>
      </c>
      <c r="AI318" s="3" t="s">
        <v>203</v>
      </c>
      <c r="AJ318" s="3" t="s">
        <v>88</v>
      </c>
    </row>
    <row r="319" spans="1:36">
      <c r="A319" s="5">
        <v>43288</v>
      </c>
      <c r="B319" s="3" t="s">
        <v>1381</v>
      </c>
      <c r="C319" s="3" t="s">
        <v>1382</v>
      </c>
      <c r="D319" s="3" t="s">
        <v>1383</v>
      </c>
      <c r="E319" s="3" t="s">
        <v>1384</v>
      </c>
      <c r="F319" s="3" t="s">
        <v>84</v>
      </c>
      <c r="G319" s="3">
        <v>5</v>
      </c>
      <c r="H319" s="3">
        <v>0</v>
      </c>
      <c r="I319" s="3">
        <v>0</v>
      </c>
      <c r="J319" s="3">
        <v>0</v>
      </c>
      <c r="K319" s="3">
        <v>5</v>
      </c>
      <c r="L319" s="3">
        <v>0</v>
      </c>
      <c r="M319" s="3">
        <v>0</v>
      </c>
      <c r="N319" s="3" t="s">
        <v>85</v>
      </c>
      <c r="O319" s="3">
        <v>5</v>
      </c>
      <c r="P319" s="3">
        <v>31.65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 t="s">
        <v>100</v>
      </c>
      <c r="X319" s="3">
        <v>42.99</v>
      </c>
      <c r="Y319" s="3">
        <v>42.99</v>
      </c>
      <c r="Z319" s="3">
        <v>42.99</v>
      </c>
      <c r="AA319" s="3">
        <v>0</v>
      </c>
      <c r="AB319" s="3" t="s">
        <v>94</v>
      </c>
      <c r="AC319" s="3">
        <v>0</v>
      </c>
      <c r="AD319" s="3">
        <v>34.39</v>
      </c>
      <c r="AE319" s="3">
        <v>63</v>
      </c>
      <c r="AF319" s="3">
        <v>0</v>
      </c>
      <c r="AG319" s="3">
        <v>329.46648</v>
      </c>
      <c r="AH319" s="3">
        <v>0</v>
      </c>
      <c r="AI319" s="3" t="s">
        <v>135</v>
      </c>
      <c r="AJ319" s="3" t="s">
        <v>88</v>
      </c>
    </row>
    <row r="320" spans="1:36">
      <c r="A320" s="5">
        <v>43288</v>
      </c>
      <c r="B320" s="3" t="s">
        <v>1385</v>
      </c>
      <c r="C320" s="3" t="s">
        <v>1386</v>
      </c>
      <c r="D320" s="3" t="s">
        <v>1387</v>
      </c>
      <c r="E320" s="3" t="s">
        <v>1388</v>
      </c>
      <c r="F320" s="3" t="s">
        <v>84</v>
      </c>
      <c r="G320" s="3">
        <v>3</v>
      </c>
      <c r="H320" s="3">
        <v>0</v>
      </c>
      <c r="I320" s="3">
        <v>0</v>
      </c>
      <c r="J320" s="3">
        <v>0</v>
      </c>
      <c r="K320" s="3">
        <v>0</v>
      </c>
      <c r="L320" s="3">
        <v>3</v>
      </c>
      <c r="M320" s="3">
        <v>0</v>
      </c>
      <c r="N320" s="3" t="s">
        <v>85</v>
      </c>
      <c r="O320" s="3">
        <v>0</v>
      </c>
      <c r="P320" s="3">
        <v>0</v>
      </c>
      <c r="Q320" s="3">
        <v>3</v>
      </c>
      <c r="R320" s="3">
        <v>10.72</v>
      </c>
      <c r="S320" s="3">
        <v>0</v>
      </c>
      <c r="T320" s="3">
        <v>0</v>
      </c>
      <c r="U320" s="3">
        <v>0</v>
      </c>
      <c r="V320" s="3">
        <v>0</v>
      </c>
      <c r="W320" s="3" t="s">
        <v>93</v>
      </c>
      <c r="X320" s="3">
        <v>12.9</v>
      </c>
      <c r="Y320" s="3">
        <v>12.9</v>
      </c>
      <c r="Z320" s="3">
        <v>12.9</v>
      </c>
      <c r="AA320" s="3">
        <v>0</v>
      </c>
      <c r="AB320" s="3" t="s">
        <v>94</v>
      </c>
      <c r="AC320" s="3">
        <v>0</v>
      </c>
      <c r="AD320" s="3">
        <v>10.32</v>
      </c>
      <c r="AE320" s="3">
        <v>63</v>
      </c>
      <c r="AF320" s="3">
        <v>0</v>
      </c>
      <c r="AG320" s="3">
        <v>68.402111</v>
      </c>
      <c r="AH320" s="3">
        <v>0</v>
      </c>
      <c r="AI320" s="3" t="s">
        <v>126</v>
      </c>
      <c r="AJ320" s="3" t="s">
        <v>88</v>
      </c>
    </row>
    <row r="321" spans="1:36">
      <c r="A321" s="5">
        <v>43288</v>
      </c>
      <c r="B321" s="3" t="s">
        <v>1389</v>
      </c>
      <c r="C321" s="3" t="s">
        <v>1390</v>
      </c>
      <c r="D321" s="3" t="s">
        <v>1391</v>
      </c>
      <c r="E321" s="3" t="s">
        <v>1392</v>
      </c>
      <c r="F321" s="3" t="s">
        <v>84</v>
      </c>
      <c r="G321" s="3">
        <v>3</v>
      </c>
      <c r="H321" s="3">
        <v>0</v>
      </c>
      <c r="I321" s="3">
        <v>0</v>
      </c>
      <c r="J321" s="3">
        <v>1</v>
      </c>
      <c r="K321" s="3">
        <v>0</v>
      </c>
      <c r="L321" s="3">
        <v>2</v>
      </c>
      <c r="M321" s="3">
        <v>0</v>
      </c>
      <c r="N321" s="3" t="s">
        <v>85</v>
      </c>
      <c r="O321" s="3">
        <v>2</v>
      </c>
      <c r="P321" s="3">
        <v>5.46</v>
      </c>
      <c r="Q321" s="3">
        <v>0</v>
      </c>
      <c r="R321" s="3">
        <v>0</v>
      </c>
      <c r="S321" s="3">
        <v>0</v>
      </c>
      <c r="T321" s="3">
        <v>0</v>
      </c>
      <c r="U321" s="3">
        <v>1</v>
      </c>
      <c r="V321" s="3">
        <v>1</v>
      </c>
      <c r="W321" s="3" t="s">
        <v>100</v>
      </c>
      <c r="X321" s="3">
        <v>13.9</v>
      </c>
      <c r="Y321" s="3">
        <v>13.9</v>
      </c>
      <c r="Z321" s="3">
        <v>13.9</v>
      </c>
      <c r="AA321" s="3">
        <v>0</v>
      </c>
      <c r="AB321" s="3" t="s">
        <v>94</v>
      </c>
      <c r="AC321" s="3">
        <v>2</v>
      </c>
      <c r="AD321" s="3">
        <v>12.23</v>
      </c>
      <c r="AE321" s="3">
        <v>35</v>
      </c>
      <c r="AF321" s="3">
        <v>0</v>
      </c>
      <c r="AG321" s="3">
        <v>0.313707</v>
      </c>
      <c r="AH321" s="3">
        <v>0.285714285714285</v>
      </c>
      <c r="AI321" s="3" t="s">
        <v>173</v>
      </c>
      <c r="AJ321" s="3" t="s">
        <v>88</v>
      </c>
    </row>
    <row r="322" spans="1:36">
      <c r="A322" s="5">
        <v>43288</v>
      </c>
      <c r="B322" s="3" t="s">
        <v>1393</v>
      </c>
      <c r="C322" s="3" t="s">
        <v>1394</v>
      </c>
      <c r="D322" s="3" t="s">
        <v>1395</v>
      </c>
      <c r="E322" s="3" t="s">
        <v>1396</v>
      </c>
      <c r="F322" s="3" t="s">
        <v>84</v>
      </c>
      <c r="G322" s="3">
        <v>9</v>
      </c>
      <c r="H322" s="3">
        <v>0</v>
      </c>
      <c r="I322" s="3">
        <v>0</v>
      </c>
      <c r="J322" s="3">
        <v>0</v>
      </c>
      <c r="K322" s="3">
        <v>0</v>
      </c>
      <c r="L322" s="3">
        <v>9</v>
      </c>
      <c r="M322" s="3">
        <v>0</v>
      </c>
      <c r="N322" s="3" t="s">
        <v>85</v>
      </c>
      <c r="O322" s="3">
        <v>9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 t="s">
        <v>100</v>
      </c>
      <c r="X322" s="3">
        <v>13.9</v>
      </c>
      <c r="Y322" s="3">
        <v>13.9</v>
      </c>
      <c r="Z322" s="3">
        <v>13.9</v>
      </c>
      <c r="AA322" s="3">
        <v>0</v>
      </c>
      <c r="AB322" s="3" t="s">
        <v>94</v>
      </c>
      <c r="AC322" s="3">
        <v>2</v>
      </c>
      <c r="AD322" s="3">
        <v>12.91</v>
      </c>
      <c r="AE322" s="3">
        <v>217</v>
      </c>
      <c r="AF322" s="3">
        <v>0</v>
      </c>
      <c r="AG322" s="3">
        <v>66.449051</v>
      </c>
      <c r="AH322" s="3">
        <v>0</v>
      </c>
      <c r="AI322" s="3" t="s">
        <v>106</v>
      </c>
      <c r="AJ322" s="3" t="s">
        <v>88</v>
      </c>
    </row>
    <row r="323" spans="1:36">
      <c r="A323" s="5">
        <v>43288</v>
      </c>
      <c r="B323" s="3" t="s">
        <v>1397</v>
      </c>
      <c r="C323" s="3" t="s">
        <v>1398</v>
      </c>
      <c r="D323" s="3" t="s">
        <v>1399</v>
      </c>
      <c r="E323" s="3" t="s">
        <v>1400</v>
      </c>
      <c r="F323" s="3" t="s">
        <v>84</v>
      </c>
      <c r="G323" s="3">
        <v>3</v>
      </c>
      <c r="H323" s="3">
        <v>0</v>
      </c>
      <c r="I323" s="3">
        <v>0</v>
      </c>
      <c r="J323" s="3">
        <v>3</v>
      </c>
      <c r="K323" s="3">
        <v>0</v>
      </c>
      <c r="L323" s="3">
        <v>0</v>
      </c>
      <c r="M323" s="3">
        <v>0</v>
      </c>
      <c r="N323" s="3" t="s">
        <v>85</v>
      </c>
      <c r="O323" s="3">
        <v>0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2</v>
      </c>
      <c r="V323" s="3">
        <v>2</v>
      </c>
      <c r="W323" s="3" t="s">
        <v>100</v>
      </c>
      <c r="X323" s="3">
        <v>16.99</v>
      </c>
      <c r="Y323" s="3">
        <v>16.99</v>
      </c>
      <c r="Z323" s="3">
        <v>16.99</v>
      </c>
      <c r="AA323" s="3">
        <v>0</v>
      </c>
      <c r="AB323" s="3" t="s">
        <v>86</v>
      </c>
      <c r="AC323" s="3">
        <v>3</v>
      </c>
      <c r="AD323" s="3">
        <v>16.99</v>
      </c>
      <c r="AE323" s="3">
        <v>0</v>
      </c>
      <c r="AF323" s="3">
        <v>0</v>
      </c>
      <c r="AG323" s="3">
        <v>0</v>
      </c>
      <c r="AH323" s="3">
        <v>0.5</v>
      </c>
      <c r="AI323" s="3" t="s">
        <v>116</v>
      </c>
      <c r="AJ323" s="3" t="s">
        <v>88</v>
      </c>
    </row>
    <row r="324" spans="1:36">
      <c r="A324" s="5">
        <v>43288</v>
      </c>
      <c r="B324" s="3" t="s">
        <v>1401</v>
      </c>
      <c r="C324" s="3" t="s">
        <v>1402</v>
      </c>
      <c r="D324" s="3" t="s">
        <v>1403</v>
      </c>
      <c r="E324" s="3" t="s">
        <v>1404</v>
      </c>
      <c r="F324" s="3" t="s">
        <v>84</v>
      </c>
      <c r="G324" s="3">
        <v>4</v>
      </c>
      <c r="H324" s="3">
        <v>0</v>
      </c>
      <c r="I324" s="3">
        <v>0</v>
      </c>
      <c r="J324" s="3">
        <v>4</v>
      </c>
      <c r="K324" s="3">
        <v>0</v>
      </c>
      <c r="L324" s="3">
        <v>0</v>
      </c>
      <c r="M324" s="3">
        <v>0</v>
      </c>
      <c r="N324" s="3" t="s">
        <v>85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1</v>
      </c>
      <c r="W324" s="3" t="s">
        <v>93</v>
      </c>
      <c r="X324" s="3">
        <v>15.99</v>
      </c>
      <c r="Y324" s="3">
        <v>15.99</v>
      </c>
      <c r="Z324" s="3">
        <v>15.99</v>
      </c>
      <c r="AA324" s="3">
        <v>0</v>
      </c>
      <c r="AB324" s="3" t="s">
        <v>239</v>
      </c>
      <c r="AC324" s="3">
        <v>4</v>
      </c>
      <c r="AD324" s="3">
        <v>15.99</v>
      </c>
      <c r="AE324" s="3">
        <v>0</v>
      </c>
      <c r="AF324" s="3">
        <v>0</v>
      </c>
      <c r="AG324" s="3">
        <v>0</v>
      </c>
      <c r="AH324" s="3">
        <v>0.235294117647058</v>
      </c>
      <c r="AI324" s="3" t="s">
        <v>361</v>
      </c>
      <c r="AJ324" s="3" t="s">
        <v>88</v>
      </c>
    </row>
    <row r="325" spans="1:36">
      <c r="A325" s="5">
        <v>43288</v>
      </c>
      <c r="B325" s="3" t="s">
        <v>1405</v>
      </c>
      <c r="C325" s="3" t="s">
        <v>1406</v>
      </c>
      <c r="D325" s="3" t="s">
        <v>1407</v>
      </c>
      <c r="E325" s="3" t="s">
        <v>1408</v>
      </c>
      <c r="F325" s="3" t="s">
        <v>84</v>
      </c>
      <c r="G325" s="3">
        <v>36</v>
      </c>
      <c r="H325" s="3">
        <v>0</v>
      </c>
      <c r="I325" s="3">
        <v>2</v>
      </c>
      <c r="J325" s="3">
        <v>11</v>
      </c>
      <c r="K325" s="3">
        <v>0</v>
      </c>
      <c r="L325" s="3">
        <v>23</v>
      </c>
      <c r="M325" s="3">
        <v>0</v>
      </c>
      <c r="N325" s="3" t="s">
        <v>85</v>
      </c>
      <c r="O325" s="3">
        <v>23</v>
      </c>
      <c r="P325" s="3">
        <v>30.35</v>
      </c>
      <c r="Q325" s="3">
        <v>0</v>
      </c>
      <c r="R325" s="3">
        <v>0</v>
      </c>
      <c r="S325" s="3">
        <v>1</v>
      </c>
      <c r="T325" s="3">
        <v>1</v>
      </c>
      <c r="U325" s="3">
        <v>3</v>
      </c>
      <c r="V325" s="3">
        <v>6</v>
      </c>
      <c r="W325" s="3" t="s">
        <v>100</v>
      </c>
      <c r="X325" s="3">
        <v>9.99</v>
      </c>
      <c r="Y325" s="3">
        <v>9.99</v>
      </c>
      <c r="Z325" s="3">
        <v>9.99</v>
      </c>
      <c r="AA325" s="3">
        <v>0</v>
      </c>
      <c r="AB325" s="3" t="s">
        <v>94</v>
      </c>
      <c r="AC325" s="3">
        <v>0</v>
      </c>
      <c r="AD325" s="3">
        <v>7.99</v>
      </c>
      <c r="AE325" s="3">
        <v>63</v>
      </c>
      <c r="AF325" s="3">
        <v>0</v>
      </c>
      <c r="AG325" s="3">
        <v>527.36813</v>
      </c>
      <c r="AH325" s="3">
        <v>0.16</v>
      </c>
      <c r="AI325" s="3" t="s">
        <v>194</v>
      </c>
      <c r="AJ325" s="3" t="s">
        <v>88</v>
      </c>
    </row>
    <row r="326" spans="1:36">
      <c r="A326" s="5">
        <v>43288</v>
      </c>
      <c r="B326" s="3" t="s">
        <v>1409</v>
      </c>
      <c r="C326" s="3" t="s">
        <v>1410</v>
      </c>
      <c r="D326" s="3" t="s">
        <v>1411</v>
      </c>
      <c r="E326" s="3" t="s">
        <v>1412</v>
      </c>
      <c r="F326" s="3" t="s">
        <v>84</v>
      </c>
      <c r="G326" s="3">
        <v>4</v>
      </c>
      <c r="H326" s="3">
        <v>0</v>
      </c>
      <c r="I326" s="3">
        <v>0</v>
      </c>
      <c r="J326" s="3">
        <v>1</v>
      </c>
      <c r="K326" s="3">
        <v>0</v>
      </c>
      <c r="L326" s="3">
        <v>3</v>
      </c>
      <c r="M326" s="3">
        <v>0</v>
      </c>
      <c r="N326" s="3" t="s">
        <v>85</v>
      </c>
      <c r="O326" s="3">
        <v>1</v>
      </c>
      <c r="P326" s="3">
        <v>8.73</v>
      </c>
      <c r="Q326" s="3">
        <v>3</v>
      </c>
      <c r="R326" s="3">
        <v>52.4</v>
      </c>
      <c r="S326" s="3">
        <v>0</v>
      </c>
      <c r="T326" s="3">
        <v>0</v>
      </c>
      <c r="U326" s="3">
        <v>0</v>
      </c>
      <c r="V326" s="3">
        <v>0</v>
      </c>
      <c r="W326" s="3" t="s">
        <v>93</v>
      </c>
      <c r="X326" s="3">
        <v>66.9</v>
      </c>
      <c r="Y326" s="3">
        <v>66.9</v>
      </c>
      <c r="Z326" s="3">
        <v>66.9</v>
      </c>
      <c r="AA326" s="3">
        <v>0</v>
      </c>
      <c r="AB326" s="3" t="s">
        <v>94</v>
      </c>
      <c r="AC326" s="3">
        <v>0</v>
      </c>
      <c r="AD326" s="3">
        <v>58.57</v>
      </c>
      <c r="AE326" s="3">
        <v>35</v>
      </c>
      <c r="AF326" s="3">
        <v>0</v>
      </c>
      <c r="AG326" s="3">
        <v>492.142958</v>
      </c>
      <c r="AH326" s="3">
        <v>0</v>
      </c>
      <c r="AI326" s="3" t="s">
        <v>1413</v>
      </c>
      <c r="AJ326" s="3" t="s">
        <v>88</v>
      </c>
    </row>
    <row r="327" spans="1:36">
      <c r="A327" s="5">
        <v>43288</v>
      </c>
      <c r="B327" s="3" t="s">
        <v>1414</v>
      </c>
      <c r="C327" s="3" t="s">
        <v>1415</v>
      </c>
      <c r="D327" s="3" t="s">
        <v>1416</v>
      </c>
      <c r="E327" s="3" t="s">
        <v>1417</v>
      </c>
      <c r="F327" s="3" t="s">
        <v>84</v>
      </c>
      <c r="G327" s="3">
        <v>26</v>
      </c>
      <c r="H327" s="3">
        <v>0</v>
      </c>
      <c r="I327" s="3">
        <v>0</v>
      </c>
      <c r="J327" s="3">
        <v>1</v>
      </c>
      <c r="K327" s="3">
        <v>0</v>
      </c>
      <c r="L327" s="3">
        <v>25</v>
      </c>
      <c r="M327" s="3">
        <v>0</v>
      </c>
      <c r="N327" s="3" t="s">
        <v>85</v>
      </c>
      <c r="O327" s="3">
        <v>25</v>
      </c>
      <c r="P327" s="3">
        <v>34.14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1</v>
      </c>
      <c r="W327" s="3" t="s">
        <v>100</v>
      </c>
      <c r="X327" s="3">
        <v>12.99</v>
      </c>
      <c r="Y327" s="3">
        <v>12.99</v>
      </c>
      <c r="Z327" s="3">
        <v>12.99</v>
      </c>
      <c r="AA327" s="3">
        <v>0</v>
      </c>
      <c r="AB327" s="3" t="s">
        <v>94</v>
      </c>
      <c r="AC327" s="3">
        <v>0</v>
      </c>
      <c r="AD327" s="3">
        <v>10.39</v>
      </c>
      <c r="AE327" s="3">
        <v>364</v>
      </c>
      <c r="AF327" s="3">
        <v>0</v>
      </c>
      <c r="AG327" s="3">
        <v>428.231106</v>
      </c>
      <c r="AH327" s="3">
        <v>0.0377358490566037</v>
      </c>
      <c r="AI327" s="3" t="s">
        <v>164</v>
      </c>
      <c r="AJ327" s="3" t="s">
        <v>88</v>
      </c>
    </row>
    <row r="328" spans="1:36">
      <c r="A328" s="5">
        <v>43288</v>
      </c>
      <c r="B328" s="3" t="s">
        <v>1418</v>
      </c>
      <c r="C328" s="3" t="s">
        <v>1419</v>
      </c>
      <c r="D328" s="3" t="s">
        <v>1420</v>
      </c>
      <c r="E328" s="3" t="s">
        <v>1421</v>
      </c>
      <c r="F328" s="3" t="s">
        <v>84</v>
      </c>
      <c r="G328" s="3">
        <v>37</v>
      </c>
      <c r="H328" s="3">
        <v>0</v>
      </c>
      <c r="I328" s="3">
        <v>1</v>
      </c>
      <c r="J328" s="3">
        <v>0</v>
      </c>
      <c r="K328" s="3">
        <v>12</v>
      </c>
      <c r="L328" s="3">
        <v>24</v>
      </c>
      <c r="M328" s="3">
        <v>0</v>
      </c>
      <c r="N328" s="3" t="s">
        <v>85</v>
      </c>
      <c r="O328" s="3">
        <v>36</v>
      </c>
      <c r="P328" s="3">
        <v>10.91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93</v>
      </c>
      <c r="X328" s="3">
        <v>8.79</v>
      </c>
      <c r="Y328" s="3">
        <v>8.79</v>
      </c>
      <c r="Z328" s="3">
        <v>8.79</v>
      </c>
      <c r="AA328" s="3">
        <v>0</v>
      </c>
      <c r="AB328" s="3" t="s">
        <v>94</v>
      </c>
      <c r="AC328" s="3">
        <v>0</v>
      </c>
      <c r="AD328" s="3">
        <v>7.03</v>
      </c>
      <c r="AE328" s="3">
        <v>63</v>
      </c>
      <c r="AF328" s="3">
        <v>0</v>
      </c>
      <c r="AG328" s="3">
        <v>137.210396</v>
      </c>
      <c r="AH328" s="3">
        <v>0</v>
      </c>
      <c r="AI328" s="3" t="s">
        <v>466</v>
      </c>
      <c r="AJ328" s="3" t="s">
        <v>88</v>
      </c>
    </row>
    <row r="329" spans="1:36">
      <c r="A329" s="5">
        <v>43288</v>
      </c>
      <c r="B329" s="3" t="s">
        <v>1422</v>
      </c>
      <c r="C329" s="3" t="s">
        <v>1423</v>
      </c>
      <c r="D329" s="3" t="s">
        <v>1424</v>
      </c>
      <c r="E329" s="3" t="s">
        <v>1425</v>
      </c>
      <c r="F329" s="3" t="s">
        <v>84</v>
      </c>
      <c r="G329" s="3">
        <v>18</v>
      </c>
      <c r="H329" s="3">
        <v>0</v>
      </c>
      <c r="I329" s="3">
        <v>0</v>
      </c>
      <c r="J329" s="3">
        <v>18</v>
      </c>
      <c r="K329" s="3">
        <v>0</v>
      </c>
      <c r="L329" s="3">
        <v>0</v>
      </c>
      <c r="M329" s="3">
        <v>0</v>
      </c>
      <c r="N329" s="3" t="s">
        <v>85</v>
      </c>
      <c r="O329" s="3">
        <v>3</v>
      </c>
      <c r="P329" s="3">
        <v>0.24</v>
      </c>
      <c r="Q329" s="3">
        <v>0</v>
      </c>
      <c r="R329" s="3">
        <v>0</v>
      </c>
      <c r="S329" s="3">
        <v>1</v>
      </c>
      <c r="T329" s="3">
        <v>1</v>
      </c>
      <c r="U329" s="3">
        <v>1</v>
      </c>
      <c r="V329" s="3">
        <v>1</v>
      </c>
      <c r="W329" s="3"/>
      <c r="X329" s="3">
        <v>18.99</v>
      </c>
      <c r="Y329" s="3">
        <v>18.99</v>
      </c>
      <c r="Z329" s="3">
        <v>18.99</v>
      </c>
      <c r="AA329" s="3">
        <v>0</v>
      </c>
      <c r="AB329" s="3" t="s">
        <v>94</v>
      </c>
      <c r="AC329" s="3">
        <v>11</v>
      </c>
      <c r="AD329" s="3">
        <v>17.95</v>
      </c>
      <c r="AE329" s="3">
        <v>56</v>
      </c>
      <c r="AF329" s="3">
        <v>0</v>
      </c>
      <c r="AG329" s="3">
        <v>236.266475</v>
      </c>
      <c r="AH329" s="3">
        <v>0.0533333333333333</v>
      </c>
      <c r="AI329" s="3" t="s">
        <v>262</v>
      </c>
      <c r="AJ329" s="3" t="s">
        <v>88</v>
      </c>
    </row>
    <row r="330" spans="1:36">
      <c r="A330" s="5">
        <v>43288</v>
      </c>
      <c r="B330" s="3" t="s">
        <v>1426</v>
      </c>
      <c r="C330" s="3" t="s">
        <v>1427</v>
      </c>
      <c r="D330" s="3" t="s">
        <v>1428</v>
      </c>
      <c r="E330" s="3" t="s">
        <v>1429</v>
      </c>
      <c r="F330" s="3" t="s">
        <v>84</v>
      </c>
      <c r="G330" s="3">
        <v>10</v>
      </c>
      <c r="H330" s="3">
        <v>0</v>
      </c>
      <c r="I330" s="3">
        <v>0</v>
      </c>
      <c r="J330" s="3">
        <v>1</v>
      </c>
      <c r="K330" s="3">
        <v>0</v>
      </c>
      <c r="L330" s="3">
        <v>9</v>
      </c>
      <c r="M330" s="3">
        <v>0</v>
      </c>
      <c r="N330" s="3" t="s">
        <v>85</v>
      </c>
      <c r="O330" s="3">
        <v>9</v>
      </c>
      <c r="P330" s="3">
        <v>9.19</v>
      </c>
      <c r="Q330" s="3">
        <v>0</v>
      </c>
      <c r="R330" s="3">
        <v>0</v>
      </c>
      <c r="S330" s="3">
        <v>0</v>
      </c>
      <c r="T330" s="3">
        <v>0</v>
      </c>
      <c r="U330" s="3">
        <v>1</v>
      </c>
      <c r="V330" s="3">
        <v>1</v>
      </c>
      <c r="W330" s="3" t="s">
        <v>93</v>
      </c>
      <c r="X330" s="3">
        <v>25.9</v>
      </c>
      <c r="Y330" s="3">
        <v>25.9</v>
      </c>
      <c r="Z330" s="3">
        <v>25.9</v>
      </c>
      <c r="AA330" s="3">
        <v>0</v>
      </c>
      <c r="AB330" s="3" t="s">
        <v>94</v>
      </c>
      <c r="AC330" s="3">
        <v>3</v>
      </c>
      <c r="AD330" s="3">
        <v>21.87</v>
      </c>
      <c r="AE330" s="3">
        <v>217</v>
      </c>
      <c r="AF330" s="3">
        <v>0</v>
      </c>
      <c r="AG330" s="3">
        <v>15.576459</v>
      </c>
      <c r="AH330" s="3">
        <v>0.0952380952380952</v>
      </c>
      <c r="AI330" s="3" t="s">
        <v>971</v>
      </c>
      <c r="AJ330" s="3" t="s">
        <v>107</v>
      </c>
    </row>
    <row r="331" spans="1:36">
      <c r="A331" s="5">
        <v>43288</v>
      </c>
      <c r="B331" s="3" t="s">
        <v>1430</v>
      </c>
      <c r="C331" s="3" t="s">
        <v>1431</v>
      </c>
      <c r="D331" s="3" t="s">
        <v>1432</v>
      </c>
      <c r="E331" s="3" t="s">
        <v>1433</v>
      </c>
      <c r="F331" s="3" t="s">
        <v>84</v>
      </c>
      <c r="G331" s="3">
        <v>5</v>
      </c>
      <c r="H331" s="3">
        <v>0</v>
      </c>
      <c r="I331" s="3">
        <v>0</v>
      </c>
      <c r="J331" s="3">
        <v>0</v>
      </c>
      <c r="K331" s="3">
        <v>5</v>
      </c>
      <c r="L331" s="3">
        <v>0</v>
      </c>
      <c r="M331" s="3">
        <v>0</v>
      </c>
      <c r="N331" s="3" t="s">
        <v>85</v>
      </c>
      <c r="O331" s="3">
        <v>5</v>
      </c>
      <c r="P331" s="3">
        <v>43.94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 t="s">
        <v>100</v>
      </c>
      <c r="X331" s="3">
        <v>42.99</v>
      </c>
      <c r="Y331" s="3">
        <v>42.99</v>
      </c>
      <c r="Z331" s="3">
        <v>42.99</v>
      </c>
      <c r="AA331" s="3">
        <v>0</v>
      </c>
      <c r="AB331" s="3" t="s">
        <v>94</v>
      </c>
      <c r="AC331" s="3">
        <v>0</v>
      </c>
      <c r="AD331" s="3">
        <v>34.39</v>
      </c>
      <c r="AE331" s="3">
        <v>63</v>
      </c>
      <c r="AF331" s="3">
        <v>0</v>
      </c>
      <c r="AG331" s="3">
        <v>473.394492</v>
      </c>
      <c r="AH331" s="3">
        <v>0</v>
      </c>
      <c r="AI331" s="3" t="s">
        <v>308</v>
      </c>
      <c r="AJ331" s="3" t="s">
        <v>88</v>
      </c>
    </row>
    <row r="332" spans="1:36">
      <c r="A332" s="5">
        <v>43288</v>
      </c>
      <c r="B332" s="3" t="s">
        <v>1434</v>
      </c>
      <c r="C332" s="3" t="s">
        <v>1435</v>
      </c>
      <c r="D332" s="3" t="s">
        <v>1436</v>
      </c>
      <c r="E332" s="3" t="s">
        <v>1437</v>
      </c>
      <c r="F332" s="3" t="s">
        <v>84</v>
      </c>
      <c r="G332" s="3">
        <v>1</v>
      </c>
      <c r="H332" s="3">
        <v>0</v>
      </c>
      <c r="I332" s="3">
        <v>0</v>
      </c>
      <c r="J332" s="3">
        <v>0</v>
      </c>
      <c r="K332" s="3">
        <v>0</v>
      </c>
      <c r="L332" s="3">
        <v>1</v>
      </c>
      <c r="M332" s="3">
        <v>0</v>
      </c>
      <c r="N332" s="3" t="s">
        <v>85</v>
      </c>
      <c r="O332" s="3">
        <v>0</v>
      </c>
      <c r="P332" s="3">
        <v>0</v>
      </c>
      <c r="Q332" s="3">
        <v>1</v>
      </c>
      <c r="R332" s="3">
        <v>2.66</v>
      </c>
      <c r="S332" s="3">
        <v>0</v>
      </c>
      <c r="T332" s="3">
        <v>0</v>
      </c>
      <c r="U332" s="3">
        <v>0</v>
      </c>
      <c r="V332" s="3">
        <v>0</v>
      </c>
      <c r="W332" s="3" t="s">
        <v>93</v>
      </c>
      <c r="X332" s="3">
        <v>15.9</v>
      </c>
      <c r="Y332" s="3">
        <v>15.9</v>
      </c>
      <c r="Z332" s="3">
        <v>15.9</v>
      </c>
      <c r="AA332" s="3">
        <v>0</v>
      </c>
      <c r="AB332" s="3" t="s">
        <v>94</v>
      </c>
      <c r="AC332" s="3">
        <v>0</v>
      </c>
      <c r="AD332" s="3">
        <v>12.72</v>
      </c>
      <c r="AE332" s="3">
        <v>63</v>
      </c>
      <c r="AF332" s="3">
        <v>0</v>
      </c>
      <c r="AG332" s="3">
        <v>17.089</v>
      </c>
      <c r="AH332" s="3">
        <v>0</v>
      </c>
      <c r="AI332" s="3" t="s">
        <v>595</v>
      </c>
      <c r="AJ332" s="3" t="s">
        <v>88</v>
      </c>
    </row>
    <row r="333" spans="1:36">
      <c r="A333" s="5">
        <v>43288</v>
      </c>
      <c r="B333" s="3" t="s">
        <v>1438</v>
      </c>
      <c r="C333" s="3" t="s">
        <v>1439</v>
      </c>
      <c r="D333" s="3" t="s">
        <v>1440</v>
      </c>
      <c r="E333" s="3" t="s">
        <v>1441</v>
      </c>
      <c r="F333" s="3" t="s">
        <v>84</v>
      </c>
      <c r="G333" s="3">
        <v>41</v>
      </c>
      <c r="H333" s="3">
        <v>0</v>
      </c>
      <c r="I333" s="3">
        <v>0</v>
      </c>
      <c r="J333" s="3">
        <v>0</v>
      </c>
      <c r="K333" s="3">
        <v>0</v>
      </c>
      <c r="L333" s="3">
        <v>41</v>
      </c>
      <c r="M333" s="3">
        <v>0</v>
      </c>
      <c r="N333" s="3" t="s">
        <v>85</v>
      </c>
      <c r="O333" s="3">
        <v>41</v>
      </c>
      <c r="P333" s="3">
        <v>54.1</v>
      </c>
      <c r="Q333" s="3">
        <v>0</v>
      </c>
      <c r="R333" s="3">
        <v>0</v>
      </c>
      <c r="S333" s="3">
        <v>0</v>
      </c>
      <c r="T333" s="3">
        <v>3</v>
      </c>
      <c r="U333" s="3">
        <v>3</v>
      </c>
      <c r="V333" s="3">
        <v>5</v>
      </c>
      <c r="W333" s="3"/>
      <c r="X333" s="3">
        <v>7.89</v>
      </c>
      <c r="Y333" s="3">
        <v>7.89</v>
      </c>
      <c r="Z333" s="3">
        <v>7.89</v>
      </c>
      <c r="AA333" s="3">
        <v>0</v>
      </c>
      <c r="AB333" s="3" t="s">
        <v>94</v>
      </c>
      <c r="AC333" s="3">
        <v>5</v>
      </c>
      <c r="AD333" s="3">
        <v>6.31</v>
      </c>
      <c r="AE333" s="3">
        <v>252</v>
      </c>
      <c r="AF333" s="3">
        <v>0</v>
      </c>
      <c r="AG333" s="3">
        <v>198.256681</v>
      </c>
      <c r="AH333" s="3">
        <v>0.114285714285714</v>
      </c>
      <c r="AI333" s="3" t="s">
        <v>194</v>
      </c>
      <c r="AJ333" s="3" t="s">
        <v>88</v>
      </c>
    </row>
    <row r="334" spans="1:36">
      <c r="A334" s="5">
        <v>43288</v>
      </c>
      <c r="B334" s="3" t="s">
        <v>1442</v>
      </c>
      <c r="C334" s="3" t="s">
        <v>1443</v>
      </c>
      <c r="D334" s="3" t="s">
        <v>1444</v>
      </c>
      <c r="E334" s="3" t="s">
        <v>1445</v>
      </c>
      <c r="F334" s="3" t="s">
        <v>84</v>
      </c>
      <c r="G334" s="3">
        <v>13</v>
      </c>
      <c r="H334" s="3">
        <v>0</v>
      </c>
      <c r="I334" s="3">
        <v>0</v>
      </c>
      <c r="J334" s="3">
        <v>13</v>
      </c>
      <c r="K334" s="3">
        <v>0</v>
      </c>
      <c r="L334" s="3">
        <v>0</v>
      </c>
      <c r="M334" s="3">
        <v>0</v>
      </c>
      <c r="N334" s="3" t="s">
        <v>85</v>
      </c>
      <c r="O334" s="3">
        <v>3</v>
      </c>
      <c r="P334" s="3">
        <v>0.24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 t="s">
        <v>100</v>
      </c>
      <c r="X334" s="3">
        <v>18.99</v>
      </c>
      <c r="Y334" s="3">
        <v>18.99</v>
      </c>
      <c r="Z334" s="3">
        <v>18.99</v>
      </c>
      <c r="AA334" s="3">
        <v>0</v>
      </c>
      <c r="AB334" s="3" t="s">
        <v>94</v>
      </c>
      <c r="AC334" s="3">
        <v>0</v>
      </c>
      <c r="AD334" s="3">
        <v>13.85</v>
      </c>
      <c r="AE334" s="3">
        <v>364</v>
      </c>
      <c r="AF334" s="3">
        <v>0</v>
      </c>
      <c r="AG334" s="3">
        <v>105.405152</v>
      </c>
      <c r="AH334" s="3">
        <v>0</v>
      </c>
      <c r="AI334" s="3" t="s">
        <v>262</v>
      </c>
      <c r="AJ334" s="3" t="s">
        <v>88</v>
      </c>
    </row>
    <row r="335" spans="1:36">
      <c r="A335" s="5">
        <v>43288</v>
      </c>
      <c r="B335" s="3" t="s">
        <v>20</v>
      </c>
      <c r="C335" s="3" t="s">
        <v>21</v>
      </c>
      <c r="D335" s="3" t="s">
        <v>22</v>
      </c>
      <c r="E335" s="3" t="s">
        <v>23</v>
      </c>
      <c r="F335" s="3" t="s">
        <v>84</v>
      </c>
      <c r="G335" s="3">
        <v>35</v>
      </c>
      <c r="H335" s="3">
        <v>0</v>
      </c>
      <c r="I335" s="3">
        <v>3</v>
      </c>
      <c r="J335" s="3">
        <v>1</v>
      </c>
      <c r="K335" s="3">
        <v>0</v>
      </c>
      <c r="L335" s="3">
        <v>31</v>
      </c>
      <c r="M335" s="3">
        <v>0</v>
      </c>
      <c r="N335" s="3" t="s">
        <v>85</v>
      </c>
      <c r="O335" s="3">
        <v>31</v>
      </c>
      <c r="P335" s="3">
        <v>40.9</v>
      </c>
      <c r="Q335" s="3">
        <v>0</v>
      </c>
      <c r="R335" s="3">
        <v>0</v>
      </c>
      <c r="S335" s="3">
        <v>0</v>
      </c>
      <c r="T335" s="3">
        <v>1</v>
      </c>
      <c r="U335" s="3">
        <v>6</v>
      </c>
      <c r="V335" s="3">
        <v>6</v>
      </c>
      <c r="W335" s="3"/>
      <c r="X335" s="3">
        <v>7.46</v>
      </c>
      <c r="Y335" s="3">
        <v>7.46</v>
      </c>
      <c r="Z335" s="3">
        <v>7.46</v>
      </c>
      <c r="AA335" s="3">
        <v>0</v>
      </c>
      <c r="AB335" s="3" t="s">
        <v>94</v>
      </c>
      <c r="AC335" s="3">
        <v>8</v>
      </c>
      <c r="AD335" s="3">
        <v>4.82</v>
      </c>
      <c r="AE335" s="3">
        <v>91</v>
      </c>
      <c r="AF335" s="3">
        <v>0</v>
      </c>
      <c r="AG335" s="3">
        <v>78.689073</v>
      </c>
      <c r="AH335" s="3">
        <v>0.161073825503355</v>
      </c>
      <c r="AI335" s="3" t="s">
        <v>194</v>
      </c>
      <c r="AJ335" s="3" t="s">
        <v>88</v>
      </c>
    </row>
    <row r="336" spans="1:36">
      <c r="A336" s="5">
        <v>43288</v>
      </c>
      <c r="B336" s="3" t="s">
        <v>1446</v>
      </c>
      <c r="C336" s="3" t="s">
        <v>1447</v>
      </c>
      <c r="D336" s="3" t="s">
        <v>1448</v>
      </c>
      <c r="E336" s="3" t="s">
        <v>1449</v>
      </c>
      <c r="F336" s="3" t="s">
        <v>84</v>
      </c>
      <c r="G336" s="3">
        <v>1</v>
      </c>
      <c r="H336" s="3">
        <v>0</v>
      </c>
      <c r="I336" s="3">
        <v>0</v>
      </c>
      <c r="J336" s="3">
        <v>1</v>
      </c>
      <c r="K336" s="3">
        <v>0</v>
      </c>
      <c r="L336" s="3">
        <v>0</v>
      </c>
      <c r="M336" s="3">
        <v>0</v>
      </c>
      <c r="N336" s="3" t="s">
        <v>85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0</v>
      </c>
      <c r="W336" s="3" t="s">
        <v>93</v>
      </c>
      <c r="X336" s="3">
        <v>66.9</v>
      </c>
      <c r="Y336" s="3">
        <v>66.9</v>
      </c>
      <c r="Z336" s="3">
        <v>66.9</v>
      </c>
      <c r="AA336" s="3">
        <v>0</v>
      </c>
      <c r="AB336" s="3" t="s">
        <v>239</v>
      </c>
      <c r="AC336" s="3">
        <v>0</v>
      </c>
      <c r="AD336" s="3">
        <v>60.69</v>
      </c>
      <c r="AE336" s="3">
        <v>175</v>
      </c>
      <c r="AF336" s="3">
        <v>0</v>
      </c>
      <c r="AG336" s="3">
        <v>97.364879</v>
      </c>
      <c r="AH336" s="3">
        <v>0</v>
      </c>
      <c r="AI336" s="3" t="s">
        <v>159</v>
      </c>
      <c r="AJ336" s="3" t="s">
        <v>88</v>
      </c>
    </row>
    <row r="337" spans="1:36">
      <c r="A337" s="5">
        <v>43288</v>
      </c>
      <c r="B337" s="3" t="s">
        <v>1450</v>
      </c>
      <c r="C337" s="3" t="s">
        <v>1451</v>
      </c>
      <c r="D337" s="3" t="s">
        <v>1452</v>
      </c>
      <c r="E337" s="3" t="s">
        <v>1453</v>
      </c>
      <c r="F337" s="3" t="s">
        <v>84</v>
      </c>
      <c r="G337" s="3">
        <v>22</v>
      </c>
      <c r="H337" s="3">
        <v>0</v>
      </c>
      <c r="I337" s="3">
        <v>0</v>
      </c>
      <c r="J337" s="3">
        <v>0</v>
      </c>
      <c r="K337" s="3">
        <v>0</v>
      </c>
      <c r="L337" s="3">
        <v>22</v>
      </c>
      <c r="M337" s="3">
        <v>0</v>
      </c>
      <c r="N337" s="3" t="s">
        <v>85</v>
      </c>
      <c r="O337" s="3">
        <v>21</v>
      </c>
      <c r="P337" s="3">
        <v>0</v>
      </c>
      <c r="Q337" s="3">
        <v>1</v>
      </c>
      <c r="R337" s="3">
        <v>0.5</v>
      </c>
      <c r="S337" s="3">
        <v>0</v>
      </c>
      <c r="T337" s="3">
        <v>0</v>
      </c>
      <c r="U337" s="3">
        <v>0</v>
      </c>
      <c r="V337" s="3">
        <v>0</v>
      </c>
      <c r="W337" s="3" t="s">
        <v>100</v>
      </c>
      <c r="X337" s="3">
        <v>13.9</v>
      </c>
      <c r="Y337" s="3">
        <v>13.9</v>
      </c>
      <c r="Z337" s="3">
        <v>13.9</v>
      </c>
      <c r="AA337" s="3">
        <v>0</v>
      </c>
      <c r="AB337" s="3" t="s">
        <v>94</v>
      </c>
      <c r="AC337" s="3">
        <v>0</v>
      </c>
      <c r="AD337" s="3">
        <v>11.12</v>
      </c>
      <c r="AE337" s="3">
        <v>63</v>
      </c>
      <c r="AF337" s="3">
        <v>0</v>
      </c>
      <c r="AG337" s="3">
        <v>7.080034</v>
      </c>
      <c r="AH337" s="3">
        <v>0</v>
      </c>
      <c r="AI337" s="3" t="s">
        <v>106</v>
      </c>
      <c r="AJ337" s="3" t="s">
        <v>88</v>
      </c>
    </row>
    <row r="338" spans="1:36">
      <c r="A338" s="5">
        <v>43288</v>
      </c>
      <c r="B338" s="3" t="s">
        <v>1454</v>
      </c>
      <c r="C338" s="3" t="s">
        <v>1455</v>
      </c>
      <c r="D338" s="3" t="s">
        <v>1456</v>
      </c>
      <c r="E338" s="3" t="s">
        <v>1457</v>
      </c>
      <c r="F338" s="3" t="s">
        <v>84</v>
      </c>
      <c r="G338" s="3">
        <v>2</v>
      </c>
      <c r="H338" s="3">
        <v>0</v>
      </c>
      <c r="I338" s="3">
        <v>0</v>
      </c>
      <c r="J338" s="3">
        <v>0</v>
      </c>
      <c r="K338" s="3">
        <v>0</v>
      </c>
      <c r="L338" s="3">
        <v>2</v>
      </c>
      <c r="M338" s="3">
        <v>0</v>
      </c>
      <c r="N338" s="3" t="s">
        <v>85</v>
      </c>
      <c r="O338" s="3">
        <v>0</v>
      </c>
      <c r="P338" s="3">
        <v>0</v>
      </c>
      <c r="Q338" s="3">
        <v>2</v>
      </c>
      <c r="R338" s="3">
        <v>1.85</v>
      </c>
      <c r="S338" s="3">
        <v>0</v>
      </c>
      <c r="T338" s="3">
        <v>0</v>
      </c>
      <c r="U338" s="3">
        <v>0</v>
      </c>
      <c r="V338" s="3">
        <v>0</v>
      </c>
      <c r="W338" s="3" t="s">
        <v>93</v>
      </c>
      <c r="X338" s="3">
        <v>4.66</v>
      </c>
      <c r="Y338" s="3">
        <v>4.66</v>
      </c>
      <c r="Z338" s="3">
        <v>4.66</v>
      </c>
      <c r="AA338" s="3">
        <v>0</v>
      </c>
      <c r="AB338" s="3" t="s">
        <v>94</v>
      </c>
      <c r="AC338" s="3">
        <v>0</v>
      </c>
      <c r="AD338" s="3">
        <v>3.73</v>
      </c>
      <c r="AE338" s="3">
        <v>63</v>
      </c>
      <c r="AF338" s="3">
        <v>0</v>
      </c>
      <c r="AG338" s="3">
        <v>11.68406</v>
      </c>
      <c r="AH338" s="3">
        <v>0</v>
      </c>
      <c r="AI338" s="3" t="s">
        <v>203</v>
      </c>
      <c r="AJ338" s="3" t="s">
        <v>88</v>
      </c>
    </row>
    <row r="339" spans="1:36">
      <c r="A339" s="5">
        <v>43288</v>
      </c>
      <c r="B339" s="3" t="s">
        <v>1458</v>
      </c>
      <c r="C339" s="3" t="s">
        <v>1459</v>
      </c>
      <c r="D339" s="3" t="s">
        <v>1460</v>
      </c>
      <c r="E339" s="3" t="s">
        <v>1461</v>
      </c>
      <c r="F339" s="3" t="s">
        <v>84</v>
      </c>
      <c r="G339" s="3">
        <v>12</v>
      </c>
      <c r="H339" s="3">
        <v>0</v>
      </c>
      <c r="I339" s="3">
        <v>1</v>
      </c>
      <c r="J339" s="3">
        <v>0</v>
      </c>
      <c r="K339" s="3">
        <v>0</v>
      </c>
      <c r="L339" s="3">
        <v>11</v>
      </c>
      <c r="M339" s="3">
        <v>0</v>
      </c>
      <c r="N339" s="3" t="s">
        <v>85</v>
      </c>
      <c r="O339" s="3">
        <v>11</v>
      </c>
      <c r="P339" s="3">
        <v>17.59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2</v>
      </c>
      <c r="W339" s="3" t="s">
        <v>100</v>
      </c>
      <c r="X339" s="3">
        <v>13.9</v>
      </c>
      <c r="Y339" s="3">
        <v>13.9</v>
      </c>
      <c r="Z339" s="3">
        <v>13.9</v>
      </c>
      <c r="AA339" s="3">
        <v>0</v>
      </c>
      <c r="AB339" s="3" t="s">
        <v>86</v>
      </c>
      <c r="AC339" s="3">
        <v>12</v>
      </c>
      <c r="AD339" s="3">
        <v>13.9</v>
      </c>
      <c r="AE339" s="3">
        <v>0</v>
      </c>
      <c r="AF339" s="3">
        <v>0</v>
      </c>
      <c r="AG339" s="3">
        <v>0</v>
      </c>
      <c r="AH339" s="3">
        <v>0.16</v>
      </c>
      <c r="AI339" s="3" t="s">
        <v>140</v>
      </c>
      <c r="AJ339" s="3" t="s">
        <v>88</v>
      </c>
    </row>
    <row r="340" spans="1:36">
      <c r="A340" s="5">
        <v>43288</v>
      </c>
      <c r="B340" s="3" t="s">
        <v>1462</v>
      </c>
      <c r="C340" s="3" t="s">
        <v>1463</v>
      </c>
      <c r="D340" s="3" t="s">
        <v>1464</v>
      </c>
      <c r="E340" s="3" t="s">
        <v>1465</v>
      </c>
      <c r="F340" s="3" t="s">
        <v>84</v>
      </c>
      <c r="G340" s="3">
        <v>2</v>
      </c>
      <c r="H340" s="3">
        <v>0</v>
      </c>
      <c r="I340" s="3">
        <v>0</v>
      </c>
      <c r="J340" s="3">
        <v>0</v>
      </c>
      <c r="K340" s="3">
        <v>0</v>
      </c>
      <c r="L340" s="3">
        <v>2</v>
      </c>
      <c r="M340" s="3">
        <v>0</v>
      </c>
      <c r="N340" s="3" t="s">
        <v>85</v>
      </c>
      <c r="O340" s="3">
        <v>1</v>
      </c>
      <c r="P340" s="3">
        <v>1.23</v>
      </c>
      <c r="Q340" s="3">
        <v>1</v>
      </c>
      <c r="R340" s="3">
        <v>2.46</v>
      </c>
      <c r="S340" s="3">
        <v>0</v>
      </c>
      <c r="T340" s="3">
        <v>0</v>
      </c>
      <c r="U340" s="3">
        <v>0</v>
      </c>
      <c r="V340" s="3">
        <v>0</v>
      </c>
      <c r="W340" s="3" t="s">
        <v>93</v>
      </c>
      <c r="X340" s="3">
        <v>16.9</v>
      </c>
      <c r="Y340" s="3">
        <v>16.9</v>
      </c>
      <c r="Z340" s="3">
        <v>16.9</v>
      </c>
      <c r="AA340" s="3">
        <v>0</v>
      </c>
      <c r="AB340" s="3" t="s">
        <v>94</v>
      </c>
      <c r="AC340" s="3">
        <v>0</v>
      </c>
      <c r="AD340" s="3">
        <v>13.52</v>
      </c>
      <c r="AE340" s="3">
        <v>63</v>
      </c>
      <c r="AF340" s="3">
        <v>0</v>
      </c>
      <c r="AG340" s="3">
        <v>31.847276</v>
      </c>
      <c r="AH340" s="3">
        <v>0</v>
      </c>
      <c r="AI340" s="3" t="s">
        <v>121</v>
      </c>
      <c r="AJ340" s="3" t="s">
        <v>88</v>
      </c>
    </row>
    <row r="341" spans="1:36">
      <c r="A341" s="5">
        <v>43288</v>
      </c>
      <c r="B341" s="3" t="s">
        <v>1466</v>
      </c>
      <c r="C341" s="3" t="s">
        <v>1467</v>
      </c>
      <c r="D341" s="3" t="s">
        <v>1468</v>
      </c>
      <c r="E341" s="3" t="s">
        <v>1469</v>
      </c>
      <c r="F341" s="3" t="s">
        <v>84</v>
      </c>
      <c r="G341" s="3">
        <v>22</v>
      </c>
      <c r="H341" s="3">
        <v>0</v>
      </c>
      <c r="I341" s="3">
        <v>0</v>
      </c>
      <c r="J341" s="3">
        <v>0</v>
      </c>
      <c r="K341" s="3">
        <v>0</v>
      </c>
      <c r="L341" s="3">
        <v>22</v>
      </c>
      <c r="M341" s="3">
        <v>0</v>
      </c>
      <c r="N341" s="3" t="s">
        <v>85</v>
      </c>
      <c r="O341" s="3">
        <v>22</v>
      </c>
      <c r="P341" s="3">
        <v>60.08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 t="s">
        <v>100</v>
      </c>
      <c r="X341" s="3">
        <v>13.9</v>
      </c>
      <c r="Y341" s="3">
        <v>13.9</v>
      </c>
      <c r="Z341" s="3">
        <v>13.9</v>
      </c>
      <c r="AA341" s="3">
        <v>0</v>
      </c>
      <c r="AB341" s="3" t="s">
        <v>94</v>
      </c>
      <c r="AC341" s="3">
        <v>0</v>
      </c>
      <c r="AD341" s="3">
        <v>11.12</v>
      </c>
      <c r="AE341" s="3">
        <v>63</v>
      </c>
      <c r="AF341" s="3">
        <v>0</v>
      </c>
      <c r="AG341" s="3">
        <v>704.536218</v>
      </c>
      <c r="AH341" s="3">
        <v>0</v>
      </c>
      <c r="AI341" s="3" t="s">
        <v>173</v>
      </c>
      <c r="AJ341" s="3" t="s">
        <v>88</v>
      </c>
    </row>
    <row r="342" spans="1:36">
      <c r="A342" s="5">
        <v>43288</v>
      </c>
      <c r="B342" s="3" t="s">
        <v>1470</v>
      </c>
      <c r="C342" s="3" t="s">
        <v>1471</v>
      </c>
      <c r="D342" s="3" t="s">
        <v>1472</v>
      </c>
      <c r="E342" s="3" t="s">
        <v>1473</v>
      </c>
      <c r="F342" s="3" t="s">
        <v>84</v>
      </c>
      <c r="G342" s="3">
        <v>3</v>
      </c>
      <c r="H342" s="3">
        <v>0</v>
      </c>
      <c r="I342" s="3">
        <v>0</v>
      </c>
      <c r="J342" s="3">
        <v>1</v>
      </c>
      <c r="K342" s="3">
        <v>0</v>
      </c>
      <c r="L342" s="3">
        <v>2</v>
      </c>
      <c r="M342" s="3">
        <v>0</v>
      </c>
      <c r="N342" s="3" t="s">
        <v>85</v>
      </c>
      <c r="O342" s="3">
        <v>3</v>
      </c>
      <c r="P342" s="3">
        <v>4.83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 t="s">
        <v>93</v>
      </c>
      <c r="X342" s="3">
        <v>11.99</v>
      </c>
      <c r="Y342" s="3">
        <v>11.99</v>
      </c>
      <c r="Z342" s="3">
        <v>10.75</v>
      </c>
      <c r="AA342" s="3">
        <v>0</v>
      </c>
      <c r="AB342" s="3" t="s">
        <v>94</v>
      </c>
      <c r="AC342" s="3">
        <v>0</v>
      </c>
      <c r="AD342" s="3">
        <v>9.99</v>
      </c>
      <c r="AE342" s="3">
        <v>63</v>
      </c>
      <c r="AF342" s="3">
        <v>0</v>
      </c>
      <c r="AG342" s="3">
        <v>56.810147</v>
      </c>
      <c r="AH342" s="3">
        <v>0</v>
      </c>
      <c r="AI342" s="3" t="s">
        <v>578</v>
      </c>
      <c r="AJ342" s="3" t="s">
        <v>88</v>
      </c>
    </row>
    <row r="343" spans="1:36">
      <c r="A343" s="5">
        <v>43288</v>
      </c>
      <c r="B343" s="3" t="s">
        <v>1474</v>
      </c>
      <c r="C343" s="3" t="s">
        <v>1475</v>
      </c>
      <c r="D343" s="3" t="s">
        <v>1476</v>
      </c>
      <c r="E343" s="3" t="s">
        <v>1477</v>
      </c>
      <c r="F343" s="3" t="s">
        <v>84</v>
      </c>
      <c r="G343" s="3">
        <v>45</v>
      </c>
      <c r="H343" s="3">
        <v>0</v>
      </c>
      <c r="I343" s="3">
        <v>0</v>
      </c>
      <c r="J343" s="3">
        <v>25</v>
      </c>
      <c r="K343" s="3">
        <v>20</v>
      </c>
      <c r="L343" s="3">
        <v>0</v>
      </c>
      <c r="M343" s="3">
        <v>0</v>
      </c>
      <c r="N343" s="3" t="s">
        <v>85</v>
      </c>
      <c r="O343" s="3">
        <v>45</v>
      </c>
      <c r="P343" s="3">
        <v>0.02</v>
      </c>
      <c r="Q343" s="3">
        <v>0</v>
      </c>
      <c r="R343" s="3">
        <v>0</v>
      </c>
      <c r="S343" s="3">
        <v>0</v>
      </c>
      <c r="T343" s="3">
        <v>4</v>
      </c>
      <c r="U343" s="3">
        <v>4</v>
      </c>
      <c r="V343" s="3">
        <v>4</v>
      </c>
      <c r="W343" s="3"/>
      <c r="X343" s="3">
        <v>36.76</v>
      </c>
      <c r="Y343" s="3">
        <v>36.76</v>
      </c>
      <c r="Z343" s="3">
        <v>36.76</v>
      </c>
      <c r="AA343" s="3">
        <v>0</v>
      </c>
      <c r="AB343" s="3" t="s">
        <v>94</v>
      </c>
      <c r="AC343" s="3">
        <v>0</v>
      </c>
      <c r="AD343" s="3">
        <v>30.31</v>
      </c>
      <c r="AE343" s="3">
        <v>364</v>
      </c>
      <c r="AF343" s="3">
        <v>0</v>
      </c>
      <c r="AG343" s="3">
        <v>768.725645</v>
      </c>
      <c r="AH343" s="3">
        <v>0.0833333333333333</v>
      </c>
      <c r="AI343" s="3" t="s">
        <v>95</v>
      </c>
      <c r="AJ343" s="3" t="s">
        <v>88</v>
      </c>
    </row>
    <row r="344" spans="1:36">
      <c r="A344" s="5">
        <v>43288</v>
      </c>
      <c r="B344" s="3" t="s">
        <v>1478</v>
      </c>
      <c r="C344" s="3" t="s">
        <v>1479</v>
      </c>
      <c r="D344" s="3" t="s">
        <v>1480</v>
      </c>
      <c r="E344" s="3" t="s">
        <v>1481</v>
      </c>
      <c r="F344" s="3" t="s">
        <v>84</v>
      </c>
      <c r="G344" s="3">
        <v>16</v>
      </c>
      <c r="H344" s="3">
        <v>0</v>
      </c>
      <c r="I344" s="3">
        <v>3</v>
      </c>
      <c r="J344" s="3">
        <v>13</v>
      </c>
      <c r="K344" s="3">
        <v>0</v>
      </c>
      <c r="L344" s="3">
        <v>0</v>
      </c>
      <c r="M344" s="3">
        <v>0</v>
      </c>
      <c r="N344" s="3" t="s">
        <v>85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3</v>
      </c>
      <c r="U344" s="3">
        <v>7</v>
      </c>
      <c r="V344" s="3">
        <v>7</v>
      </c>
      <c r="W344" s="3" t="s">
        <v>100</v>
      </c>
      <c r="X344" s="3">
        <v>16.99</v>
      </c>
      <c r="Y344" s="3">
        <v>16.99</v>
      </c>
      <c r="Z344" s="3">
        <v>16.99</v>
      </c>
      <c r="AA344" s="3">
        <v>0</v>
      </c>
      <c r="AB344" s="3" t="s">
        <v>86</v>
      </c>
      <c r="AC344" s="3">
        <v>16</v>
      </c>
      <c r="AD344" s="3">
        <v>16.99</v>
      </c>
      <c r="AE344" s="3">
        <v>0</v>
      </c>
      <c r="AF344" s="3">
        <v>0</v>
      </c>
      <c r="AG344" s="3">
        <v>0</v>
      </c>
      <c r="AH344" s="3">
        <v>0.388888888888888</v>
      </c>
      <c r="AI344" s="3" t="s">
        <v>1482</v>
      </c>
      <c r="AJ344" s="3" t="s">
        <v>88</v>
      </c>
    </row>
    <row r="345" spans="1:36">
      <c r="A345" s="5">
        <v>43288</v>
      </c>
      <c r="B345" s="3" t="s">
        <v>1483</v>
      </c>
      <c r="C345" s="3" t="s">
        <v>1484</v>
      </c>
      <c r="D345" s="3" t="s">
        <v>1485</v>
      </c>
      <c r="E345" s="3" t="s">
        <v>1486</v>
      </c>
      <c r="F345" s="3" t="s">
        <v>84</v>
      </c>
      <c r="G345" s="3">
        <v>26</v>
      </c>
      <c r="H345" s="3">
        <v>0</v>
      </c>
      <c r="I345" s="3">
        <v>0</v>
      </c>
      <c r="J345" s="3">
        <v>0</v>
      </c>
      <c r="K345" s="3">
        <v>0</v>
      </c>
      <c r="L345" s="3">
        <v>26</v>
      </c>
      <c r="M345" s="3">
        <v>0</v>
      </c>
      <c r="N345" s="3" t="s">
        <v>85</v>
      </c>
      <c r="O345" s="3">
        <v>26</v>
      </c>
      <c r="P345" s="3">
        <v>35.5</v>
      </c>
      <c r="Q345" s="3">
        <v>0</v>
      </c>
      <c r="R345" s="3">
        <v>0</v>
      </c>
      <c r="S345" s="3">
        <v>0</v>
      </c>
      <c r="T345" s="3">
        <v>0</v>
      </c>
      <c r="U345" s="3">
        <v>1</v>
      </c>
      <c r="V345" s="3">
        <v>1</v>
      </c>
      <c r="W345" s="3" t="s">
        <v>100</v>
      </c>
      <c r="X345" s="3">
        <v>12.99</v>
      </c>
      <c r="Y345" s="3">
        <v>12.99</v>
      </c>
      <c r="Z345" s="3">
        <v>12.99</v>
      </c>
      <c r="AA345" s="3">
        <v>0</v>
      </c>
      <c r="AB345" s="3" t="s">
        <v>94</v>
      </c>
      <c r="AC345" s="3">
        <v>3</v>
      </c>
      <c r="AD345" s="3">
        <v>10.15</v>
      </c>
      <c r="AE345" s="3">
        <v>364</v>
      </c>
      <c r="AF345" s="3">
        <v>0</v>
      </c>
      <c r="AG345" s="3">
        <v>238.104977</v>
      </c>
      <c r="AH345" s="3">
        <v>0.0377358490566037</v>
      </c>
      <c r="AI345" s="3" t="s">
        <v>164</v>
      </c>
      <c r="AJ345" s="3" t="s">
        <v>88</v>
      </c>
    </row>
    <row r="346" spans="1:36">
      <c r="A346" s="5">
        <v>43288</v>
      </c>
      <c r="B346" s="3" t="s">
        <v>1487</v>
      </c>
      <c r="C346" s="3" t="s">
        <v>1488</v>
      </c>
      <c r="D346" s="3" t="s">
        <v>1489</v>
      </c>
      <c r="E346" s="3" t="s">
        <v>1490</v>
      </c>
      <c r="F346" s="3" t="s">
        <v>84</v>
      </c>
      <c r="G346" s="3">
        <v>29</v>
      </c>
      <c r="H346" s="3">
        <v>0</v>
      </c>
      <c r="I346" s="3">
        <v>0</v>
      </c>
      <c r="J346" s="3">
        <v>1</v>
      </c>
      <c r="K346" s="3">
        <v>0</v>
      </c>
      <c r="L346" s="3">
        <v>28</v>
      </c>
      <c r="M346" s="3">
        <v>0</v>
      </c>
      <c r="N346" s="3" t="s">
        <v>85</v>
      </c>
      <c r="O346" s="3">
        <v>29</v>
      </c>
      <c r="P346" s="3">
        <v>39.95</v>
      </c>
      <c r="Q346" s="3">
        <v>0</v>
      </c>
      <c r="R346" s="3">
        <v>0</v>
      </c>
      <c r="S346" s="3">
        <v>0</v>
      </c>
      <c r="T346" s="3">
        <v>1</v>
      </c>
      <c r="U346" s="3">
        <v>1</v>
      </c>
      <c r="V346" s="3">
        <v>1</v>
      </c>
      <c r="W346" s="3"/>
      <c r="X346" s="3">
        <v>9.99</v>
      </c>
      <c r="Y346" s="3">
        <v>9.99</v>
      </c>
      <c r="Z346" s="3">
        <v>9.99</v>
      </c>
      <c r="AA346" s="3">
        <v>0</v>
      </c>
      <c r="AB346" s="3" t="s">
        <v>94</v>
      </c>
      <c r="AC346" s="3">
        <v>6</v>
      </c>
      <c r="AD346" s="3">
        <v>7.99</v>
      </c>
      <c r="AE346" s="3">
        <v>266</v>
      </c>
      <c r="AF346" s="3">
        <v>0</v>
      </c>
      <c r="AG346" s="3">
        <v>96.724172</v>
      </c>
      <c r="AH346" s="3">
        <v>0.0336134453781512</v>
      </c>
      <c r="AI346" s="3" t="s">
        <v>101</v>
      </c>
      <c r="AJ346" s="3" t="s">
        <v>88</v>
      </c>
    </row>
    <row r="347" spans="1:36">
      <c r="A347" s="5">
        <v>43288</v>
      </c>
      <c r="B347" s="3" t="s">
        <v>1491</v>
      </c>
      <c r="C347" s="3" t="s">
        <v>1492</v>
      </c>
      <c r="D347" s="3" t="s">
        <v>1493</v>
      </c>
      <c r="E347" s="3" t="s">
        <v>1494</v>
      </c>
      <c r="F347" s="3" t="s">
        <v>84</v>
      </c>
      <c r="G347" s="3">
        <v>21</v>
      </c>
      <c r="H347" s="3">
        <v>0</v>
      </c>
      <c r="I347" s="3">
        <v>0</v>
      </c>
      <c r="J347" s="3">
        <v>0</v>
      </c>
      <c r="K347" s="3">
        <v>0</v>
      </c>
      <c r="L347" s="3">
        <v>21</v>
      </c>
      <c r="M347" s="3">
        <v>0</v>
      </c>
      <c r="N347" s="3" t="s">
        <v>85</v>
      </c>
      <c r="O347" s="3">
        <v>21</v>
      </c>
      <c r="P347" s="3">
        <v>57.35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1</v>
      </c>
      <c r="W347" s="3" t="s">
        <v>100</v>
      </c>
      <c r="X347" s="3">
        <v>13.9</v>
      </c>
      <c r="Y347" s="3">
        <v>13.9</v>
      </c>
      <c r="Z347" s="3">
        <v>13.9</v>
      </c>
      <c r="AA347" s="3">
        <v>0</v>
      </c>
      <c r="AB347" s="3" t="s">
        <v>94</v>
      </c>
      <c r="AC347" s="3">
        <v>6</v>
      </c>
      <c r="AD347" s="3">
        <v>10.14</v>
      </c>
      <c r="AE347" s="3">
        <v>126</v>
      </c>
      <c r="AF347" s="3">
        <v>0</v>
      </c>
      <c r="AG347" s="3">
        <v>74.37694</v>
      </c>
      <c r="AH347" s="3">
        <v>0.0470588235294117</v>
      </c>
      <c r="AI347" s="3" t="s">
        <v>173</v>
      </c>
      <c r="AJ347" s="3" t="s">
        <v>88</v>
      </c>
    </row>
    <row r="348" spans="1:36">
      <c r="A348" s="5">
        <v>43288</v>
      </c>
      <c r="B348" s="3" t="s">
        <v>1495</v>
      </c>
      <c r="C348" s="3" t="s">
        <v>1496</v>
      </c>
      <c r="D348" s="3" t="s">
        <v>1497</v>
      </c>
      <c r="E348" s="3" t="s">
        <v>1498</v>
      </c>
      <c r="F348" s="3" t="s">
        <v>84</v>
      </c>
      <c r="G348" s="3">
        <v>3</v>
      </c>
      <c r="H348" s="3">
        <v>0</v>
      </c>
      <c r="I348" s="3">
        <v>0</v>
      </c>
      <c r="J348" s="3">
        <v>0</v>
      </c>
      <c r="K348" s="3">
        <v>0</v>
      </c>
      <c r="L348" s="3">
        <v>3</v>
      </c>
      <c r="M348" s="3">
        <v>0</v>
      </c>
      <c r="N348" s="3" t="s">
        <v>85</v>
      </c>
      <c r="O348" s="3">
        <v>0</v>
      </c>
      <c r="P348" s="3">
        <v>0</v>
      </c>
      <c r="Q348" s="3">
        <v>3</v>
      </c>
      <c r="R348" s="3">
        <v>5.31</v>
      </c>
      <c r="S348" s="3">
        <v>0</v>
      </c>
      <c r="T348" s="3">
        <v>0</v>
      </c>
      <c r="U348" s="3">
        <v>0</v>
      </c>
      <c r="V348" s="3">
        <v>0</v>
      </c>
      <c r="W348" s="3" t="s">
        <v>93</v>
      </c>
      <c r="X348" s="3">
        <v>12.9</v>
      </c>
      <c r="Y348" s="3">
        <v>12.9</v>
      </c>
      <c r="Z348" s="3">
        <v>12.9</v>
      </c>
      <c r="AA348" s="3">
        <v>0</v>
      </c>
      <c r="AB348" s="3" t="s">
        <v>94</v>
      </c>
      <c r="AC348" s="3">
        <v>0</v>
      </c>
      <c r="AD348" s="3">
        <v>10.32</v>
      </c>
      <c r="AE348" s="3">
        <v>63</v>
      </c>
      <c r="AF348" s="3">
        <v>0</v>
      </c>
      <c r="AG348" s="3">
        <v>34.302589</v>
      </c>
      <c r="AH348" s="3">
        <v>0</v>
      </c>
      <c r="AI348" s="3" t="s">
        <v>996</v>
      </c>
      <c r="AJ348" s="3" t="s">
        <v>88</v>
      </c>
    </row>
    <row r="349" spans="1:36">
      <c r="A349" s="5">
        <v>43288</v>
      </c>
      <c r="B349" s="3" t="s">
        <v>1499</v>
      </c>
      <c r="C349" s="3" t="s">
        <v>1500</v>
      </c>
      <c r="D349" s="3" t="s">
        <v>1501</v>
      </c>
      <c r="E349" s="3" t="s">
        <v>1502</v>
      </c>
      <c r="F349" s="3" t="s">
        <v>84</v>
      </c>
      <c r="G349" s="3">
        <v>9</v>
      </c>
      <c r="H349" s="3">
        <v>0</v>
      </c>
      <c r="I349" s="3">
        <v>0</v>
      </c>
      <c r="J349" s="3">
        <v>1</v>
      </c>
      <c r="K349" s="3">
        <v>8</v>
      </c>
      <c r="L349" s="3">
        <v>0</v>
      </c>
      <c r="M349" s="3">
        <v>0</v>
      </c>
      <c r="N349" s="3" t="s">
        <v>85</v>
      </c>
      <c r="O349" s="3">
        <v>8</v>
      </c>
      <c r="P349" s="3">
        <v>2.42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93</v>
      </c>
      <c r="X349" s="3">
        <v>8.99</v>
      </c>
      <c r="Y349" s="3">
        <v>8.99</v>
      </c>
      <c r="Z349" s="3">
        <v>8.99</v>
      </c>
      <c r="AA349" s="3">
        <v>0</v>
      </c>
      <c r="AB349" s="3" t="s">
        <v>86</v>
      </c>
      <c r="AC349" s="3">
        <v>9</v>
      </c>
      <c r="AD349" s="3">
        <v>8.99</v>
      </c>
      <c r="AE349" s="3">
        <v>0</v>
      </c>
      <c r="AF349" s="3">
        <v>0</v>
      </c>
      <c r="AG349" s="3">
        <v>0</v>
      </c>
      <c r="AH349" s="3">
        <v>0</v>
      </c>
      <c r="AI349" s="3" t="s">
        <v>466</v>
      </c>
      <c r="AJ349" s="3" t="s">
        <v>88</v>
      </c>
    </row>
    <row r="350" spans="1:36">
      <c r="A350" s="5">
        <v>43288</v>
      </c>
      <c r="B350" s="3" t="s">
        <v>1503</v>
      </c>
      <c r="C350" s="3" t="s">
        <v>1504</v>
      </c>
      <c r="D350" s="3" t="s">
        <v>1505</v>
      </c>
      <c r="E350" s="3" t="s">
        <v>1506</v>
      </c>
      <c r="F350" s="3" t="s">
        <v>84</v>
      </c>
      <c r="G350" s="3">
        <v>4</v>
      </c>
      <c r="H350" s="3">
        <v>0</v>
      </c>
      <c r="I350" s="3">
        <v>0</v>
      </c>
      <c r="J350" s="3">
        <v>0</v>
      </c>
      <c r="K350" s="3">
        <v>0</v>
      </c>
      <c r="L350" s="3">
        <v>4</v>
      </c>
      <c r="M350" s="3">
        <v>0</v>
      </c>
      <c r="N350" s="3" t="s">
        <v>85</v>
      </c>
      <c r="O350" s="3">
        <v>0</v>
      </c>
      <c r="P350" s="3">
        <v>0</v>
      </c>
      <c r="Q350" s="3">
        <v>4</v>
      </c>
      <c r="R350" s="3">
        <v>2</v>
      </c>
      <c r="S350" s="3">
        <v>0</v>
      </c>
      <c r="T350" s="3">
        <v>0</v>
      </c>
      <c r="U350" s="3">
        <v>0</v>
      </c>
      <c r="V350" s="3">
        <v>0</v>
      </c>
      <c r="W350" s="3" t="s">
        <v>93</v>
      </c>
      <c r="X350" s="3">
        <v>66.9</v>
      </c>
      <c r="Y350" s="3">
        <v>66.9</v>
      </c>
      <c r="Z350" s="3">
        <v>66.9</v>
      </c>
      <c r="AA350" s="3">
        <v>0</v>
      </c>
      <c r="AB350" s="3" t="s">
        <v>94</v>
      </c>
      <c r="AC350" s="3">
        <v>0</v>
      </c>
      <c r="AD350" s="3">
        <v>53.52</v>
      </c>
      <c r="AE350" s="3">
        <v>63</v>
      </c>
      <c r="AF350" s="3">
        <v>0</v>
      </c>
      <c r="AG350" s="3">
        <v>25.847833</v>
      </c>
      <c r="AH350" s="3">
        <v>0</v>
      </c>
      <c r="AI350" s="3" t="s">
        <v>95</v>
      </c>
      <c r="AJ350" s="3" t="s">
        <v>88</v>
      </c>
    </row>
    <row r="351" spans="1:36">
      <c r="A351" s="5">
        <v>43288</v>
      </c>
      <c r="B351" s="3" t="s">
        <v>1507</v>
      </c>
      <c r="C351" s="3" t="s">
        <v>1508</v>
      </c>
      <c r="D351" s="3" t="s">
        <v>1509</v>
      </c>
      <c r="E351" s="3" t="s">
        <v>1510</v>
      </c>
      <c r="F351" s="3" t="s">
        <v>84</v>
      </c>
      <c r="G351" s="3">
        <v>12</v>
      </c>
      <c r="H351" s="3">
        <v>0</v>
      </c>
      <c r="I351" s="3">
        <v>0</v>
      </c>
      <c r="J351" s="3">
        <v>12</v>
      </c>
      <c r="K351" s="3">
        <v>0</v>
      </c>
      <c r="L351" s="3">
        <v>0</v>
      </c>
      <c r="M351" s="3">
        <v>0</v>
      </c>
      <c r="N351" s="3" t="s">
        <v>85</v>
      </c>
      <c r="O351" s="3">
        <v>12</v>
      </c>
      <c r="P351" s="3">
        <v>24.08</v>
      </c>
      <c r="Q351" s="3">
        <v>0</v>
      </c>
      <c r="R351" s="3">
        <v>0</v>
      </c>
      <c r="S351" s="3">
        <v>2</v>
      </c>
      <c r="T351" s="3">
        <v>2</v>
      </c>
      <c r="U351" s="3">
        <v>2</v>
      </c>
      <c r="V351" s="3">
        <v>2</v>
      </c>
      <c r="W351" s="3"/>
      <c r="X351" s="3">
        <v>35.99</v>
      </c>
      <c r="Y351" s="3">
        <v>6.99</v>
      </c>
      <c r="Z351" s="3">
        <v>6.99</v>
      </c>
      <c r="AA351" s="3">
        <v>0</v>
      </c>
      <c r="AB351" s="3" t="s">
        <v>94</v>
      </c>
      <c r="AC351" s="3">
        <v>0</v>
      </c>
      <c r="AD351" s="3">
        <v>5.59</v>
      </c>
      <c r="AE351" s="3">
        <v>364</v>
      </c>
      <c r="AF351" s="3">
        <v>0</v>
      </c>
      <c r="AG351" s="3">
        <v>281.948014</v>
      </c>
      <c r="AH351" s="3">
        <v>0.148148148148148</v>
      </c>
      <c r="AI351" s="3" t="s">
        <v>87</v>
      </c>
      <c r="AJ351" s="3" t="s">
        <v>88</v>
      </c>
    </row>
    <row r="352" spans="1:36">
      <c r="A352" s="5">
        <v>43288</v>
      </c>
      <c r="B352" s="3" t="s">
        <v>1511</v>
      </c>
      <c r="C352" s="3" t="s">
        <v>1512</v>
      </c>
      <c r="D352" s="3" t="s">
        <v>1513</v>
      </c>
      <c r="E352" s="3" t="s">
        <v>1514</v>
      </c>
      <c r="F352" s="3" t="s">
        <v>84</v>
      </c>
      <c r="G352" s="3">
        <v>34</v>
      </c>
      <c r="H352" s="3">
        <v>0</v>
      </c>
      <c r="I352" s="3">
        <v>0</v>
      </c>
      <c r="J352" s="3">
        <v>0</v>
      </c>
      <c r="K352" s="3">
        <v>1</v>
      </c>
      <c r="L352" s="3">
        <v>33</v>
      </c>
      <c r="M352" s="3">
        <v>0</v>
      </c>
      <c r="N352" s="3" t="s">
        <v>85</v>
      </c>
      <c r="O352" s="3">
        <v>34</v>
      </c>
      <c r="P352" s="3">
        <v>46.79</v>
      </c>
      <c r="Q352" s="3">
        <v>0</v>
      </c>
      <c r="R352" s="3">
        <v>0</v>
      </c>
      <c r="S352" s="3">
        <v>0</v>
      </c>
      <c r="T352" s="3">
        <v>2</v>
      </c>
      <c r="U352" s="3">
        <v>3</v>
      </c>
      <c r="V352" s="3">
        <v>3</v>
      </c>
      <c r="W352" s="3" t="s">
        <v>93</v>
      </c>
      <c r="X352" s="3">
        <v>9.21</v>
      </c>
      <c r="Y352" s="3">
        <v>9.21</v>
      </c>
      <c r="Z352" s="3">
        <v>9.21</v>
      </c>
      <c r="AA352" s="3">
        <v>0</v>
      </c>
      <c r="AB352" s="3" t="s">
        <v>239</v>
      </c>
      <c r="AC352" s="3">
        <v>0</v>
      </c>
      <c r="AD352" s="3">
        <v>7.77</v>
      </c>
      <c r="AE352" s="3">
        <v>364</v>
      </c>
      <c r="AF352" s="3">
        <v>0</v>
      </c>
      <c r="AG352" s="3">
        <v>554.513394</v>
      </c>
      <c r="AH352" s="3">
        <v>0.0833333333333333</v>
      </c>
      <c r="AI352" s="3" t="s">
        <v>684</v>
      </c>
      <c r="AJ352" s="3" t="s">
        <v>88</v>
      </c>
    </row>
    <row r="353" spans="1:36">
      <c r="A353" s="5">
        <v>43288</v>
      </c>
      <c r="B353" s="3" t="s">
        <v>1515</v>
      </c>
      <c r="C353" s="3" t="s">
        <v>1516</v>
      </c>
      <c r="D353" s="3" t="s">
        <v>1517</v>
      </c>
      <c r="E353" s="3" t="s">
        <v>1518</v>
      </c>
      <c r="F353" s="3" t="s">
        <v>84</v>
      </c>
      <c r="G353" s="3">
        <v>2</v>
      </c>
      <c r="H353" s="3">
        <v>0</v>
      </c>
      <c r="I353" s="3">
        <v>0</v>
      </c>
      <c r="J353" s="3">
        <v>0</v>
      </c>
      <c r="K353" s="3">
        <v>2</v>
      </c>
      <c r="L353" s="3">
        <v>0</v>
      </c>
      <c r="M353" s="3">
        <v>0</v>
      </c>
      <c r="N353" s="3" t="s">
        <v>85</v>
      </c>
      <c r="O353" s="3">
        <v>2</v>
      </c>
      <c r="P353" s="3">
        <v>2.6</v>
      </c>
      <c r="Q353" s="3">
        <v>0</v>
      </c>
      <c r="R353" s="3">
        <v>0</v>
      </c>
      <c r="S353" s="3">
        <v>0</v>
      </c>
      <c r="T353" s="3">
        <v>1</v>
      </c>
      <c r="U353" s="3">
        <v>2</v>
      </c>
      <c r="V353" s="3">
        <v>2</v>
      </c>
      <c r="W353" s="3" t="s">
        <v>93</v>
      </c>
      <c r="X353" s="3">
        <v>20.9</v>
      </c>
      <c r="Y353" s="3">
        <v>20.9</v>
      </c>
      <c r="Z353" s="3">
        <v>20.9</v>
      </c>
      <c r="AA353" s="3">
        <v>0</v>
      </c>
      <c r="AB353" s="3" t="s">
        <v>86</v>
      </c>
      <c r="AC353" s="3">
        <v>2</v>
      </c>
      <c r="AD353" s="3">
        <v>20.9</v>
      </c>
      <c r="AE353" s="3">
        <v>0</v>
      </c>
      <c r="AF353" s="3">
        <v>0</v>
      </c>
      <c r="AG353" s="3">
        <v>0</v>
      </c>
      <c r="AH353" s="3">
        <v>0.615384615384615</v>
      </c>
      <c r="AI353" s="3" t="s">
        <v>1519</v>
      </c>
      <c r="AJ353" s="3" t="s">
        <v>88</v>
      </c>
    </row>
    <row r="354" spans="1:36">
      <c r="A354" s="5">
        <v>43288</v>
      </c>
      <c r="B354" s="3" t="s">
        <v>1520</v>
      </c>
      <c r="C354" s="3" t="s">
        <v>1521</v>
      </c>
      <c r="D354" s="3" t="s">
        <v>1522</v>
      </c>
      <c r="E354" s="3" t="s">
        <v>1523</v>
      </c>
      <c r="F354" s="3" t="s">
        <v>84</v>
      </c>
      <c r="G354" s="3">
        <v>1</v>
      </c>
      <c r="H354" s="3">
        <v>0</v>
      </c>
      <c r="I354" s="3">
        <v>0</v>
      </c>
      <c r="J354" s="3">
        <v>0</v>
      </c>
      <c r="K354" s="3">
        <v>0</v>
      </c>
      <c r="L354" s="3">
        <v>1</v>
      </c>
      <c r="M354" s="3">
        <v>0</v>
      </c>
      <c r="N354" s="3" t="s">
        <v>85</v>
      </c>
      <c r="O354" s="3">
        <v>0</v>
      </c>
      <c r="P354" s="3">
        <v>0</v>
      </c>
      <c r="Q354" s="3">
        <v>1</v>
      </c>
      <c r="R354" s="3">
        <v>0.5</v>
      </c>
      <c r="S354" s="3">
        <v>0</v>
      </c>
      <c r="T354" s="3">
        <v>0</v>
      </c>
      <c r="U354" s="3">
        <v>0</v>
      </c>
      <c r="V354" s="3">
        <v>0</v>
      </c>
      <c r="W354" s="3" t="s">
        <v>93</v>
      </c>
      <c r="X354" s="3">
        <v>5.36</v>
      </c>
      <c r="Y354" s="3">
        <v>5.36</v>
      </c>
      <c r="Z354" s="3">
        <v>5.36</v>
      </c>
      <c r="AA354" s="3">
        <v>0</v>
      </c>
      <c r="AB354" s="3" t="s">
        <v>86</v>
      </c>
      <c r="AC354" s="3">
        <v>1</v>
      </c>
      <c r="AD354" s="3">
        <v>5.36</v>
      </c>
      <c r="AE354" s="3">
        <v>0</v>
      </c>
      <c r="AF354" s="3">
        <v>0</v>
      </c>
      <c r="AG354" s="3">
        <v>0</v>
      </c>
      <c r="AH354" s="3">
        <v>0</v>
      </c>
      <c r="AI354" s="3" t="s">
        <v>106</v>
      </c>
      <c r="AJ354" s="3" t="s">
        <v>107</v>
      </c>
    </row>
    <row r="355" spans="1:36">
      <c r="A355" s="5">
        <v>43288</v>
      </c>
      <c r="B355" s="3" t="s">
        <v>1524</v>
      </c>
      <c r="C355" s="3" t="s">
        <v>1525</v>
      </c>
      <c r="D355" s="3" t="s">
        <v>1526</v>
      </c>
      <c r="E355" s="3" t="s">
        <v>1527</v>
      </c>
      <c r="F355" s="3" t="s">
        <v>84</v>
      </c>
      <c r="G355" s="3">
        <v>11</v>
      </c>
      <c r="H355" s="3">
        <v>0</v>
      </c>
      <c r="I355" s="3">
        <v>2</v>
      </c>
      <c r="J355" s="3">
        <v>9</v>
      </c>
      <c r="K355" s="3">
        <v>0</v>
      </c>
      <c r="L355" s="3">
        <v>0</v>
      </c>
      <c r="M355" s="3">
        <v>0</v>
      </c>
      <c r="N355" s="3" t="s">
        <v>85</v>
      </c>
      <c r="O355" s="3">
        <v>2</v>
      </c>
      <c r="P355" s="3">
        <v>0.46</v>
      </c>
      <c r="Q355" s="3">
        <v>0</v>
      </c>
      <c r="R355" s="3">
        <v>0</v>
      </c>
      <c r="S355" s="3">
        <v>1</v>
      </c>
      <c r="T355" s="3">
        <v>1</v>
      </c>
      <c r="U355" s="3">
        <v>3</v>
      </c>
      <c r="V355" s="3">
        <v>4</v>
      </c>
      <c r="W355" s="3"/>
      <c r="X355" s="3">
        <v>18.99</v>
      </c>
      <c r="Y355" s="3">
        <v>18.99</v>
      </c>
      <c r="Z355" s="3">
        <v>18.99</v>
      </c>
      <c r="AA355" s="3">
        <v>0</v>
      </c>
      <c r="AB355" s="3" t="s">
        <v>86</v>
      </c>
      <c r="AC355" s="3">
        <v>11</v>
      </c>
      <c r="AD355" s="3">
        <v>18.99</v>
      </c>
      <c r="AE355" s="3">
        <v>0</v>
      </c>
      <c r="AF355" s="3">
        <v>0</v>
      </c>
      <c r="AG355" s="3">
        <v>0</v>
      </c>
      <c r="AH355" s="3">
        <v>0.326530612244897</v>
      </c>
      <c r="AI355" s="3" t="s">
        <v>366</v>
      </c>
      <c r="AJ355" s="3" t="s">
        <v>88</v>
      </c>
    </row>
    <row r="356" spans="1:36">
      <c r="A356" s="5">
        <v>43288</v>
      </c>
      <c r="B356" s="3" t="s">
        <v>1528</v>
      </c>
      <c r="C356" s="3" t="s">
        <v>1529</v>
      </c>
      <c r="D356" s="3" t="s">
        <v>1530</v>
      </c>
      <c r="E356" s="3" t="s">
        <v>1531</v>
      </c>
      <c r="F356" s="3" t="s">
        <v>84</v>
      </c>
      <c r="G356" s="3">
        <v>27</v>
      </c>
      <c r="H356" s="3">
        <v>0</v>
      </c>
      <c r="I356" s="3">
        <v>0</v>
      </c>
      <c r="J356" s="3">
        <v>0</v>
      </c>
      <c r="K356" s="3">
        <v>0</v>
      </c>
      <c r="L356" s="3">
        <v>27</v>
      </c>
      <c r="M356" s="3">
        <v>0</v>
      </c>
      <c r="N356" s="3" t="s">
        <v>85</v>
      </c>
      <c r="O356" s="3">
        <v>27</v>
      </c>
      <c r="P356" s="3">
        <v>37.2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 t="s">
        <v>100</v>
      </c>
      <c r="X356" s="3">
        <v>8.02</v>
      </c>
      <c r="Y356" s="3">
        <v>8.02</v>
      </c>
      <c r="Z356" s="3">
        <v>8.02</v>
      </c>
      <c r="AA356" s="3">
        <v>0</v>
      </c>
      <c r="AB356" s="3" t="s">
        <v>94</v>
      </c>
      <c r="AC356" s="3">
        <v>1</v>
      </c>
      <c r="AD356" s="3">
        <v>6.87</v>
      </c>
      <c r="AE356" s="3">
        <v>168</v>
      </c>
      <c r="AF356" s="3">
        <v>0</v>
      </c>
      <c r="AG356" s="3">
        <v>457.419407</v>
      </c>
      <c r="AH356" s="3">
        <v>0</v>
      </c>
      <c r="AI356" s="3" t="s">
        <v>101</v>
      </c>
      <c r="AJ356" s="3" t="s">
        <v>88</v>
      </c>
    </row>
    <row r="357" spans="1:36">
      <c r="A357" s="5">
        <v>43288</v>
      </c>
      <c r="B357" s="3" t="s">
        <v>1532</v>
      </c>
      <c r="C357" s="3" t="s">
        <v>1533</v>
      </c>
      <c r="D357" s="3" t="s">
        <v>1534</v>
      </c>
      <c r="E357" s="3" t="s">
        <v>1535</v>
      </c>
      <c r="F357" s="3" t="s">
        <v>84</v>
      </c>
      <c r="G357" s="3">
        <v>2</v>
      </c>
      <c r="H357" s="3">
        <v>0</v>
      </c>
      <c r="I357" s="3">
        <v>1</v>
      </c>
      <c r="J357" s="3">
        <v>0</v>
      </c>
      <c r="K357" s="3">
        <v>1</v>
      </c>
      <c r="L357" s="3">
        <v>0</v>
      </c>
      <c r="M357" s="3">
        <v>0</v>
      </c>
      <c r="N357" s="3" t="s">
        <v>85</v>
      </c>
      <c r="O357" s="3">
        <v>1</v>
      </c>
      <c r="P357" s="3">
        <v>6.33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100</v>
      </c>
      <c r="X357" s="3">
        <v>42.99</v>
      </c>
      <c r="Y357" s="3">
        <v>42.99</v>
      </c>
      <c r="Z357" s="3">
        <v>34.39</v>
      </c>
      <c r="AA357" s="3">
        <v>0</v>
      </c>
      <c r="AB357" s="3" t="s">
        <v>94</v>
      </c>
      <c r="AC357" s="3">
        <v>0</v>
      </c>
      <c r="AD357" s="3">
        <v>39.31</v>
      </c>
      <c r="AE357" s="3">
        <v>56</v>
      </c>
      <c r="AF357" s="3">
        <v>0</v>
      </c>
      <c r="AG357" s="3">
        <v>150.744282</v>
      </c>
      <c r="AH357" s="3">
        <v>0</v>
      </c>
      <c r="AI357" s="3" t="s">
        <v>135</v>
      </c>
      <c r="AJ357" s="3" t="s">
        <v>88</v>
      </c>
    </row>
    <row r="358" spans="1:36">
      <c r="A358" s="5">
        <v>43288</v>
      </c>
      <c r="B358" s="3" t="s">
        <v>1536</v>
      </c>
      <c r="C358" s="3" t="s">
        <v>1537</v>
      </c>
      <c r="D358" s="3" t="s">
        <v>1538</v>
      </c>
      <c r="E358" s="3" t="s">
        <v>1539</v>
      </c>
      <c r="F358" s="3" t="s">
        <v>84</v>
      </c>
      <c r="G358" s="3">
        <v>1</v>
      </c>
      <c r="H358" s="3">
        <v>0</v>
      </c>
      <c r="I358" s="3">
        <v>0</v>
      </c>
      <c r="J358" s="3">
        <v>1</v>
      </c>
      <c r="K358" s="3">
        <v>0</v>
      </c>
      <c r="L358" s="3">
        <v>0</v>
      </c>
      <c r="M358" s="3">
        <v>0</v>
      </c>
      <c r="N358" s="3" t="s">
        <v>85</v>
      </c>
      <c r="O358" s="3">
        <v>1</v>
      </c>
      <c r="P358" s="3">
        <v>12.9</v>
      </c>
      <c r="Q358" s="3">
        <v>0</v>
      </c>
      <c r="R358" s="3">
        <v>0</v>
      </c>
      <c r="S358" s="3">
        <v>0</v>
      </c>
      <c r="T358" s="3">
        <v>0</v>
      </c>
      <c r="U358" s="3">
        <v>0</v>
      </c>
      <c r="V358" s="3">
        <v>2</v>
      </c>
      <c r="W358" s="3" t="s">
        <v>100</v>
      </c>
      <c r="X358" s="3">
        <v>42.99</v>
      </c>
      <c r="Y358" s="3">
        <v>42.99</v>
      </c>
      <c r="Z358" s="3">
        <v>38.99</v>
      </c>
      <c r="AA358" s="3">
        <v>0</v>
      </c>
      <c r="AB358" s="3" t="s">
        <v>94</v>
      </c>
      <c r="AC358" s="3">
        <v>0</v>
      </c>
      <c r="AD358" s="3">
        <v>38.99</v>
      </c>
      <c r="AE358" s="3">
        <v>63</v>
      </c>
      <c r="AF358" s="3">
        <v>0</v>
      </c>
      <c r="AG358" s="3">
        <v>33.559701</v>
      </c>
      <c r="AH358" s="3">
        <v>0.421052631578947</v>
      </c>
      <c r="AI358" s="3" t="s">
        <v>1540</v>
      </c>
      <c r="AJ358" s="3" t="s">
        <v>612</v>
      </c>
    </row>
    <row r="359" spans="1:36">
      <c r="A359" s="6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</row>
    <row r="360" spans="1:36">
      <c r="A360" s="6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</row>
    <row r="361" spans="1:36">
      <c r="A361" s="6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</row>
    <row r="362" spans="1:33">
      <c r="A362" s="6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6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6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6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6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6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6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6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6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6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6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6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59"/>
  <sheetViews>
    <sheetView zoomScale="115" zoomScaleNormal="115" workbookViewId="0">
      <selection activeCell="A1" sqref="A1:R397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49</v>
      </c>
      <c r="F1" s="3" t="s">
        <v>67</v>
      </c>
      <c r="G1" s="3" t="s">
        <v>1541</v>
      </c>
      <c r="H1" s="3" t="s">
        <v>1542</v>
      </c>
      <c r="I1" s="3" t="s">
        <v>1543</v>
      </c>
      <c r="J1" s="3" t="s">
        <v>1544</v>
      </c>
      <c r="K1" s="3" t="s">
        <v>1545</v>
      </c>
      <c r="L1" s="3" t="s">
        <v>1546</v>
      </c>
      <c r="M1" s="3" t="s">
        <v>1547</v>
      </c>
      <c r="N1" s="3" t="s">
        <v>1548</v>
      </c>
      <c r="O1" s="3" t="s">
        <v>1549</v>
      </c>
      <c r="P1" s="3" t="s">
        <v>1550</v>
      </c>
      <c r="Q1" s="3" t="s">
        <v>1551</v>
      </c>
      <c r="R1" s="3" t="s">
        <v>1552</v>
      </c>
    </row>
    <row r="2" spans="1:18">
      <c r="A2" s="3" t="s">
        <v>1111</v>
      </c>
      <c r="B2" s="3" t="s">
        <v>1112</v>
      </c>
      <c r="C2" s="3" t="s">
        <v>1113</v>
      </c>
      <c r="D2" s="3" t="s">
        <v>1114</v>
      </c>
      <c r="E2" s="3" t="s">
        <v>84</v>
      </c>
      <c r="F2" s="3">
        <v>15.99</v>
      </c>
      <c r="G2" s="3" t="s">
        <v>1553</v>
      </c>
      <c r="H2" s="3"/>
      <c r="I2" s="3" t="s">
        <v>1554</v>
      </c>
      <c r="J2" s="3">
        <v>24</v>
      </c>
      <c r="K2" s="3">
        <v>24</v>
      </c>
      <c r="L2" s="3">
        <v>0</v>
      </c>
      <c r="M2" s="3">
        <v>0</v>
      </c>
      <c r="N2" s="3">
        <v>24</v>
      </c>
      <c r="O2" s="3">
        <v>0.05</v>
      </c>
      <c r="P2" s="3">
        <v>0</v>
      </c>
      <c r="Q2" s="3">
        <v>0</v>
      </c>
      <c r="R2" s="3">
        <v>0</v>
      </c>
    </row>
    <row r="3" spans="1:18">
      <c r="A3" s="3" t="s">
        <v>392</v>
      </c>
      <c r="B3" s="3" t="s">
        <v>393</v>
      </c>
      <c r="C3" s="3" t="s">
        <v>394</v>
      </c>
      <c r="D3" s="3" t="s">
        <v>395</v>
      </c>
      <c r="E3" s="3" t="s">
        <v>84</v>
      </c>
      <c r="F3" s="3">
        <v>15.99</v>
      </c>
      <c r="G3" s="3" t="s">
        <v>1553</v>
      </c>
      <c r="H3" s="3"/>
      <c r="I3" s="3" t="s">
        <v>1554</v>
      </c>
      <c r="J3" s="3">
        <v>6</v>
      </c>
      <c r="K3" s="3">
        <v>6</v>
      </c>
      <c r="L3" s="3">
        <v>0</v>
      </c>
      <c r="M3" s="3">
        <v>0</v>
      </c>
      <c r="N3" s="3">
        <v>6</v>
      </c>
      <c r="O3" s="3">
        <v>0.08</v>
      </c>
      <c r="P3" s="3">
        <v>0</v>
      </c>
      <c r="Q3" s="3">
        <v>0</v>
      </c>
      <c r="R3" s="3">
        <v>0</v>
      </c>
    </row>
    <row r="4" spans="1:18">
      <c r="A4" s="3" t="s">
        <v>717</v>
      </c>
      <c r="B4" s="3" t="s">
        <v>718</v>
      </c>
      <c r="C4" s="3" t="s">
        <v>719</v>
      </c>
      <c r="D4" s="3" t="s">
        <v>720</v>
      </c>
      <c r="E4" s="3" t="s">
        <v>84</v>
      </c>
      <c r="F4" s="3">
        <v>15.99</v>
      </c>
      <c r="G4" s="3" t="s">
        <v>1553</v>
      </c>
      <c r="H4" s="3"/>
      <c r="I4" s="3" t="s">
        <v>1554</v>
      </c>
      <c r="J4" s="3">
        <v>40</v>
      </c>
      <c r="K4" s="3">
        <v>40</v>
      </c>
      <c r="L4" s="3">
        <v>0</v>
      </c>
      <c r="M4" s="3">
        <v>0</v>
      </c>
      <c r="N4" s="3">
        <v>40</v>
      </c>
      <c r="O4" s="3">
        <v>0</v>
      </c>
      <c r="P4" s="3">
        <v>0</v>
      </c>
      <c r="Q4" s="3">
        <v>0</v>
      </c>
      <c r="R4" s="3">
        <v>0</v>
      </c>
    </row>
    <row r="5" spans="1:18">
      <c r="A5" s="3" t="s">
        <v>1474</v>
      </c>
      <c r="B5" s="3" t="s">
        <v>1475</v>
      </c>
      <c r="C5" s="3" t="s">
        <v>1476</v>
      </c>
      <c r="D5" s="3" t="s">
        <v>1477</v>
      </c>
      <c r="E5" s="3" t="s">
        <v>84</v>
      </c>
      <c r="F5" s="3">
        <v>58.99</v>
      </c>
      <c r="G5" s="3" t="s">
        <v>1553</v>
      </c>
      <c r="H5" s="3"/>
      <c r="I5" s="3" t="s">
        <v>1554</v>
      </c>
      <c r="J5" s="3">
        <v>45</v>
      </c>
      <c r="K5" s="3">
        <v>45</v>
      </c>
      <c r="L5" s="3">
        <v>0</v>
      </c>
      <c r="M5" s="3">
        <v>0</v>
      </c>
      <c r="N5" s="3">
        <v>45</v>
      </c>
      <c r="O5" s="3">
        <v>0</v>
      </c>
      <c r="P5" s="3">
        <v>0</v>
      </c>
      <c r="Q5" s="3">
        <v>0</v>
      </c>
      <c r="R5" s="3">
        <v>0</v>
      </c>
    </row>
    <row r="6" spans="1:18">
      <c r="A6" s="3" t="s">
        <v>952</v>
      </c>
      <c r="B6" s="3" t="s">
        <v>953</v>
      </c>
      <c r="C6" s="3" t="s">
        <v>954</v>
      </c>
      <c r="D6" s="3" t="s">
        <v>955</v>
      </c>
      <c r="E6" s="3" t="s">
        <v>84</v>
      </c>
      <c r="F6" s="3">
        <v>61.9</v>
      </c>
      <c r="G6" s="3" t="s">
        <v>1553</v>
      </c>
      <c r="H6" s="3"/>
      <c r="I6" s="3" t="s">
        <v>1554</v>
      </c>
      <c r="J6" s="3">
        <v>2</v>
      </c>
      <c r="K6" s="3">
        <v>2</v>
      </c>
      <c r="L6" s="3">
        <v>0</v>
      </c>
      <c r="M6" s="3">
        <v>0</v>
      </c>
      <c r="N6" s="3">
        <v>2</v>
      </c>
      <c r="O6" s="3">
        <v>0.15</v>
      </c>
      <c r="P6" s="3">
        <v>0</v>
      </c>
      <c r="Q6" s="3">
        <v>0</v>
      </c>
      <c r="R6" s="3">
        <v>0</v>
      </c>
    </row>
    <row r="7" spans="1:18">
      <c r="A7" s="3" t="s">
        <v>230</v>
      </c>
      <c r="B7" s="3" t="s">
        <v>231</v>
      </c>
      <c r="C7" s="3" t="s">
        <v>232</v>
      </c>
      <c r="D7" s="3" t="s">
        <v>233</v>
      </c>
      <c r="E7" s="3" t="s">
        <v>84</v>
      </c>
      <c r="F7" s="3">
        <v>61.9</v>
      </c>
      <c r="G7" s="3" t="s">
        <v>1553</v>
      </c>
      <c r="H7" s="3"/>
      <c r="I7" s="3" t="s">
        <v>1554</v>
      </c>
      <c r="J7" s="3">
        <v>3</v>
      </c>
      <c r="K7" s="3">
        <v>3</v>
      </c>
      <c r="L7" s="3">
        <v>0</v>
      </c>
      <c r="M7" s="3">
        <v>0</v>
      </c>
      <c r="N7" s="3">
        <v>3</v>
      </c>
      <c r="O7" s="3">
        <v>0.15</v>
      </c>
      <c r="P7" s="3">
        <v>0</v>
      </c>
      <c r="Q7" s="3">
        <v>0</v>
      </c>
      <c r="R7" s="3">
        <v>0</v>
      </c>
    </row>
    <row r="8" spans="1:18">
      <c r="A8" s="3" t="s">
        <v>1555</v>
      </c>
      <c r="B8" s="3" t="s">
        <v>1556</v>
      </c>
      <c r="C8" s="3" t="s">
        <v>1557</v>
      </c>
      <c r="D8" s="3" t="s">
        <v>1558</v>
      </c>
      <c r="E8" s="3" t="s">
        <v>84</v>
      </c>
      <c r="F8" s="3">
        <v>61.9</v>
      </c>
      <c r="G8" s="3" t="s">
        <v>1553</v>
      </c>
      <c r="H8" s="3"/>
      <c r="I8" s="3" t="s">
        <v>1554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0.15</v>
      </c>
      <c r="P8" s="3">
        <v>0</v>
      </c>
      <c r="Q8" s="3">
        <v>0</v>
      </c>
      <c r="R8" s="3">
        <v>0</v>
      </c>
    </row>
    <row r="9" spans="1:18">
      <c r="A9" s="3" t="s">
        <v>345</v>
      </c>
      <c r="B9" s="3" t="s">
        <v>346</v>
      </c>
      <c r="C9" s="3" t="s">
        <v>347</v>
      </c>
      <c r="D9" s="3" t="s">
        <v>348</v>
      </c>
      <c r="E9" s="3" t="s">
        <v>84</v>
      </c>
      <c r="F9" s="3">
        <v>61.9</v>
      </c>
      <c r="G9" s="3" t="s">
        <v>1553</v>
      </c>
      <c r="H9" s="3"/>
      <c r="I9" s="3" t="s">
        <v>1554</v>
      </c>
      <c r="J9" s="3">
        <v>1</v>
      </c>
      <c r="K9" s="3">
        <v>1</v>
      </c>
      <c r="L9" s="3">
        <v>0</v>
      </c>
      <c r="M9" s="3">
        <v>0</v>
      </c>
      <c r="N9" s="3">
        <v>1</v>
      </c>
      <c r="O9" s="3">
        <v>0.15</v>
      </c>
      <c r="P9" s="3">
        <v>0</v>
      </c>
      <c r="Q9" s="3">
        <v>0</v>
      </c>
      <c r="R9" s="3">
        <v>0</v>
      </c>
    </row>
    <row r="10" spans="1:18">
      <c r="A10" s="3" t="s">
        <v>1559</v>
      </c>
      <c r="B10" s="3" t="s">
        <v>1560</v>
      </c>
      <c r="C10" s="3" t="s">
        <v>1561</v>
      </c>
      <c r="D10" s="3" t="s">
        <v>1562</v>
      </c>
      <c r="E10" s="3" t="s">
        <v>84</v>
      </c>
      <c r="F10" s="3">
        <v>61.9</v>
      </c>
      <c r="G10" s="3" t="s">
        <v>1554</v>
      </c>
      <c r="H10" s="3">
        <v>0</v>
      </c>
      <c r="I10" s="3" t="s">
        <v>1553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0.12</v>
      </c>
      <c r="P10" s="3">
        <v>0</v>
      </c>
      <c r="Q10" s="3">
        <v>0</v>
      </c>
      <c r="R10" s="3">
        <v>0</v>
      </c>
    </row>
    <row r="11" spans="1:18">
      <c r="A11" s="3" t="s">
        <v>1563</v>
      </c>
      <c r="B11" s="3" t="s">
        <v>1564</v>
      </c>
      <c r="C11" s="3" t="s">
        <v>1565</v>
      </c>
      <c r="D11" s="3" t="s">
        <v>1566</v>
      </c>
      <c r="E11" s="3" t="s">
        <v>84</v>
      </c>
      <c r="F11" s="3">
        <v>61.9</v>
      </c>
      <c r="G11" s="3" t="s">
        <v>1553</v>
      </c>
      <c r="H11" s="3"/>
      <c r="I11" s="3" t="s">
        <v>1554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0.13</v>
      </c>
      <c r="P11" s="3">
        <v>0</v>
      </c>
      <c r="Q11" s="3">
        <v>0</v>
      </c>
      <c r="R11" s="3">
        <v>0</v>
      </c>
    </row>
    <row r="12" spans="1:18">
      <c r="A12" s="3" t="s">
        <v>1515</v>
      </c>
      <c r="B12" s="3" t="s">
        <v>1516</v>
      </c>
      <c r="C12" s="3" t="s">
        <v>1517</v>
      </c>
      <c r="D12" s="3" t="s">
        <v>1518</v>
      </c>
      <c r="E12" s="3" t="s">
        <v>84</v>
      </c>
      <c r="F12" s="3">
        <v>61.9</v>
      </c>
      <c r="G12" s="3" t="s">
        <v>1553</v>
      </c>
      <c r="H12" s="3"/>
      <c r="I12" s="3" t="s">
        <v>1554</v>
      </c>
      <c r="J12" s="3">
        <v>2</v>
      </c>
      <c r="K12" s="3">
        <v>2</v>
      </c>
      <c r="L12" s="3">
        <v>0</v>
      </c>
      <c r="M12" s="3">
        <v>0</v>
      </c>
      <c r="N12" s="3">
        <v>2</v>
      </c>
      <c r="O12" s="3">
        <v>0.12</v>
      </c>
      <c r="P12" s="3">
        <v>0</v>
      </c>
      <c r="Q12" s="3">
        <v>0</v>
      </c>
      <c r="R12" s="3">
        <v>0</v>
      </c>
    </row>
    <row r="13" spans="1:18">
      <c r="A13" s="3" t="s">
        <v>1335</v>
      </c>
      <c r="B13" s="3" t="s">
        <v>1336</v>
      </c>
      <c r="C13" s="3" t="s">
        <v>1337</v>
      </c>
      <c r="D13" s="3" t="s">
        <v>1338</v>
      </c>
      <c r="E13" s="3" t="s">
        <v>84</v>
      </c>
      <c r="F13" s="3">
        <v>61.9</v>
      </c>
      <c r="G13" s="3" t="s">
        <v>1553</v>
      </c>
      <c r="H13" s="3"/>
      <c r="I13" s="3" t="s">
        <v>1554</v>
      </c>
      <c r="J13" s="3">
        <v>5</v>
      </c>
      <c r="K13" s="3">
        <v>5</v>
      </c>
      <c r="L13" s="3">
        <v>0</v>
      </c>
      <c r="M13" s="3">
        <v>0</v>
      </c>
      <c r="N13" s="3">
        <v>5</v>
      </c>
      <c r="O13" s="3">
        <v>0.14</v>
      </c>
      <c r="P13" s="3">
        <v>0</v>
      </c>
      <c r="Q13" s="3">
        <v>0</v>
      </c>
      <c r="R13" s="3">
        <v>0</v>
      </c>
    </row>
    <row r="14" spans="1:18">
      <c r="A14" s="3" t="s">
        <v>1326</v>
      </c>
      <c r="B14" s="3" t="s">
        <v>1327</v>
      </c>
      <c r="C14" s="3" t="s">
        <v>1328</v>
      </c>
      <c r="D14" s="3" t="s">
        <v>1329</v>
      </c>
      <c r="E14" s="3" t="s">
        <v>84</v>
      </c>
      <c r="F14" s="3">
        <v>61.9</v>
      </c>
      <c r="G14" s="3" t="s">
        <v>1553</v>
      </c>
      <c r="H14" s="3"/>
      <c r="I14" s="3" t="s">
        <v>1554</v>
      </c>
      <c r="J14" s="3">
        <v>3</v>
      </c>
      <c r="K14" s="3">
        <v>3</v>
      </c>
      <c r="L14" s="3">
        <v>0</v>
      </c>
      <c r="M14" s="3">
        <v>0</v>
      </c>
      <c r="N14" s="3">
        <v>3</v>
      </c>
      <c r="O14" s="3">
        <v>0.13</v>
      </c>
      <c r="P14" s="3">
        <v>0</v>
      </c>
      <c r="Q14" s="3">
        <v>0</v>
      </c>
      <c r="R14" s="3">
        <v>0</v>
      </c>
    </row>
    <row r="15" spans="1:18">
      <c r="A15" s="3" t="s">
        <v>1153</v>
      </c>
      <c r="B15" s="3" t="s">
        <v>1154</v>
      </c>
      <c r="C15" s="3" t="s">
        <v>1155</v>
      </c>
      <c r="D15" s="3" t="s">
        <v>1156</v>
      </c>
      <c r="E15" s="3" t="s">
        <v>84</v>
      </c>
      <c r="F15" s="3">
        <v>61.9</v>
      </c>
      <c r="G15" s="3" t="s">
        <v>1553</v>
      </c>
      <c r="H15" s="3"/>
      <c r="I15" s="3" t="s">
        <v>1554</v>
      </c>
      <c r="J15" s="3">
        <v>5</v>
      </c>
      <c r="K15" s="3">
        <v>5</v>
      </c>
      <c r="L15" s="3">
        <v>0</v>
      </c>
      <c r="M15" s="3">
        <v>0</v>
      </c>
      <c r="N15" s="3">
        <v>5</v>
      </c>
      <c r="O15" s="3">
        <v>0.13</v>
      </c>
      <c r="P15" s="3">
        <v>0</v>
      </c>
      <c r="Q15" s="3">
        <v>0</v>
      </c>
      <c r="R15" s="3">
        <v>0</v>
      </c>
    </row>
    <row r="16" spans="1:18">
      <c r="A16" s="3" t="s">
        <v>1567</v>
      </c>
      <c r="B16" s="3" t="s">
        <v>1568</v>
      </c>
      <c r="C16" s="3" t="s">
        <v>1569</v>
      </c>
      <c r="D16" s="3"/>
      <c r="E16" s="3" t="s">
        <v>1570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1571</v>
      </c>
      <c r="B17" s="3" t="s">
        <v>1572</v>
      </c>
      <c r="C17" s="3" t="s">
        <v>1573</v>
      </c>
      <c r="D17" s="3"/>
      <c r="E17" s="3" t="s">
        <v>1570</v>
      </c>
      <c r="F17" s="3"/>
      <c r="G17" s="3"/>
      <c r="H17" s="3"/>
      <c r="I17" s="3"/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/>
      <c r="P17" s="3">
        <v>0</v>
      </c>
      <c r="Q17" s="3">
        <v>0</v>
      </c>
      <c r="R17" s="3">
        <v>0</v>
      </c>
    </row>
    <row r="18" spans="1:18">
      <c r="A18" s="3" t="s">
        <v>145</v>
      </c>
      <c r="B18" s="3" t="s">
        <v>146</v>
      </c>
      <c r="C18" s="3" t="s">
        <v>147</v>
      </c>
      <c r="D18" s="3" t="s">
        <v>148</v>
      </c>
      <c r="E18" s="3" t="s">
        <v>84</v>
      </c>
      <c r="F18" s="3">
        <v>18.99</v>
      </c>
      <c r="G18" s="3" t="s">
        <v>1553</v>
      </c>
      <c r="H18" s="3"/>
      <c r="I18" s="3" t="s">
        <v>1554</v>
      </c>
      <c r="J18" s="3">
        <v>1</v>
      </c>
      <c r="K18" s="3">
        <v>1</v>
      </c>
      <c r="L18" s="3">
        <v>0</v>
      </c>
      <c r="M18" s="3">
        <v>0</v>
      </c>
      <c r="N18" s="3">
        <v>1</v>
      </c>
      <c r="O18" s="3">
        <v>0.12</v>
      </c>
      <c r="P18" s="3">
        <v>0</v>
      </c>
      <c r="Q18" s="3">
        <v>0</v>
      </c>
      <c r="R18" s="3">
        <v>0</v>
      </c>
    </row>
    <row r="19" spans="1:18">
      <c r="A19" s="3" t="s">
        <v>1574</v>
      </c>
      <c r="B19" s="3" t="s">
        <v>1575</v>
      </c>
      <c r="C19" s="3" t="s">
        <v>1575</v>
      </c>
      <c r="D19" s="3"/>
      <c r="E19" s="3" t="s">
        <v>1570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1576</v>
      </c>
      <c r="B20" s="3" t="s">
        <v>1577</v>
      </c>
      <c r="C20" s="3" t="s">
        <v>1578</v>
      </c>
      <c r="D20" s="3" t="s">
        <v>1579</v>
      </c>
      <c r="E20" s="3" t="s">
        <v>84</v>
      </c>
      <c r="F20" s="3">
        <v>69.9</v>
      </c>
      <c r="G20" s="3" t="s">
        <v>1554</v>
      </c>
      <c r="H20" s="3">
        <v>0</v>
      </c>
      <c r="I20" s="3" t="s">
        <v>1553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0.17</v>
      </c>
      <c r="P20" s="3">
        <v>0</v>
      </c>
      <c r="Q20" s="3">
        <v>0</v>
      </c>
      <c r="R20" s="3">
        <v>0</v>
      </c>
    </row>
    <row r="21" spans="1:18">
      <c r="A21" s="3" t="s">
        <v>1580</v>
      </c>
      <c r="B21" s="3" t="s">
        <v>1581</v>
      </c>
      <c r="C21" s="3" t="s">
        <v>1581</v>
      </c>
      <c r="D21" s="3"/>
      <c r="E21" s="3" t="s">
        <v>1570</v>
      </c>
      <c r="F21" s="3"/>
      <c r="G21" s="3"/>
      <c r="H21" s="3"/>
      <c r="I21" s="3"/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/>
      <c r="P21" s="3">
        <v>0</v>
      </c>
      <c r="Q21" s="3">
        <v>0</v>
      </c>
      <c r="R21" s="3">
        <v>0</v>
      </c>
    </row>
    <row r="22" spans="1:18">
      <c r="A22" s="3" t="s">
        <v>1582</v>
      </c>
      <c r="B22" s="3" t="s">
        <v>1583</v>
      </c>
      <c r="C22" s="3" t="s">
        <v>1584</v>
      </c>
      <c r="D22" s="3" t="s">
        <v>1585</v>
      </c>
      <c r="E22" s="3" t="s">
        <v>84</v>
      </c>
      <c r="F22" s="3">
        <v>69.9</v>
      </c>
      <c r="G22" s="3" t="s">
        <v>1553</v>
      </c>
      <c r="H22" s="3"/>
      <c r="I22" s="3" t="s">
        <v>1554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0.17</v>
      </c>
      <c r="P22" s="3">
        <v>0</v>
      </c>
      <c r="Q22" s="3">
        <v>0</v>
      </c>
      <c r="R22" s="3">
        <v>0</v>
      </c>
    </row>
    <row r="23" spans="1:18">
      <c r="A23" s="3" t="s">
        <v>108</v>
      </c>
      <c r="B23" s="3" t="s">
        <v>109</v>
      </c>
      <c r="C23" s="3" t="s">
        <v>109</v>
      </c>
      <c r="D23" s="3" t="s">
        <v>110</v>
      </c>
      <c r="E23" s="3" t="s">
        <v>84</v>
      </c>
      <c r="F23" s="3">
        <v>23.98</v>
      </c>
      <c r="G23" s="3" t="s">
        <v>1553</v>
      </c>
      <c r="H23" s="3"/>
      <c r="I23" s="3" t="s">
        <v>1554</v>
      </c>
      <c r="J23" s="3">
        <v>1</v>
      </c>
      <c r="K23" s="3">
        <v>1</v>
      </c>
      <c r="L23" s="3">
        <v>0</v>
      </c>
      <c r="M23" s="3">
        <v>0</v>
      </c>
      <c r="N23" s="3">
        <v>1</v>
      </c>
      <c r="O23" s="3">
        <v>0.17</v>
      </c>
      <c r="P23" s="3">
        <v>0</v>
      </c>
      <c r="Q23" s="3">
        <v>0</v>
      </c>
      <c r="R23" s="3">
        <v>0</v>
      </c>
    </row>
    <row r="24" spans="1:18">
      <c r="A24" s="3" t="s">
        <v>1586</v>
      </c>
      <c r="B24" s="3" t="s">
        <v>1587</v>
      </c>
      <c r="C24" s="3" t="s">
        <v>1587</v>
      </c>
      <c r="D24" s="3"/>
      <c r="E24" s="3" t="s">
        <v>1570</v>
      </c>
      <c r="F24" s="3"/>
      <c r="G24" s="3"/>
      <c r="H24" s="3"/>
      <c r="I24" s="3"/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/>
      <c r="P24" s="3">
        <v>0</v>
      </c>
      <c r="Q24" s="3">
        <v>0</v>
      </c>
      <c r="R24" s="3">
        <v>0</v>
      </c>
    </row>
    <row r="25" spans="1:18">
      <c r="A25" s="3" t="s">
        <v>8</v>
      </c>
      <c r="B25" s="3" t="s">
        <v>9</v>
      </c>
      <c r="C25" s="3" t="s">
        <v>10</v>
      </c>
      <c r="D25" s="3" t="s">
        <v>11</v>
      </c>
      <c r="E25" s="3" t="s">
        <v>84</v>
      </c>
      <c r="F25" s="3">
        <v>69.9</v>
      </c>
      <c r="G25" s="3" t="s">
        <v>1553</v>
      </c>
      <c r="H25" s="3"/>
      <c r="I25" s="3" t="s">
        <v>1554</v>
      </c>
      <c r="J25" s="3">
        <v>15</v>
      </c>
      <c r="K25" s="3">
        <v>14</v>
      </c>
      <c r="L25" s="3">
        <v>0</v>
      </c>
      <c r="M25" s="3">
        <v>1</v>
      </c>
      <c r="N25" s="3">
        <v>15</v>
      </c>
      <c r="O25" s="3">
        <v>0.17</v>
      </c>
      <c r="P25" s="3">
        <v>0</v>
      </c>
      <c r="Q25" s="3">
        <v>0</v>
      </c>
      <c r="R25" s="3">
        <v>0</v>
      </c>
    </row>
    <row r="26" spans="1:18">
      <c r="A26" s="3" t="s">
        <v>309</v>
      </c>
      <c r="B26" s="3" t="s">
        <v>310</v>
      </c>
      <c r="C26" s="3" t="s">
        <v>310</v>
      </c>
      <c r="D26" s="3" t="s">
        <v>311</v>
      </c>
      <c r="E26" s="3" t="s">
        <v>84</v>
      </c>
      <c r="F26" s="3">
        <v>23.98</v>
      </c>
      <c r="G26" s="3" t="s">
        <v>1553</v>
      </c>
      <c r="H26" s="3"/>
      <c r="I26" s="3" t="s">
        <v>1554</v>
      </c>
      <c r="J26" s="3">
        <v>6</v>
      </c>
      <c r="K26" s="3">
        <v>6</v>
      </c>
      <c r="L26" s="3">
        <v>0</v>
      </c>
      <c r="M26" s="3">
        <v>0</v>
      </c>
      <c r="N26" s="3">
        <v>6</v>
      </c>
      <c r="O26" s="3">
        <v>0.17</v>
      </c>
      <c r="P26" s="3">
        <v>0</v>
      </c>
      <c r="Q26" s="3">
        <v>0</v>
      </c>
      <c r="R26" s="3">
        <v>0</v>
      </c>
    </row>
    <row r="27" spans="1:18">
      <c r="A27" s="3" t="s">
        <v>1532</v>
      </c>
      <c r="B27" s="3" t="s">
        <v>1533</v>
      </c>
      <c r="C27" s="3" t="s">
        <v>1534</v>
      </c>
      <c r="D27" s="3" t="s">
        <v>1535</v>
      </c>
      <c r="E27" s="3" t="s">
        <v>84</v>
      </c>
      <c r="F27" s="3">
        <v>69.99</v>
      </c>
      <c r="G27" s="3" t="s">
        <v>1553</v>
      </c>
      <c r="H27" s="3"/>
      <c r="I27" s="3" t="s">
        <v>1554</v>
      </c>
      <c r="J27" s="3">
        <v>2</v>
      </c>
      <c r="K27" s="3">
        <v>2</v>
      </c>
      <c r="L27" s="3">
        <v>0</v>
      </c>
      <c r="M27" s="3">
        <v>0</v>
      </c>
      <c r="N27" s="3">
        <v>2</v>
      </c>
      <c r="O27" s="3">
        <v>0.56</v>
      </c>
      <c r="P27" s="3">
        <v>0</v>
      </c>
      <c r="Q27" s="3">
        <v>0</v>
      </c>
      <c r="R27" s="3">
        <v>0</v>
      </c>
    </row>
    <row r="28" spans="1:18">
      <c r="A28" s="3" t="s">
        <v>1381</v>
      </c>
      <c r="B28" s="3" t="s">
        <v>1382</v>
      </c>
      <c r="C28" s="3" t="s">
        <v>1383</v>
      </c>
      <c r="D28" s="3" t="s">
        <v>1384</v>
      </c>
      <c r="E28" s="3" t="s">
        <v>84</v>
      </c>
      <c r="F28" s="3">
        <v>69.99</v>
      </c>
      <c r="G28" s="3" t="s">
        <v>1553</v>
      </c>
      <c r="H28" s="3"/>
      <c r="I28" s="3" t="s">
        <v>1554</v>
      </c>
      <c r="J28" s="3">
        <v>5</v>
      </c>
      <c r="K28" s="3">
        <v>5</v>
      </c>
      <c r="L28" s="3">
        <v>0</v>
      </c>
      <c r="M28" s="3">
        <v>0</v>
      </c>
      <c r="N28" s="3">
        <v>5</v>
      </c>
      <c r="O28" s="3">
        <v>0.56</v>
      </c>
      <c r="P28" s="3">
        <v>0</v>
      </c>
      <c r="Q28" s="3">
        <v>0</v>
      </c>
      <c r="R28" s="3">
        <v>0</v>
      </c>
    </row>
    <row r="29" spans="1:18">
      <c r="A29" s="3" t="s">
        <v>1302</v>
      </c>
      <c r="B29" s="3" t="s">
        <v>1303</v>
      </c>
      <c r="C29" s="3" t="s">
        <v>1304</v>
      </c>
      <c r="D29" s="3" t="s">
        <v>1305</v>
      </c>
      <c r="E29" s="3" t="s">
        <v>84</v>
      </c>
      <c r="F29" s="3">
        <v>69.99</v>
      </c>
      <c r="G29" s="3" t="s">
        <v>1553</v>
      </c>
      <c r="H29" s="3"/>
      <c r="I29" s="3" t="s">
        <v>1554</v>
      </c>
      <c r="J29" s="3">
        <v>2</v>
      </c>
      <c r="K29" s="3">
        <v>2</v>
      </c>
      <c r="L29" s="3">
        <v>0</v>
      </c>
      <c r="M29" s="3">
        <v>0</v>
      </c>
      <c r="N29" s="3">
        <v>2</v>
      </c>
      <c r="O29" s="3">
        <v>0.56</v>
      </c>
      <c r="P29" s="3">
        <v>0</v>
      </c>
      <c r="Q29" s="3">
        <v>0</v>
      </c>
      <c r="R29" s="3">
        <v>0</v>
      </c>
    </row>
    <row r="30" spans="1:18">
      <c r="A30" s="3" t="s">
        <v>608</v>
      </c>
      <c r="B30" s="3" t="s">
        <v>609</v>
      </c>
      <c r="C30" s="3" t="s">
        <v>610</v>
      </c>
      <c r="D30" s="3" t="s">
        <v>611</v>
      </c>
      <c r="E30" s="3" t="s">
        <v>84</v>
      </c>
      <c r="F30" s="3">
        <v>69.99</v>
      </c>
      <c r="G30" s="3" t="s">
        <v>1553</v>
      </c>
      <c r="H30" s="3"/>
      <c r="I30" s="3" t="s">
        <v>1554</v>
      </c>
      <c r="J30" s="3">
        <v>3</v>
      </c>
      <c r="K30" s="3">
        <v>3</v>
      </c>
      <c r="L30" s="3">
        <v>0</v>
      </c>
      <c r="M30" s="3">
        <v>0</v>
      </c>
      <c r="N30" s="3">
        <v>3</v>
      </c>
      <c r="O30" s="3">
        <v>0.56</v>
      </c>
      <c r="P30" s="3">
        <v>0</v>
      </c>
      <c r="Q30" s="3">
        <v>0</v>
      </c>
      <c r="R30" s="3">
        <v>0</v>
      </c>
    </row>
    <row r="31" spans="1:18">
      <c r="A31" s="3" t="s">
        <v>221</v>
      </c>
      <c r="B31" s="3" t="s">
        <v>222</v>
      </c>
      <c r="C31" s="3" t="s">
        <v>223</v>
      </c>
      <c r="D31" s="3" t="s">
        <v>224</v>
      </c>
      <c r="E31" s="3" t="s">
        <v>84</v>
      </c>
      <c r="F31" s="3">
        <v>69.99</v>
      </c>
      <c r="G31" s="3" t="s">
        <v>1553</v>
      </c>
      <c r="H31" s="3"/>
      <c r="I31" s="3" t="s">
        <v>1554</v>
      </c>
      <c r="J31" s="3">
        <v>2</v>
      </c>
      <c r="K31" s="3">
        <v>2</v>
      </c>
      <c r="L31" s="3">
        <v>0</v>
      </c>
      <c r="M31" s="3">
        <v>0</v>
      </c>
      <c r="N31" s="3">
        <v>2</v>
      </c>
      <c r="O31" s="3">
        <v>0.56</v>
      </c>
      <c r="P31" s="3">
        <v>0</v>
      </c>
      <c r="Q31" s="3">
        <v>0</v>
      </c>
      <c r="R31" s="3">
        <v>0</v>
      </c>
    </row>
    <row r="32" spans="1:18">
      <c r="A32" s="3" t="s">
        <v>217</v>
      </c>
      <c r="B32" s="3" t="s">
        <v>218</v>
      </c>
      <c r="C32" s="3" t="s">
        <v>219</v>
      </c>
      <c r="D32" s="3" t="s">
        <v>220</v>
      </c>
      <c r="E32" s="3" t="s">
        <v>84</v>
      </c>
      <c r="F32" s="3">
        <v>69.99</v>
      </c>
      <c r="G32" s="3" t="s">
        <v>1553</v>
      </c>
      <c r="H32" s="3"/>
      <c r="I32" s="3" t="s">
        <v>1554</v>
      </c>
      <c r="J32" s="3">
        <v>4</v>
      </c>
      <c r="K32" s="3">
        <v>4</v>
      </c>
      <c r="L32" s="3">
        <v>0</v>
      </c>
      <c r="M32" s="3">
        <v>0</v>
      </c>
      <c r="N32" s="3">
        <v>4</v>
      </c>
      <c r="O32" s="3">
        <v>0.56</v>
      </c>
      <c r="P32" s="3">
        <v>0</v>
      </c>
      <c r="Q32" s="3">
        <v>0</v>
      </c>
      <c r="R32" s="3">
        <v>0</v>
      </c>
    </row>
    <row r="33" spans="1:18">
      <c r="A33" s="3" t="s">
        <v>919</v>
      </c>
      <c r="B33" s="3" t="s">
        <v>920</v>
      </c>
      <c r="C33" s="3" t="s">
        <v>921</v>
      </c>
      <c r="D33" s="3" t="s">
        <v>922</v>
      </c>
      <c r="E33" s="3" t="s">
        <v>84</v>
      </c>
      <c r="F33" s="3">
        <v>69.99</v>
      </c>
      <c r="G33" s="3" t="s">
        <v>1553</v>
      </c>
      <c r="H33" s="3"/>
      <c r="I33" s="3" t="s">
        <v>1554</v>
      </c>
      <c r="J33" s="3">
        <v>5</v>
      </c>
      <c r="K33" s="3">
        <v>5</v>
      </c>
      <c r="L33" s="3">
        <v>0</v>
      </c>
      <c r="M33" s="3">
        <v>0</v>
      </c>
      <c r="N33" s="3">
        <v>5</v>
      </c>
      <c r="O33" s="3">
        <v>0.56</v>
      </c>
      <c r="P33" s="3">
        <v>0</v>
      </c>
      <c r="Q33" s="3">
        <v>0</v>
      </c>
      <c r="R33" s="3">
        <v>0</v>
      </c>
    </row>
    <row r="34" spans="1:18">
      <c r="A34" s="3" t="s">
        <v>131</v>
      </c>
      <c r="B34" s="3" t="s">
        <v>132</v>
      </c>
      <c r="C34" s="3" t="s">
        <v>133</v>
      </c>
      <c r="D34" s="3" t="s">
        <v>134</v>
      </c>
      <c r="E34" s="3" t="s">
        <v>84</v>
      </c>
      <c r="F34" s="3">
        <v>69.99</v>
      </c>
      <c r="G34" s="3" t="s">
        <v>1553</v>
      </c>
      <c r="H34" s="3"/>
      <c r="I34" s="3" t="s">
        <v>1554</v>
      </c>
      <c r="J34" s="3">
        <v>4</v>
      </c>
      <c r="K34" s="3">
        <v>4</v>
      </c>
      <c r="L34" s="3">
        <v>0</v>
      </c>
      <c r="M34" s="3">
        <v>0</v>
      </c>
      <c r="N34" s="3">
        <v>4</v>
      </c>
      <c r="O34" s="3">
        <v>0.56</v>
      </c>
      <c r="P34" s="3">
        <v>0</v>
      </c>
      <c r="Q34" s="3">
        <v>0</v>
      </c>
      <c r="R34" s="3">
        <v>0</v>
      </c>
    </row>
    <row r="35" spans="1:18">
      <c r="A35" s="3" t="s">
        <v>1099</v>
      </c>
      <c r="B35" s="3" t="s">
        <v>1100</v>
      </c>
      <c r="C35" s="3" t="s">
        <v>1101</v>
      </c>
      <c r="D35" s="3" t="s">
        <v>1102</v>
      </c>
      <c r="E35" s="3" t="s">
        <v>84</v>
      </c>
      <c r="F35" s="3">
        <v>69.99</v>
      </c>
      <c r="G35" s="3" t="s">
        <v>1553</v>
      </c>
      <c r="H35" s="3"/>
      <c r="I35" s="3" t="s">
        <v>1554</v>
      </c>
      <c r="J35" s="3">
        <v>4</v>
      </c>
      <c r="K35" s="3">
        <v>4</v>
      </c>
      <c r="L35" s="3">
        <v>0</v>
      </c>
      <c r="M35" s="3">
        <v>0</v>
      </c>
      <c r="N35" s="3">
        <v>4</v>
      </c>
      <c r="O35" s="3">
        <v>0.56</v>
      </c>
      <c r="P35" s="3">
        <v>0</v>
      </c>
      <c r="Q35" s="3">
        <v>0</v>
      </c>
      <c r="R35" s="3">
        <v>0</v>
      </c>
    </row>
    <row r="36" spans="1:18">
      <c r="A36" s="3" t="s">
        <v>1116</v>
      </c>
      <c r="B36" s="3" t="s">
        <v>1117</v>
      </c>
      <c r="C36" s="3" t="s">
        <v>1118</v>
      </c>
      <c r="D36" s="3" t="s">
        <v>1119</v>
      </c>
      <c r="E36" s="3" t="s">
        <v>84</v>
      </c>
      <c r="F36" s="3">
        <v>42.49</v>
      </c>
      <c r="G36" s="3" t="s">
        <v>1553</v>
      </c>
      <c r="H36" s="3"/>
      <c r="I36" s="3" t="s">
        <v>1554</v>
      </c>
      <c r="J36" s="3">
        <v>2</v>
      </c>
      <c r="K36" s="3">
        <v>2</v>
      </c>
      <c r="L36" s="3">
        <v>0</v>
      </c>
      <c r="M36" s="3">
        <v>0</v>
      </c>
      <c r="N36" s="3">
        <v>2</v>
      </c>
      <c r="O36" s="3">
        <v>0.56</v>
      </c>
      <c r="P36" s="3">
        <v>0</v>
      </c>
      <c r="Q36" s="3">
        <v>0</v>
      </c>
      <c r="R36" s="3">
        <v>0</v>
      </c>
    </row>
    <row r="37" spans="1:18">
      <c r="A37" s="3" t="s">
        <v>281</v>
      </c>
      <c r="B37" s="3" t="s">
        <v>282</v>
      </c>
      <c r="C37" s="3" t="s">
        <v>283</v>
      </c>
      <c r="D37" s="3" t="s">
        <v>284</v>
      </c>
      <c r="E37" s="3" t="s">
        <v>84</v>
      </c>
      <c r="F37" s="3">
        <v>69.99</v>
      </c>
      <c r="G37" s="3" t="s">
        <v>1553</v>
      </c>
      <c r="H37" s="3"/>
      <c r="I37" s="3" t="s">
        <v>1554</v>
      </c>
      <c r="J37" s="3">
        <v>1</v>
      </c>
      <c r="K37" s="3">
        <v>1</v>
      </c>
      <c r="L37" s="3">
        <v>0</v>
      </c>
      <c r="M37" s="3">
        <v>0</v>
      </c>
      <c r="N37" s="3">
        <v>1</v>
      </c>
      <c r="O37" s="3">
        <v>0.56</v>
      </c>
      <c r="P37" s="3">
        <v>0</v>
      </c>
      <c r="Q37" s="3">
        <v>0</v>
      </c>
      <c r="R37" s="3">
        <v>0</v>
      </c>
    </row>
    <row r="38" spans="1:18">
      <c r="A38" s="3" t="s">
        <v>1191</v>
      </c>
      <c r="B38" s="3" t="s">
        <v>1192</v>
      </c>
      <c r="C38" s="3" t="s">
        <v>1193</v>
      </c>
      <c r="D38" s="3" t="s">
        <v>1194</v>
      </c>
      <c r="E38" s="3" t="s">
        <v>84</v>
      </c>
      <c r="F38" s="3">
        <v>69.99</v>
      </c>
      <c r="G38" s="3" t="s">
        <v>1553</v>
      </c>
      <c r="H38" s="3"/>
      <c r="I38" s="3" t="s">
        <v>1554</v>
      </c>
      <c r="J38" s="3">
        <v>3</v>
      </c>
      <c r="K38" s="3">
        <v>3</v>
      </c>
      <c r="L38" s="3">
        <v>0</v>
      </c>
      <c r="M38" s="3">
        <v>0</v>
      </c>
      <c r="N38" s="3">
        <v>3</v>
      </c>
      <c r="O38" s="3">
        <v>0.56</v>
      </c>
      <c r="P38" s="3">
        <v>0</v>
      </c>
      <c r="Q38" s="3">
        <v>0</v>
      </c>
      <c r="R38" s="3">
        <v>0</v>
      </c>
    </row>
    <row r="39" spans="1:18">
      <c r="A39" s="3" t="s">
        <v>1588</v>
      </c>
      <c r="B39" s="3" t="s">
        <v>1589</v>
      </c>
      <c r="C39" s="3" t="s">
        <v>1590</v>
      </c>
      <c r="D39" s="3" t="s">
        <v>1591</v>
      </c>
      <c r="E39" s="3" t="s">
        <v>84</v>
      </c>
      <c r="F39" s="3">
        <v>69.99</v>
      </c>
      <c r="G39" s="3" t="s">
        <v>1553</v>
      </c>
      <c r="H39" s="3"/>
      <c r="I39" s="3" t="s">
        <v>1554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0.56</v>
      </c>
      <c r="P39" s="3">
        <v>0</v>
      </c>
      <c r="Q39" s="3">
        <v>0</v>
      </c>
      <c r="R39" s="3">
        <v>0</v>
      </c>
    </row>
    <row r="40" spans="1:18">
      <c r="A40" s="3" t="s">
        <v>813</v>
      </c>
      <c r="B40" s="3" t="s">
        <v>814</v>
      </c>
      <c r="C40" s="3" t="s">
        <v>815</v>
      </c>
      <c r="D40" s="3" t="s">
        <v>816</v>
      </c>
      <c r="E40" s="3" t="s">
        <v>84</v>
      </c>
      <c r="F40" s="3">
        <v>42.49</v>
      </c>
      <c r="G40" s="3" t="s">
        <v>1553</v>
      </c>
      <c r="H40" s="3"/>
      <c r="I40" s="3" t="s">
        <v>1554</v>
      </c>
      <c r="J40" s="3">
        <v>4</v>
      </c>
      <c r="K40" s="3">
        <v>4</v>
      </c>
      <c r="L40" s="3">
        <v>0</v>
      </c>
      <c r="M40" s="3">
        <v>0</v>
      </c>
      <c r="N40" s="3">
        <v>4</v>
      </c>
      <c r="O40" s="3">
        <v>0.56</v>
      </c>
      <c r="P40" s="3">
        <v>0</v>
      </c>
      <c r="Q40" s="3">
        <v>0</v>
      </c>
      <c r="R40" s="3">
        <v>0</v>
      </c>
    </row>
    <row r="41" spans="1:18">
      <c r="A41" s="3" t="s">
        <v>1536</v>
      </c>
      <c r="B41" s="3" t="s">
        <v>1537</v>
      </c>
      <c r="C41" s="3" t="s">
        <v>1538</v>
      </c>
      <c r="D41" s="3" t="s">
        <v>1539</v>
      </c>
      <c r="E41" s="3" t="s">
        <v>84</v>
      </c>
      <c r="F41" s="3">
        <v>69.99</v>
      </c>
      <c r="G41" s="3" t="s">
        <v>1553</v>
      </c>
      <c r="H41" s="3"/>
      <c r="I41" s="3" t="s">
        <v>1554</v>
      </c>
      <c r="J41" s="3">
        <v>2</v>
      </c>
      <c r="K41" s="3">
        <v>1</v>
      </c>
      <c r="L41" s="3">
        <v>1</v>
      </c>
      <c r="M41" s="3">
        <v>0</v>
      </c>
      <c r="N41" s="3">
        <v>2</v>
      </c>
      <c r="O41" s="3">
        <v>1.15</v>
      </c>
      <c r="P41" s="3">
        <v>0</v>
      </c>
      <c r="Q41" s="3">
        <v>0</v>
      </c>
      <c r="R41" s="3">
        <v>0</v>
      </c>
    </row>
    <row r="42" spans="1:18">
      <c r="A42" s="3" t="s">
        <v>291</v>
      </c>
      <c r="B42" s="3" t="s">
        <v>292</v>
      </c>
      <c r="C42" s="3" t="s">
        <v>293</v>
      </c>
      <c r="D42" s="3" t="s">
        <v>294</v>
      </c>
      <c r="E42" s="3" t="s">
        <v>84</v>
      </c>
      <c r="F42" s="3">
        <v>69.99</v>
      </c>
      <c r="G42" s="3" t="s">
        <v>1553</v>
      </c>
      <c r="H42" s="3"/>
      <c r="I42" s="3" t="s">
        <v>1554</v>
      </c>
      <c r="J42" s="3">
        <v>4</v>
      </c>
      <c r="K42" s="3">
        <v>4</v>
      </c>
      <c r="L42" s="3">
        <v>0</v>
      </c>
      <c r="M42" s="3">
        <v>0</v>
      </c>
      <c r="N42" s="3">
        <v>4</v>
      </c>
      <c r="O42" s="3">
        <v>1.12</v>
      </c>
      <c r="P42" s="3">
        <v>0</v>
      </c>
      <c r="Q42" s="3">
        <v>0</v>
      </c>
      <c r="R42" s="3">
        <v>0</v>
      </c>
    </row>
    <row r="43" spans="1:18">
      <c r="A43" s="3" t="s">
        <v>1592</v>
      </c>
      <c r="B43" s="3" t="s">
        <v>1593</v>
      </c>
      <c r="C43" s="3" t="s">
        <v>1594</v>
      </c>
      <c r="D43" s="3" t="s">
        <v>1595</v>
      </c>
      <c r="E43" s="3" t="s">
        <v>84</v>
      </c>
      <c r="F43" s="3">
        <v>69.99</v>
      </c>
      <c r="G43" s="3" t="s">
        <v>1553</v>
      </c>
      <c r="H43" s="3"/>
      <c r="I43" s="3" t="s">
        <v>1554</v>
      </c>
      <c r="J43" s="3">
        <v>3</v>
      </c>
      <c r="K43" s="3">
        <v>0</v>
      </c>
      <c r="L43" s="3">
        <v>3</v>
      </c>
      <c r="M43" s="3">
        <v>0</v>
      </c>
      <c r="N43" s="3">
        <v>3</v>
      </c>
      <c r="O43" s="3">
        <v>1.11</v>
      </c>
      <c r="P43" s="3">
        <v>0</v>
      </c>
      <c r="Q43" s="3">
        <v>0</v>
      </c>
      <c r="R43" s="3">
        <v>0</v>
      </c>
    </row>
    <row r="44" spans="1:18">
      <c r="A44" s="3" t="s">
        <v>1596</v>
      </c>
      <c r="B44" s="3" t="s">
        <v>1597</v>
      </c>
      <c r="C44" s="3" t="s">
        <v>1598</v>
      </c>
      <c r="D44" s="3" t="s">
        <v>1599</v>
      </c>
      <c r="E44" s="3" t="s">
        <v>84</v>
      </c>
      <c r="F44" s="3">
        <v>69.99</v>
      </c>
      <c r="G44" s="3" t="s">
        <v>1553</v>
      </c>
      <c r="H44" s="3"/>
      <c r="I44" s="3" t="s">
        <v>1554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1.11</v>
      </c>
      <c r="P44" s="3">
        <v>0</v>
      </c>
      <c r="Q44" s="3">
        <v>0</v>
      </c>
      <c r="R44" s="3">
        <v>0</v>
      </c>
    </row>
    <row r="45" spans="1:18">
      <c r="A45" s="3" t="s">
        <v>1187</v>
      </c>
      <c r="B45" s="3" t="s">
        <v>1188</v>
      </c>
      <c r="C45" s="3" t="s">
        <v>1189</v>
      </c>
      <c r="D45" s="3" t="s">
        <v>1190</v>
      </c>
      <c r="E45" s="3" t="s">
        <v>84</v>
      </c>
      <c r="F45" s="3">
        <v>69.99</v>
      </c>
      <c r="G45" s="3" t="s">
        <v>1553</v>
      </c>
      <c r="H45" s="3"/>
      <c r="I45" s="3" t="s">
        <v>1554</v>
      </c>
      <c r="J45" s="3">
        <v>5</v>
      </c>
      <c r="K45" s="3">
        <v>3</v>
      </c>
      <c r="L45" s="3">
        <v>2</v>
      </c>
      <c r="M45" s="3">
        <v>0</v>
      </c>
      <c r="N45" s="3">
        <v>5</v>
      </c>
      <c r="O45" s="3">
        <v>1.11</v>
      </c>
      <c r="P45" s="3">
        <v>0</v>
      </c>
      <c r="Q45" s="3">
        <v>0</v>
      </c>
      <c r="R45" s="3">
        <v>0</v>
      </c>
    </row>
    <row r="46" spans="1:18">
      <c r="A46" s="3" t="s">
        <v>212</v>
      </c>
      <c r="B46" s="3" t="s">
        <v>213</v>
      </c>
      <c r="C46" s="3" t="s">
        <v>214</v>
      </c>
      <c r="D46" s="3" t="s">
        <v>215</v>
      </c>
      <c r="E46" s="3" t="s">
        <v>84</v>
      </c>
      <c r="F46" s="3">
        <v>69.99</v>
      </c>
      <c r="G46" s="3" t="s">
        <v>1553</v>
      </c>
      <c r="H46" s="3"/>
      <c r="I46" s="3" t="s">
        <v>1554</v>
      </c>
      <c r="J46" s="3">
        <v>8</v>
      </c>
      <c r="K46" s="3">
        <v>7</v>
      </c>
      <c r="L46" s="3">
        <v>1</v>
      </c>
      <c r="M46" s="3">
        <v>0</v>
      </c>
      <c r="N46" s="3">
        <v>8</v>
      </c>
      <c r="O46" s="3">
        <v>1.11</v>
      </c>
      <c r="P46" s="3">
        <v>0</v>
      </c>
      <c r="Q46" s="3">
        <v>0</v>
      </c>
      <c r="R46" s="3">
        <v>0</v>
      </c>
    </row>
    <row r="47" spans="1:18">
      <c r="A47" s="3" t="s">
        <v>1038</v>
      </c>
      <c r="B47" s="3" t="s">
        <v>1039</v>
      </c>
      <c r="C47" s="3" t="s">
        <v>1040</v>
      </c>
      <c r="D47" s="3" t="s">
        <v>1041</v>
      </c>
      <c r="E47" s="3" t="s">
        <v>84</v>
      </c>
      <c r="F47" s="3">
        <v>69.99</v>
      </c>
      <c r="G47" s="3" t="s">
        <v>1553</v>
      </c>
      <c r="H47" s="3"/>
      <c r="I47" s="3" t="s">
        <v>1554</v>
      </c>
      <c r="J47" s="3">
        <v>5</v>
      </c>
      <c r="K47" s="3">
        <v>5</v>
      </c>
      <c r="L47" s="3">
        <v>0</v>
      </c>
      <c r="M47" s="3">
        <v>0</v>
      </c>
      <c r="N47" s="3">
        <v>5</v>
      </c>
      <c r="O47" s="3">
        <v>1.11</v>
      </c>
      <c r="P47" s="3">
        <v>0</v>
      </c>
      <c r="Q47" s="3">
        <v>0</v>
      </c>
      <c r="R47" s="3">
        <v>0</v>
      </c>
    </row>
    <row r="48" spans="1:18">
      <c r="A48" s="3" t="s">
        <v>859</v>
      </c>
      <c r="B48" s="3" t="s">
        <v>860</v>
      </c>
      <c r="C48" s="3" t="s">
        <v>861</v>
      </c>
      <c r="D48" s="3" t="s">
        <v>862</v>
      </c>
      <c r="E48" s="3" t="s">
        <v>84</v>
      </c>
      <c r="F48" s="3">
        <v>69.99</v>
      </c>
      <c r="G48" s="3" t="s">
        <v>1553</v>
      </c>
      <c r="H48" s="3"/>
      <c r="I48" s="3" t="s">
        <v>1554</v>
      </c>
      <c r="J48" s="3">
        <v>9</v>
      </c>
      <c r="K48" s="3">
        <v>8</v>
      </c>
      <c r="L48" s="3">
        <v>1</v>
      </c>
      <c r="M48" s="3">
        <v>0</v>
      </c>
      <c r="N48" s="3">
        <v>9</v>
      </c>
      <c r="O48" s="3">
        <v>1.11</v>
      </c>
      <c r="P48" s="3">
        <v>0</v>
      </c>
      <c r="Q48" s="3">
        <v>0</v>
      </c>
      <c r="R48" s="3">
        <v>0</v>
      </c>
    </row>
    <row r="49" spans="1:18">
      <c r="A49" s="3" t="s">
        <v>492</v>
      </c>
      <c r="B49" s="3" t="s">
        <v>493</v>
      </c>
      <c r="C49" s="3" t="s">
        <v>494</v>
      </c>
      <c r="D49" s="3" t="s">
        <v>495</v>
      </c>
      <c r="E49" s="3" t="s">
        <v>84</v>
      </c>
      <c r="F49" s="3">
        <v>69.99</v>
      </c>
      <c r="G49" s="3" t="s">
        <v>1553</v>
      </c>
      <c r="H49" s="3"/>
      <c r="I49" s="3" t="s">
        <v>1554</v>
      </c>
      <c r="J49" s="3">
        <v>10</v>
      </c>
      <c r="K49" s="3">
        <v>10</v>
      </c>
      <c r="L49" s="3">
        <v>0</v>
      </c>
      <c r="M49" s="3">
        <v>0</v>
      </c>
      <c r="N49" s="3">
        <v>10</v>
      </c>
      <c r="O49" s="3">
        <v>1.11</v>
      </c>
      <c r="P49" s="3">
        <v>0</v>
      </c>
      <c r="Q49" s="3">
        <v>0</v>
      </c>
      <c r="R49" s="3">
        <v>0</v>
      </c>
    </row>
    <row r="50" spans="1:18">
      <c r="A50" s="3" t="s">
        <v>1600</v>
      </c>
      <c r="B50" s="3" t="s">
        <v>1601</v>
      </c>
      <c r="C50" s="3" t="s">
        <v>1602</v>
      </c>
      <c r="D50" s="3" t="s">
        <v>1603</v>
      </c>
      <c r="E50" s="3" t="s">
        <v>84</v>
      </c>
      <c r="F50" s="3">
        <v>69.99</v>
      </c>
      <c r="G50" s="3" t="s">
        <v>1553</v>
      </c>
      <c r="H50" s="3"/>
      <c r="I50" s="3" t="s">
        <v>1554</v>
      </c>
      <c r="J50" s="3">
        <v>1</v>
      </c>
      <c r="K50" s="3">
        <v>0</v>
      </c>
      <c r="L50" s="3">
        <v>1</v>
      </c>
      <c r="M50" s="3">
        <v>0</v>
      </c>
      <c r="N50" s="3">
        <v>1</v>
      </c>
      <c r="O50" s="3">
        <v>1.11</v>
      </c>
      <c r="P50" s="3">
        <v>0</v>
      </c>
      <c r="Q50" s="3">
        <v>0</v>
      </c>
      <c r="R50" s="3">
        <v>0</v>
      </c>
    </row>
    <row r="51" spans="1:18">
      <c r="A51" s="3" t="s">
        <v>1265</v>
      </c>
      <c r="B51" s="3" t="s">
        <v>1266</v>
      </c>
      <c r="C51" s="3" t="s">
        <v>1267</v>
      </c>
      <c r="D51" s="3" t="s">
        <v>1268</v>
      </c>
      <c r="E51" s="3" t="s">
        <v>84</v>
      </c>
      <c r="F51" s="3">
        <v>69.99</v>
      </c>
      <c r="G51" s="3" t="s">
        <v>1553</v>
      </c>
      <c r="H51" s="3"/>
      <c r="I51" s="3" t="s">
        <v>1554</v>
      </c>
      <c r="J51" s="3">
        <v>1</v>
      </c>
      <c r="K51" s="3">
        <v>1</v>
      </c>
      <c r="L51" s="3">
        <v>0</v>
      </c>
      <c r="M51" s="3">
        <v>0</v>
      </c>
      <c r="N51" s="3">
        <v>1</v>
      </c>
      <c r="O51" s="3">
        <v>1.01</v>
      </c>
      <c r="P51" s="3">
        <v>0</v>
      </c>
      <c r="Q51" s="3">
        <v>0</v>
      </c>
      <c r="R51" s="3">
        <v>0</v>
      </c>
    </row>
    <row r="52" spans="1:18">
      <c r="A52" s="3" t="s">
        <v>1149</v>
      </c>
      <c r="B52" s="3" t="s">
        <v>1150</v>
      </c>
      <c r="C52" s="3" t="s">
        <v>1151</v>
      </c>
      <c r="D52" s="3" t="s">
        <v>1152</v>
      </c>
      <c r="E52" s="3" t="s">
        <v>84</v>
      </c>
      <c r="F52" s="3">
        <v>34.39</v>
      </c>
      <c r="G52" s="3" t="s">
        <v>1553</v>
      </c>
      <c r="H52" s="3"/>
      <c r="I52" s="3" t="s">
        <v>1554</v>
      </c>
      <c r="J52" s="3">
        <v>2</v>
      </c>
      <c r="K52" s="3">
        <v>2</v>
      </c>
      <c r="L52" s="3">
        <v>0</v>
      </c>
      <c r="M52" s="3">
        <v>0</v>
      </c>
      <c r="N52" s="3">
        <v>2</v>
      </c>
      <c r="O52" s="3">
        <v>1.11</v>
      </c>
      <c r="P52" s="3">
        <v>0</v>
      </c>
      <c r="Q52" s="3">
        <v>0</v>
      </c>
      <c r="R52" s="3">
        <v>0</v>
      </c>
    </row>
    <row r="53" spans="1:18">
      <c r="A53" s="3" t="s">
        <v>1604</v>
      </c>
      <c r="B53" s="3" t="s">
        <v>1605</v>
      </c>
      <c r="C53" s="3" t="s">
        <v>1606</v>
      </c>
      <c r="D53" s="3" t="s">
        <v>1607</v>
      </c>
      <c r="E53" s="3" t="s">
        <v>84</v>
      </c>
      <c r="F53" s="3">
        <v>69.99</v>
      </c>
      <c r="G53" s="3" t="s">
        <v>1553</v>
      </c>
      <c r="H53" s="3"/>
      <c r="I53" s="3" t="s">
        <v>1554</v>
      </c>
      <c r="J53" s="3">
        <v>1</v>
      </c>
      <c r="K53" s="3">
        <v>0</v>
      </c>
      <c r="L53" s="3">
        <v>1</v>
      </c>
      <c r="M53" s="3">
        <v>0</v>
      </c>
      <c r="N53" s="3">
        <v>1</v>
      </c>
      <c r="O53" s="3">
        <v>1.11</v>
      </c>
      <c r="P53" s="3">
        <v>0</v>
      </c>
      <c r="Q53" s="3">
        <v>0</v>
      </c>
      <c r="R53" s="3">
        <v>0</v>
      </c>
    </row>
    <row r="54" spans="1:18">
      <c r="A54" s="3" t="s">
        <v>1608</v>
      </c>
      <c r="B54" s="3" t="s">
        <v>1609</v>
      </c>
      <c r="C54" s="3" t="s">
        <v>1610</v>
      </c>
      <c r="D54" s="3" t="s">
        <v>1611</v>
      </c>
      <c r="E54" s="3" t="s">
        <v>84</v>
      </c>
      <c r="F54" s="3">
        <v>69.99</v>
      </c>
      <c r="G54" s="3" t="s">
        <v>1553</v>
      </c>
      <c r="H54" s="3"/>
      <c r="I54" s="3" t="s">
        <v>1554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1.11</v>
      </c>
      <c r="P54" s="3">
        <v>0</v>
      </c>
      <c r="Q54" s="3">
        <v>0</v>
      </c>
      <c r="R54" s="3">
        <v>0</v>
      </c>
    </row>
    <row r="55" spans="1:18">
      <c r="A55" s="3" t="s">
        <v>855</v>
      </c>
      <c r="B55" s="3" t="s">
        <v>856</v>
      </c>
      <c r="C55" s="3" t="s">
        <v>857</v>
      </c>
      <c r="D55" s="3" t="s">
        <v>858</v>
      </c>
      <c r="E55" s="3" t="s">
        <v>84</v>
      </c>
      <c r="F55" s="3">
        <v>69.99</v>
      </c>
      <c r="G55" s="3" t="s">
        <v>1553</v>
      </c>
      <c r="H55" s="3"/>
      <c r="I55" s="3" t="s">
        <v>1554</v>
      </c>
      <c r="J55" s="3">
        <v>2</v>
      </c>
      <c r="K55" s="3">
        <v>1</v>
      </c>
      <c r="L55" s="3">
        <v>1</v>
      </c>
      <c r="M55" s="3">
        <v>0</v>
      </c>
      <c r="N55" s="3">
        <v>2</v>
      </c>
      <c r="O55" s="3">
        <v>0.78</v>
      </c>
      <c r="P55" s="3">
        <v>0</v>
      </c>
      <c r="Q55" s="3">
        <v>0</v>
      </c>
      <c r="R55" s="3">
        <v>0</v>
      </c>
    </row>
    <row r="56" spans="1:18">
      <c r="A56" s="3" t="s">
        <v>304</v>
      </c>
      <c r="B56" s="3" t="s">
        <v>305</v>
      </c>
      <c r="C56" s="3" t="s">
        <v>306</v>
      </c>
      <c r="D56" s="3" t="s">
        <v>307</v>
      </c>
      <c r="E56" s="3" t="s">
        <v>84</v>
      </c>
      <c r="F56" s="3">
        <v>69.99</v>
      </c>
      <c r="G56" s="3" t="s">
        <v>1553</v>
      </c>
      <c r="H56" s="3"/>
      <c r="I56" s="3" t="s">
        <v>1554</v>
      </c>
      <c r="J56" s="3">
        <v>5</v>
      </c>
      <c r="K56" s="3">
        <v>4</v>
      </c>
      <c r="L56" s="3">
        <v>1</v>
      </c>
      <c r="M56" s="3">
        <v>0</v>
      </c>
      <c r="N56" s="3">
        <v>5</v>
      </c>
      <c r="O56" s="3">
        <v>0.78</v>
      </c>
      <c r="P56" s="3">
        <v>0</v>
      </c>
      <c r="Q56" s="3">
        <v>0</v>
      </c>
      <c r="R56" s="3">
        <v>0</v>
      </c>
    </row>
    <row r="57" spans="1:18">
      <c r="A57" s="3" t="s">
        <v>341</v>
      </c>
      <c r="B57" s="3" t="s">
        <v>342</v>
      </c>
      <c r="C57" s="3" t="s">
        <v>343</v>
      </c>
      <c r="D57" s="3" t="s">
        <v>344</v>
      </c>
      <c r="E57" s="3" t="s">
        <v>84</v>
      </c>
      <c r="F57" s="3">
        <v>69.99</v>
      </c>
      <c r="G57" s="3" t="s">
        <v>1553</v>
      </c>
      <c r="H57" s="3"/>
      <c r="I57" s="3" t="s">
        <v>1554</v>
      </c>
      <c r="J57" s="3">
        <v>6</v>
      </c>
      <c r="K57" s="3">
        <v>6</v>
      </c>
      <c r="L57" s="3">
        <v>0</v>
      </c>
      <c r="M57" s="3">
        <v>0</v>
      </c>
      <c r="N57" s="3">
        <v>6</v>
      </c>
      <c r="O57" s="3">
        <v>0.78</v>
      </c>
      <c r="P57" s="3">
        <v>0</v>
      </c>
      <c r="Q57" s="3">
        <v>0</v>
      </c>
      <c r="R57" s="3">
        <v>0</v>
      </c>
    </row>
    <row r="58" spans="1:18">
      <c r="A58" s="3" t="s">
        <v>380</v>
      </c>
      <c r="B58" s="3" t="s">
        <v>381</v>
      </c>
      <c r="C58" s="3" t="s">
        <v>382</v>
      </c>
      <c r="D58" s="3" t="s">
        <v>383</v>
      </c>
      <c r="E58" s="3" t="s">
        <v>84</v>
      </c>
      <c r="F58" s="3">
        <v>69.99</v>
      </c>
      <c r="G58" s="3" t="s">
        <v>1553</v>
      </c>
      <c r="H58" s="3"/>
      <c r="I58" s="3" t="s">
        <v>1554</v>
      </c>
      <c r="J58" s="3">
        <v>2</v>
      </c>
      <c r="K58" s="3">
        <v>2</v>
      </c>
      <c r="L58" s="3">
        <v>0</v>
      </c>
      <c r="M58" s="3">
        <v>0</v>
      </c>
      <c r="N58" s="3">
        <v>2</v>
      </c>
      <c r="O58" s="3">
        <v>0.78</v>
      </c>
      <c r="P58" s="3">
        <v>0</v>
      </c>
      <c r="Q58" s="3">
        <v>0</v>
      </c>
      <c r="R58" s="3">
        <v>0</v>
      </c>
    </row>
    <row r="59" spans="1:18">
      <c r="A59" s="3" t="s">
        <v>1195</v>
      </c>
      <c r="B59" s="3" t="s">
        <v>1196</v>
      </c>
      <c r="C59" s="3" t="s">
        <v>1197</v>
      </c>
      <c r="D59" s="3" t="s">
        <v>1198</v>
      </c>
      <c r="E59" s="3" t="s">
        <v>84</v>
      </c>
      <c r="F59" s="3">
        <v>69.99</v>
      </c>
      <c r="G59" s="3" t="s">
        <v>1553</v>
      </c>
      <c r="H59" s="3"/>
      <c r="I59" s="3" t="s">
        <v>1554</v>
      </c>
      <c r="J59" s="3">
        <v>5</v>
      </c>
      <c r="K59" s="3">
        <v>5</v>
      </c>
      <c r="L59" s="3">
        <v>0</v>
      </c>
      <c r="M59" s="3">
        <v>0</v>
      </c>
      <c r="N59" s="3">
        <v>5</v>
      </c>
      <c r="O59" s="3">
        <v>0.78</v>
      </c>
      <c r="P59" s="3">
        <v>0</v>
      </c>
      <c r="Q59" s="3">
        <v>0</v>
      </c>
      <c r="R59" s="3">
        <v>0</v>
      </c>
    </row>
    <row r="60" spans="1:18">
      <c r="A60" s="3" t="s">
        <v>851</v>
      </c>
      <c r="B60" s="3" t="s">
        <v>852</v>
      </c>
      <c r="C60" s="3" t="s">
        <v>853</v>
      </c>
      <c r="D60" s="3" t="s">
        <v>854</v>
      </c>
      <c r="E60" s="3" t="s">
        <v>84</v>
      </c>
      <c r="F60" s="3">
        <v>69.99</v>
      </c>
      <c r="G60" s="3" t="s">
        <v>1553</v>
      </c>
      <c r="H60" s="3"/>
      <c r="I60" s="3" t="s">
        <v>1554</v>
      </c>
      <c r="J60" s="3">
        <v>4</v>
      </c>
      <c r="K60" s="3">
        <v>4</v>
      </c>
      <c r="L60" s="3">
        <v>0</v>
      </c>
      <c r="M60" s="3">
        <v>0</v>
      </c>
      <c r="N60" s="3">
        <v>4</v>
      </c>
      <c r="O60" s="3">
        <v>0.78</v>
      </c>
      <c r="P60" s="3">
        <v>0</v>
      </c>
      <c r="Q60" s="3">
        <v>0</v>
      </c>
      <c r="R60" s="3">
        <v>0</v>
      </c>
    </row>
    <row r="61" spans="1:18">
      <c r="A61" s="3" t="s">
        <v>1430</v>
      </c>
      <c r="B61" s="3" t="s">
        <v>1431</v>
      </c>
      <c r="C61" s="3" t="s">
        <v>1432</v>
      </c>
      <c r="D61" s="3" t="s">
        <v>1433</v>
      </c>
      <c r="E61" s="3" t="s">
        <v>84</v>
      </c>
      <c r="F61" s="3">
        <v>69.99</v>
      </c>
      <c r="G61" s="3" t="s">
        <v>1553</v>
      </c>
      <c r="H61" s="3"/>
      <c r="I61" s="3" t="s">
        <v>1554</v>
      </c>
      <c r="J61" s="3">
        <v>5</v>
      </c>
      <c r="K61" s="3">
        <v>5</v>
      </c>
      <c r="L61" s="3">
        <v>0</v>
      </c>
      <c r="M61" s="3">
        <v>0</v>
      </c>
      <c r="N61" s="3">
        <v>5</v>
      </c>
      <c r="O61" s="3">
        <v>0.78</v>
      </c>
      <c r="P61" s="3">
        <v>0</v>
      </c>
      <c r="Q61" s="3">
        <v>0</v>
      </c>
      <c r="R61" s="3">
        <v>0</v>
      </c>
    </row>
    <row r="62" spans="1:18">
      <c r="A62" s="3" t="s">
        <v>1270</v>
      </c>
      <c r="B62" s="3" t="s">
        <v>1271</v>
      </c>
      <c r="C62" s="3" t="s">
        <v>1272</v>
      </c>
      <c r="D62" s="3" t="s">
        <v>1273</v>
      </c>
      <c r="E62" s="3" t="s">
        <v>84</v>
      </c>
      <c r="F62" s="3">
        <v>69.99</v>
      </c>
      <c r="G62" s="3" t="s">
        <v>1553</v>
      </c>
      <c r="H62" s="3"/>
      <c r="I62" s="3" t="s">
        <v>1554</v>
      </c>
      <c r="J62" s="3">
        <v>5</v>
      </c>
      <c r="K62" s="3">
        <v>5</v>
      </c>
      <c r="L62" s="3">
        <v>0</v>
      </c>
      <c r="M62" s="3">
        <v>0</v>
      </c>
      <c r="N62" s="3">
        <v>5</v>
      </c>
      <c r="O62" s="3">
        <v>0.78</v>
      </c>
      <c r="P62" s="3">
        <v>0</v>
      </c>
      <c r="Q62" s="3">
        <v>0</v>
      </c>
      <c r="R62" s="3">
        <v>0</v>
      </c>
    </row>
    <row r="63" spans="1:18">
      <c r="A63" s="3" t="s">
        <v>863</v>
      </c>
      <c r="B63" s="3" t="s">
        <v>864</v>
      </c>
      <c r="C63" s="3" t="s">
        <v>865</v>
      </c>
      <c r="D63" s="3" t="s">
        <v>866</v>
      </c>
      <c r="E63" s="3" t="s">
        <v>84</v>
      </c>
      <c r="F63" s="3">
        <v>69.99</v>
      </c>
      <c r="G63" s="3" t="s">
        <v>1553</v>
      </c>
      <c r="H63" s="3"/>
      <c r="I63" s="3" t="s">
        <v>1554</v>
      </c>
      <c r="J63" s="3">
        <v>4</v>
      </c>
      <c r="K63" s="3">
        <v>4</v>
      </c>
      <c r="L63" s="3">
        <v>0</v>
      </c>
      <c r="M63" s="3">
        <v>0</v>
      </c>
      <c r="N63" s="3">
        <v>4</v>
      </c>
      <c r="O63" s="3">
        <v>0.78</v>
      </c>
      <c r="P63" s="3">
        <v>0</v>
      </c>
      <c r="Q63" s="3">
        <v>0</v>
      </c>
      <c r="R63" s="3">
        <v>0</v>
      </c>
    </row>
    <row r="64" spans="1:18">
      <c r="A64" s="3" t="s">
        <v>1120</v>
      </c>
      <c r="B64" s="3" t="s">
        <v>1121</v>
      </c>
      <c r="C64" s="3" t="s">
        <v>1122</v>
      </c>
      <c r="D64" s="3" t="s">
        <v>1123</v>
      </c>
      <c r="E64" s="3" t="s">
        <v>84</v>
      </c>
      <c r="F64" s="3">
        <v>69.99</v>
      </c>
      <c r="G64" s="3" t="s">
        <v>1553</v>
      </c>
      <c r="H64" s="3"/>
      <c r="I64" s="3" t="s">
        <v>1554</v>
      </c>
      <c r="J64" s="3">
        <v>5</v>
      </c>
      <c r="K64" s="3">
        <v>5</v>
      </c>
      <c r="L64" s="3">
        <v>0</v>
      </c>
      <c r="M64" s="3">
        <v>0</v>
      </c>
      <c r="N64" s="3">
        <v>5</v>
      </c>
      <c r="O64" s="3">
        <v>0.78</v>
      </c>
      <c r="P64" s="3">
        <v>0</v>
      </c>
      <c r="Q64" s="3">
        <v>0</v>
      </c>
      <c r="R64" s="3">
        <v>0</v>
      </c>
    </row>
    <row r="65" spans="1:18">
      <c r="A65" s="3" t="s">
        <v>834</v>
      </c>
      <c r="B65" s="3" t="s">
        <v>835</v>
      </c>
      <c r="C65" s="3" t="s">
        <v>836</v>
      </c>
      <c r="D65" s="3" t="s">
        <v>837</v>
      </c>
      <c r="E65" s="3" t="s">
        <v>84</v>
      </c>
      <c r="F65" s="3">
        <v>69.99</v>
      </c>
      <c r="G65" s="3" t="s">
        <v>1553</v>
      </c>
      <c r="H65" s="3"/>
      <c r="I65" s="3" t="s">
        <v>1554</v>
      </c>
      <c r="J65" s="3">
        <v>7</v>
      </c>
      <c r="K65" s="3">
        <v>7</v>
      </c>
      <c r="L65" s="3">
        <v>0</v>
      </c>
      <c r="M65" s="3">
        <v>0</v>
      </c>
      <c r="N65" s="3">
        <v>7</v>
      </c>
      <c r="O65" s="3">
        <v>0.78</v>
      </c>
      <c r="P65" s="3">
        <v>0</v>
      </c>
      <c r="Q65" s="3">
        <v>0</v>
      </c>
      <c r="R65" s="3">
        <v>0</v>
      </c>
    </row>
    <row r="66" spans="1:18">
      <c r="A66" s="3" t="s">
        <v>817</v>
      </c>
      <c r="B66" s="3" t="s">
        <v>818</v>
      </c>
      <c r="C66" s="3" t="s">
        <v>819</v>
      </c>
      <c r="D66" s="3" t="s">
        <v>820</v>
      </c>
      <c r="E66" s="3" t="s">
        <v>84</v>
      </c>
      <c r="F66" s="3">
        <v>69.99</v>
      </c>
      <c r="G66" s="3" t="s">
        <v>1553</v>
      </c>
      <c r="H66" s="3"/>
      <c r="I66" s="3" t="s">
        <v>1554</v>
      </c>
      <c r="J66" s="3">
        <v>6</v>
      </c>
      <c r="K66" s="3">
        <v>6</v>
      </c>
      <c r="L66" s="3">
        <v>0</v>
      </c>
      <c r="M66" s="3">
        <v>0</v>
      </c>
      <c r="N66" s="3">
        <v>6</v>
      </c>
      <c r="O66" s="3">
        <v>0.78</v>
      </c>
      <c r="P66" s="3">
        <v>0</v>
      </c>
      <c r="Q66" s="3">
        <v>0</v>
      </c>
      <c r="R66" s="3">
        <v>0</v>
      </c>
    </row>
    <row r="67" spans="1:18">
      <c r="A67" s="3" t="s">
        <v>1293</v>
      </c>
      <c r="B67" s="3" t="s">
        <v>1294</v>
      </c>
      <c r="C67" s="3" t="s">
        <v>1295</v>
      </c>
      <c r="D67" s="3" t="s">
        <v>1296</v>
      </c>
      <c r="E67" s="3" t="s">
        <v>84</v>
      </c>
      <c r="F67" s="3">
        <v>69.99</v>
      </c>
      <c r="G67" s="3" t="s">
        <v>1553</v>
      </c>
      <c r="H67" s="3"/>
      <c r="I67" s="3" t="s">
        <v>1554</v>
      </c>
      <c r="J67" s="3">
        <v>7</v>
      </c>
      <c r="K67" s="3">
        <v>5</v>
      </c>
      <c r="L67" s="3">
        <v>2</v>
      </c>
      <c r="M67" s="3">
        <v>0</v>
      </c>
      <c r="N67" s="3">
        <v>7</v>
      </c>
      <c r="O67" s="3">
        <v>0.78</v>
      </c>
      <c r="P67" s="3">
        <v>0</v>
      </c>
      <c r="Q67" s="3">
        <v>0</v>
      </c>
      <c r="R67" s="3">
        <v>0</v>
      </c>
    </row>
    <row r="68" spans="1:18">
      <c r="A68" s="3" t="s">
        <v>782</v>
      </c>
      <c r="B68" s="3" t="s">
        <v>783</v>
      </c>
      <c r="C68" s="3" t="s">
        <v>784</v>
      </c>
      <c r="D68" s="3" t="s">
        <v>785</v>
      </c>
      <c r="E68" s="3" t="s">
        <v>84</v>
      </c>
      <c r="F68" s="3">
        <v>69.99</v>
      </c>
      <c r="G68" s="3" t="s">
        <v>1553</v>
      </c>
      <c r="H68" s="3"/>
      <c r="I68" s="3" t="s">
        <v>1554</v>
      </c>
      <c r="J68" s="3">
        <v>8</v>
      </c>
      <c r="K68" s="3">
        <v>8</v>
      </c>
      <c r="L68" s="3">
        <v>0</v>
      </c>
      <c r="M68" s="3">
        <v>0</v>
      </c>
      <c r="N68" s="3">
        <v>8</v>
      </c>
      <c r="O68" s="3">
        <v>0.78</v>
      </c>
      <c r="P68" s="3">
        <v>0</v>
      </c>
      <c r="Q68" s="3">
        <v>0</v>
      </c>
      <c r="R68" s="3">
        <v>0</v>
      </c>
    </row>
    <row r="69" spans="1:18">
      <c r="A69" s="3" t="s">
        <v>1348</v>
      </c>
      <c r="B69" s="3" t="s">
        <v>1349</v>
      </c>
      <c r="C69" s="3" t="s">
        <v>1350</v>
      </c>
      <c r="D69" s="3" t="s">
        <v>1351</v>
      </c>
      <c r="E69" s="3" t="s">
        <v>84</v>
      </c>
      <c r="F69" s="3">
        <v>30.9</v>
      </c>
      <c r="G69" s="3" t="s">
        <v>1553</v>
      </c>
      <c r="H69" s="3"/>
      <c r="I69" s="3" t="s">
        <v>1554</v>
      </c>
      <c r="J69" s="3">
        <v>43</v>
      </c>
      <c r="K69" s="3">
        <v>43</v>
      </c>
      <c r="L69" s="3">
        <v>0</v>
      </c>
      <c r="M69" s="3">
        <v>0</v>
      </c>
      <c r="N69" s="3">
        <v>43</v>
      </c>
      <c r="O69" s="3">
        <v>0.12</v>
      </c>
      <c r="P69" s="3">
        <v>0</v>
      </c>
      <c r="Q69" s="3">
        <v>0</v>
      </c>
      <c r="R69" s="3">
        <v>0</v>
      </c>
    </row>
    <row r="70" spans="1:18">
      <c r="A70" s="3" t="s">
        <v>1310</v>
      </c>
      <c r="B70" s="3" t="s">
        <v>1311</v>
      </c>
      <c r="C70" s="3" t="s">
        <v>1312</v>
      </c>
      <c r="D70" s="3" t="s">
        <v>1313</v>
      </c>
      <c r="E70" s="3" t="s">
        <v>84</v>
      </c>
      <c r="F70" s="3">
        <v>30.9</v>
      </c>
      <c r="G70" s="3" t="s">
        <v>1553</v>
      </c>
      <c r="H70" s="3"/>
      <c r="I70" s="3" t="s">
        <v>1554</v>
      </c>
      <c r="J70" s="3">
        <v>41</v>
      </c>
      <c r="K70" s="3">
        <v>41</v>
      </c>
      <c r="L70" s="3">
        <v>0</v>
      </c>
      <c r="M70" s="3">
        <v>0</v>
      </c>
      <c r="N70" s="3">
        <v>41</v>
      </c>
      <c r="O70" s="3">
        <v>0.12</v>
      </c>
      <c r="P70" s="3">
        <v>0</v>
      </c>
      <c r="Q70" s="3">
        <v>0</v>
      </c>
      <c r="R70" s="3">
        <v>0</v>
      </c>
    </row>
    <row r="71" spans="1:18">
      <c r="A71" s="3" t="s">
        <v>1171</v>
      </c>
      <c r="B71" s="3" t="s">
        <v>1172</v>
      </c>
      <c r="C71" s="3" t="s">
        <v>1173</v>
      </c>
      <c r="D71" s="3" t="s">
        <v>1174</v>
      </c>
      <c r="E71" s="3" t="s">
        <v>84</v>
      </c>
      <c r="F71" s="3">
        <v>30.9</v>
      </c>
      <c r="G71" s="3" t="s">
        <v>1553</v>
      </c>
      <c r="H71" s="3"/>
      <c r="I71" s="3" t="s">
        <v>1554</v>
      </c>
      <c r="J71" s="3">
        <v>46</v>
      </c>
      <c r="K71" s="3">
        <v>46</v>
      </c>
      <c r="L71" s="3">
        <v>0</v>
      </c>
      <c r="M71" s="3">
        <v>0</v>
      </c>
      <c r="N71" s="3">
        <v>46</v>
      </c>
      <c r="O71" s="3">
        <v>0.12</v>
      </c>
      <c r="P71" s="3">
        <v>0</v>
      </c>
      <c r="Q71" s="3">
        <v>0</v>
      </c>
      <c r="R71" s="3">
        <v>0</v>
      </c>
    </row>
    <row r="72" spans="1:18">
      <c r="A72" s="3" t="s">
        <v>705</v>
      </c>
      <c r="B72" s="3" t="s">
        <v>706</v>
      </c>
      <c r="C72" s="3" t="s">
        <v>707</v>
      </c>
      <c r="D72" s="3" t="s">
        <v>708</v>
      </c>
      <c r="E72" s="3" t="s">
        <v>84</v>
      </c>
      <c r="F72" s="3">
        <v>30.9</v>
      </c>
      <c r="G72" s="3" t="s">
        <v>1553</v>
      </c>
      <c r="H72" s="3"/>
      <c r="I72" s="3" t="s">
        <v>1554</v>
      </c>
      <c r="J72" s="3">
        <v>41</v>
      </c>
      <c r="K72" s="3">
        <v>41</v>
      </c>
      <c r="L72" s="3">
        <v>0</v>
      </c>
      <c r="M72" s="3">
        <v>0</v>
      </c>
      <c r="N72" s="3">
        <v>41</v>
      </c>
      <c r="O72" s="3">
        <v>0.12</v>
      </c>
      <c r="P72" s="3">
        <v>0</v>
      </c>
      <c r="Q72" s="3">
        <v>0</v>
      </c>
      <c r="R72" s="3">
        <v>0</v>
      </c>
    </row>
    <row r="73" spans="1:18">
      <c r="A73" s="3" t="s">
        <v>324</v>
      </c>
      <c r="B73" s="3" t="s">
        <v>325</v>
      </c>
      <c r="C73" s="3" t="s">
        <v>326</v>
      </c>
      <c r="D73" s="3" t="s">
        <v>327</v>
      </c>
      <c r="E73" s="3" t="s">
        <v>84</v>
      </c>
      <c r="F73" s="3">
        <v>30.9</v>
      </c>
      <c r="G73" s="3" t="s">
        <v>1553</v>
      </c>
      <c r="H73" s="3"/>
      <c r="I73" s="3" t="s">
        <v>1554</v>
      </c>
      <c r="J73" s="3">
        <v>44</v>
      </c>
      <c r="K73" s="3">
        <v>44</v>
      </c>
      <c r="L73" s="3">
        <v>0</v>
      </c>
      <c r="M73" s="3">
        <v>0</v>
      </c>
      <c r="N73" s="3">
        <v>44</v>
      </c>
      <c r="O73" s="3">
        <v>0.12</v>
      </c>
      <c r="P73" s="3">
        <v>0</v>
      </c>
      <c r="Q73" s="3">
        <v>0</v>
      </c>
      <c r="R73" s="3">
        <v>0</v>
      </c>
    </row>
    <row r="74" spans="1:18">
      <c r="A74" s="3" t="s">
        <v>1083</v>
      </c>
      <c r="B74" s="3" t="s">
        <v>1084</v>
      </c>
      <c r="C74" s="3" t="s">
        <v>1085</v>
      </c>
      <c r="D74" s="3" t="s">
        <v>1086</v>
      </c>
      <c r="E74" s="3" t="s">
        <v>84</v>
      </c>
      <c r="F74" s="3">
        <v>30.9</v>
      </c>
      <c r="G74" s="3" t="s">
        <v>1553</v>
      </c>
      <c r="H74" s="3"/>
      <c r="I74" s="3" t="s">
        <v>1554</v>
      </c>
      <c r="J74" s="3">
        <v>46</v>
      </c>
      <c r="K74" s="3">
        <v>46</v>
      </c>
      <c r="L74" s="3">
        <v>0</v>
      </c>
      <c r="M74" s="3">
        <v>0</v>
      </c>
      <c r="N74" s="3">
        <v>46</v>
      </c>
      <c r="O74" s="3">
        <v>0.12</v>
      </c>
      <c r="P74" s="3">
        <v>0</v>
      </c>
      <c r="Q74" s="3">
        <v>0</v>
      </c>
      <c r="R74" s="3">
        <v>0</v>
      </c>
    </row>
    <row r="75" spans="1:18">
      <c r="A75" s="3" t="s">
        <v>1103</v>
      </c>
      <c r="B75" s="3" t="s">
        <v>1104</v>
      </c>
      <c r="C75" s="3" t="s">
        <v>1105</v>
      </c>
      <c r="D75" s="3" t="s">
        <v>1106</v>
      </c>
      <c r="E75" s="3" t="s">
        <v>84</v>
      </c>
      <c r="F75" s="3">
        <v>30.9</v>
      </c>
      <c r="G75" s="3" t="s">
        <v>1553</v>
      </c>
      <c r="H75" s="3"/>
      <c r="I75" s="3" t="s">
        <v>1554</v>
      </c>
      <c r="J75" s="3">
        <v>32</v>
      </c>
      <c r="K75" s="3">
        <v>32</v>
      </c>
      <c r="L75" s="3">
        <v>0</v>
      </c>
      <c r="M75" s="3">
        <v>0</v>
      </c>
      <c r="N75" s="3">
        <v>32</v>
      </c>
      <c r="O75" s="3">
        <v>0.12</v>
      </c>
      <c r="P75" s="3">
        <v>0</v>
      </c>
      <c r="Q75" s="3">
        <v>0</v>
      </c>
      <c r="R75" s="3">
        <v>0</v>
      </c>
    </row>
    <row r="76" spans="1:18">
      <c r="A76" s="3" t="s">
        <v>349</v>
      </c>
      <c r="B76" s="3" t="s">
        <v>350</v>
      </c>
      <c r="C76" s="3" t="s">
        <v>351</v>
      </c>
      <c r="D76" s="3" t="s">
        <v>352</v>
      </c>
      <c r="E76" s="3" t="s">
        <v>84</v>
      </c>
      <c r="F76" s="3">
        <v>30.9</v>
      </c>
      <c r="G76" s="3" t="s">
        <v>1553</v>
      </c>
      <c r="H76" s="3"/>
      <c r="I76" s="3" t="s">
        <v>1554</v>
      </c>
      <c r="J76" s="3">
        <v>74</v>
      </c>
      <c r="K76" s="3">
        <v>74</v>
      </c>
      <c r="L76" s="3">
        <v>0</v>
      </c>
      <c r="M76" s="3">
        <v>0</v>
      </c>
      <c r="N76" s="3">
        <v>74</v>
      </c>
      <c r="O76" s="3">
        <v>0.12</v>
      </c>
      <c r="P76" s="3">
        <v>0</v>
      </c>
      <c r="Q76" s="3">
        <v>0</v>
      </c>
      <c r="R76" s="3">
        <v>0</v>
      </c>
    </row>
    <row r="77" spans="1:18">
      <c r="A77" s="3" t="s">
        <v>1058</v>
      </c>
      <c r="B77" s="3" t="s">
        <v>1059</v>
      </c>
      <c r="C77" s="3" t="s">
        <v>1060</v>
      </c>
      <c r="D77" s="3" t="s">
        <v>1061</v>
      </c>
      <c r="E77" s="3" t="s">
        <v>84</v>
      </c>
      <c r="F77" s="3">
        <v>30.9</v>
      </c>
      <c r="G77" s="3" t="s">
        <v>1553</v>
      </c>
      <c r="H77" s="3"/>
      <c r="I77" s="3" t="s">
        <v>1554</v>
      </c>
      <c r="J77" s="3">
        <v>35</v>
      </c>
      <c r="K77" s="3">
        <v>35</v>
      </c>
      <c r="L77" s="3">
        <v>0</v>
      </c>
      <c r="M77" s="3">
        <v>0</v>
      </c>
      <c r="N77" s="3">
        <v>35</v>
      </c>
      <c r="O77" s="3">
        <v>0.12</v>
      </c>
      <c r="P77" s="3">
        <v>0</v>
      </c>
      <c r="Q77" s="3">
        <v>0</v>
      </c>
      <c r="R77" s="3">
        <v>0</v>
      </c>
    </row>
    <row r="78" spans="1:18">
      <c r="A78" s="3" t="s">
        <v>241</v>
      </c>
      <c r="B78" s="3" t="s">
        <v>242</v>
      </c>
      <c r="C78" s="3" t="s">
        <v>243</v>
      </c>
      <c r="D78" s="3" t="s">
        <v>244</v>
      </c>
      <c r="E78" s="3" t="s">
        <v>84</v>
      </c>
      <c r="F78" s="3">
        <v>35.9</v>
      </c>
      <c r="G78" s="3" t="s">
        <v>1553</v>
      </c>
      <c r="H78" s="3"/>
      <c r="I78" s="3" t="s">
        <v>1554</v>
      </c>
      <c r="J78" s="3">
        <v>33</v>
      </c>
      <c r="K78" s="3">
        <v>33</v>
      </c>
      <c r="L78" s="3">
        <v>0</v>
      </c>
      <c r="M78" s="3">
        <v>0</v>
      </c>
      <c r="N78" s="3">
        <v>33</v>
      </c>
      <c r="O78" s="3">
        <v>0.12</v>
      </c>
      <c r="P78" s="3">
        <v>0</v>
      </c>
      <c r="Q78" s="3">
        <v>0</v>
      </c>
      <c r="R78" s="3">
        <v>0</v>
      </c>
    </row>
    <row r="79" spans="1:18">
      <c r="A79" s="3" t="s">
        <v>655</v>
      </c>
      <c r="B79" s="3" t="s">
        <v>656</v>
      </c>
      <c r="C79" s="3" t="s">
        <v>657</v>
      </c>
      <c r="D79" s="3" t="s">
        <v>658</v>
      </c>
      <c r="E79" s="3" t="s">
        <v>84</v>
      </c>
      <c r="F79" s="3">
        <v>35.9</v>
      </c>
      <c r="G79" s="3" t="s">
        <v>1553</v>
      </c>
      <c r="H79" s="3"/>
      <c r="I79" s="3" t="s">
        <v>1554</v>
      </c>
      <c r="J79" s="3">
        <v>29</v>
      </c>
      <c r="K79" s="3">
        <v>29</v>
      </c>
      <c r="L79" s="3">
        <v>0</v>
      </c>
      <c r="M79" s="3">
        <v>0</v>
      </c>
      <c r="N79" s="3">
        <v>29</v>
      </c>
      <c r="O79" s="3">
        <v>0.12</v>
      </c>
      <c r="P79" s="3">
        <v>0</v>
      </c>
      <c r="Q79" s="3">
        <v>0</v>
      </c>
      <c r="R79" s="3">
        <v>0</v>
      </c>
    </row>
    <row r="80" spans="1:18">
      <c r="A80" s="3" t="s">
        <v>1528</v>
      </c>
      <c r="B80" s="3" t="s">
        <v>1529</v>
      </c>
      <c r="C80" s="3" t="s">
        <v>1530</v>
      </c>
      <c r="D80" s="3" t="s">
        <v>1531</v>
      </c>
      <c r="E80" s="3" t="s">
        <v>84</v>
      </c>
      <c r="F80" s="3">
        <v>35.9</v>
      </c>
      <c r="G80" s="3" t="s">
        <v>1553</v>
      </c>
      <c r="H80" s="3"/>
      <c r="I80" s="3" t="s">
        <v>1554</v>
      </c>
      <c r="J80" s="3">
        <v>27</v>
      </c>
      <c r="K80" s="3">
        <v>27</v>
      </c>
      <c r="L80" s="3">
        <v>0</v>
      </c>
      <c r="M80" s="3">
        <v>0</v>
      </c>
      <c r="N80" s="3">
        <v>27</v>
      </c>
      <c r="O80" s="3">
        <v>0.12</v>
      </c>
      <c r="P80" s="3">
        <v>0</v>
      </c>
      <c r="Q80" s="3">
        <v>0</v>
      </c>
      <c r="R80" s="3">
        <v>0</v>
      </c>
    </row>
    <row r="81" spans="1:18">
      <c r="A81" s="3" t="s">
        <v>372</v>
      </c>
      <c r="B81" s="3" t="s">
        <v>373</v>
      </c>
      <c r="C81" s="3" t="s">
        <v>374</v>
      </c>
      <c r="D81" s="3" t="s">
        <v>375</v>
      </c>
      <c r="E81" s="3" t="s">
        <v>84</v>
      </c>
      <c r="F81" s="3">
        <v>35.9</v>
      </c>
      <c r="G81" s="3" t="s">
        <v>1553</v>
      </c>
      <c r="H81" s="3"/>
      <c r="I81" s="3" t="s">
        <v>1554</v>
      </c>
      <c r="J81" s="3">
        <v>25</v>
      </c>
      <c r="K81" s="3">
        <v>25</v>
      </c>
      <c r="L81" s="3">
        <v>0</v>
      </c>
      <c r="M81" s="3">
        <v>0</v>
      </c>
      <c r="N81" s="3">
        <v>25</v>
      </c>
      <c r="O81" s="3">
        <v>0.12</v>
      </c>
      <c r="P81" s="3">
        <v>0</v>
      </c>
      <c r="Q81" s="3">
        <v>0</v>
      </c>
      <c r="R81" s="3">
        <v>0</v>
      </c>
    </row>
    <row r="82" spans="1:18">
      <c r="A82" s="3" t="s">
        <v>1075</v>
      </c>
      <c r="B82" s="3" t="s">
        <v>1076</v>
      </c>
      <c r="C82" s="3" t="s">
        <v>1077</v>
      </c>
      <c r="D82" s="3" t="s">
        <v>1078</v>
      </c>
      <c r="E82" s="3" t="s">
        <v>84</v>
      </c>
      <c r="F82" s="3">
        <v>35.9</v>
      </c>
      <c r="G82" s="3" t="s">
        <v>1553</v>
      </c>
      <c r="H82" s="3"/>
      <c r="I82" s="3" t="s">
        <v>1554</v>
      </c>
      <c r="J82" s="3">
        <v>26</v>
      </c>
      <c r="K82" s="3">
        <v>26</v>
      </c>
      <c r="L82" s="3">
        <v>0</v>
      </c>
      <c r="M82" s="3">
        <v>0</v>
      </c>
      <c r="N82" s="3">
        <v>26</v>
      </c>
      <c r="O82" s="3">
        <v>0.12</v>
      </c>
      <c r="P82" s="3">
        <v>0</v>
      </c>
      <c r="Q82" s="3">
        <v>0</v>
      </c>
      <c r="R82" s="3">
        <v>0</v>
      </c>
    </row>
    <row r="83" spans="1:18">
      <c r="A83" s="3" t="s">
        <v>631</v>
      </c>
      <c r="B83" s="3" t="s">
        <v>632</v>
      </c>
      <c r="C83" s="3" t="s">
        <v>633</v>
      </c>
      <c r="D83" s="3" t="s">
        <v>634</v>
      </c>
      <c r="E83" s="3" t="s">
        <v>84</v>
      </c>
      <c r="F83" s="3">
        <v>35.9</v>
      </c>
      <c r="G83" s="3" t="s">
        <v>1553</v>
      </c>
      <c r="H83" s="3"/>
      <c r="I83" s="3" t="s">
        <v>1554</v>
      </c>
      <c r="J83" s="3">
        <v>33</v>
      </c>
      <c r="K83" s="3">
        <v>33</v>
      </c>
      <c r="L83" s="3">
        <v>0</v>
      </c>
      <c r="M83" s="3">
        <v>0</v>
      </c>
      <c r="N83" s="3">
        <v>33</v>
      </c>
      <c r="O83" s="3">
        <v>0.12</v>
      </c>
      <c r="P83" s="3">
        <v>0</v>
      </c>
      <c r="Q83" s="3">
        <v>0</v>
      </c>
      <c r="R83" s="3">
        <v>0</v>
      </c>
    </row>
    <row r="84" spans="1:18">
      <c r="A84" s="3" t="s">
        <v>12</v>
      </c>
      <c r="B84" s="3" t="s">
        <v>13</v>
      </c>
      <c r="C84" s="3" t="s">
        <v>14</v>
      </c>
      <c r="D84" s="3" t="s">
        <v>15</v>
      </c>
      <c r="E84" s="3" t="s">
        <v>84</v>
      </c>
      <c r="F84" s="3">
        <v>35.9</v>
      </c>
      <c r="G84" s="3" t="s">
        <v>1553</v>
      </c>
      <c r="H84" s="3"/>
      <c r="I84" s="3" t="s">
        <v>1554</v>
      </c>
      <c r="J84" s="3">
        <v>29</v>
      </c>
      <c r="K84" s="3">
        <v>27</v>
      </c>
      <c r="L84" s="3">
        <v>0</v>
      </c>
      <c r="M84" s="3">
        <v>2</v>
      </c>
      <c r="N84" s="3">
        <v>29</v>
      </c>
      <c r="O84" s="3">
        <v>0.12</v>
      </c>
      <c r="P84" s="3">
        <v>0</v>
      </c>
      <c r="Q84" s="3">
        <v>0</v>
      </c>
      <c r="R84" s="3">
        <v>0</v>
      </c>
    </row>
    <row r="85" spans="1:18">
      <c r="A85" s="3" t="s">
        <v>96</v>
      </c>
      <c r="B85" s="3" t="s">
        <v>97</v>
      </c>
      <c r="C85" s="3" t="s">
        <v>98</v>
      </c>
      <c r="D85" s="3" t="s">
        <v>99</v>
      </c>
      <c r="E85" s="3" t="s">
        <v>84</v>
      </c>
      <c r="F85" s="3">
        <v>35.9</v>
      </c>
      <c r="G85" s="3" t="s">
        <v>1553</v>
      </c>
      <c r="H85" s="3"/>
      <c r="I85" s="3" t="s">
        <v>1554</v>
      </c>
      <c r="J85" s="3">
        <v>30</v>
      </c>
      <c r="K85" s="3">
        <v>30</v>
      </c>
      <c r="L85" s="3">
        <v>0</v>
      </c>
      <c r="M85" s="3">
        <v>0</v>
      </c>
      <c r="N85" s="3">
        <v>30</v>
      </c>
      <c r="O85" s="3">
        <v>0.12</v>
      </c>
      <c r="P85" s="3">
        <v>0</v>
      </c>
      <c r="Q85" s="3">
        <v>0</v>
      </c>
      <c r="R85" s="3">
        <v>0</v>
      </c>
    </row>
    <row r="86" spans="1:18">
      <c r="A86" s="3" t="s">
        <v>409</v>
      </c>
      <c r="B86" s="3" t="s">
        <v>410</v>
      </c>
      <c r="C86" s="3" t="s">
        <v>411</v>
      </c>
      <c r="D86" s="3" t="s">
        <v>412</v>
      </c>
      <c r="E86" s="3" t="s">
        <v>84</v>
      </c>
      <c r="F86" s="3">
        <v>35.9</v>
      </c>
      <c r="G86" s="3" t="s">
        <v>1553</v>
      </c>
      <c r="H86" s="3"/>
      <c r="I86" s="3" t="s">
        <v>1554</v>
      </c>
      <c r="J86" s="3">
        <v>30</v>
      </c>
      <c r="K86" s="3">
        <v>30</v>
      </c>
      <c r="L86" s="3">
        <v>0</v>
      </c>
      <c r="M86" s="3">
        <v>0</v>
      </c>
      <c r="N86" s="3">
        <v>30</v>
      </c>
      <c r="O86" s="3">
        <v>0.12</v>
      </c>
      <c r="P86" s="3">
        <v>0</v>
      </c>
      <c r="Q86" s="3">
        <v>0</v>
      </c>
      <c r="R86" s="3">
        <v>0</v>
      </c>
    </row>
    <row r="87" spans="1:18">
      <c r="A87" s="3" t="s">
        <v>16</v>
      </c>
      <c r="B87" s="3" t="s">
        <v>17</v>
      </c>
      <c r="C87" s="3" t="s">
        <v>18</v>
      </c>
      <c r="D87" s="3" t="s">
        <v>19</v>
      </c>
      <c r="E87" s="3" t="s">
        <v>84</v>
      </c>
      <c r="F87" s="3">
        <v>35.9</v>
      </c>
      <c r="G87" s="3" t="s">
        <v>1553</v>
      </c>
      <c r="H87" s="3"/>
      <c r="I87" s="3" t="s">
        <v>1554</v>
      </c>
      <c r="J87" s="3">
        <v>11</v>
      </c>
      <c r="K87" s="3">
        <v>10</v>
      </c>
      <c r="L87" s="3">
        <v>0</v>
      </c>
      <c r="M87" s="3">
        <v>1</v>
      </c>
      <c r="N87" s="3">
        <v>11</v>
      </c>
      <c r="O87" s="3">
        <v>0.12</v>
      </c>
      <c r="P87" s="3">
        <v>0</v>
      </c>
      <c r="Q87" s="3">
        <v>0</v>
      </c>
      <c r="R87" s="3">
        <v>0</v>
      </c>
    </row>
    <row r="88" spans="1:18">
      <c r="A88" s="3" t="s">
        <v>1167</v>
      </c>
      <c r="B88" s="3" t="s">
        <v>1168</v>
      </c>
      <c r="C88" s="3" t="s">
        <v>1169</v>
      </c>
      <c r="D88" s="3" t="s">
        <v>1170</v>
      </c>
      <c r="E88" s="3" t="s">
        <v>84</v>
      </c>
      <c r="F88" s="3">
        <v>35.9</v>
      </c>
      <c r="G88" s="3" t="s">
        <v>1553</v>
      </c>
      <c r="H88" s="3"/>
      <c r="I88" s="3" t="s">
        <v>1554</v>
      </c>
      <c r="J88" s="3">
        <v>2</v>
      </c>
      <c r="K88" s="3">
        <v>2</v>
      </c>
      <c r="L88" s="3">
        <v>0</v>
      </c>
      <c r="M88" s="3">
        <v>0</v>
      </c>
      <c r="N88" s="3">
        <v>2</v>
      </c>
      <c r="O88" s="3">
        <v>0.12</v>
      </c>
      <c r="P88" s="3">
        <v>0</v>
      </c>
      <c r="Q88" s="3">
        <v>0</v>
      </c>
      <c r="R88" s="3">
        <v>0</v>
      </c>
    </row>
    <row r="89" spans="1:18">
      <c r="A89" s="3" t="s">
        <v>1352</v>
      </c>
      <c r="B89" s="3" t="s">
        <v>1353</v>
      </c>
      <c r="C89" s="3" t="s">
        <v>1354</v>
      </c>
      <c r="D89" s="3" t="s">
        <v>1355</v>
      </c>
      <c r="E89" s="3" t="s">
        <v>84</v>
      </c>
      <c r="F89" s="3">
        <v>35.9</v>
      </c>
      <c r="G89" s="3" t="s">
        <v>1553</v>
      </c>
      <c r="H89" s="3"/>
      <c r="I89" s="3" t="s">
        <v>1554</v>
      </c>
      <c r="J89" s="3">
        <v>22</v>
      </c>
      <c r="K89" s="3">
        <v>22</v>
      </c>
      <c r="L89" s="3">
        <v>0</v>
      </c>
      <c r="M89" s="3">
        <v>0</v>
      </c>
      <c r="N89" s="3">
        <v>22</v>
      </c>
      <c r="O89" s="3">
        <v>0.12</v>
      </c>
      <c r="P89" s="3">
        <v>0</v>
      </c>
      <c r="Q89" s="3">
        <v>0</v>
      </c>
      <c r="R89" s="3">
        <v>0</v>
      </c>
    </row>
    <row r="90" spans="1:18">
      <c r="A90" s="3" t="s">
        <v>520</v>
      </c>
      <c r="B90" s="3" t="s">
        <v>521</v>
      </c>
      <c r="C90" s="3" t="s">
        <v>522</v>
      </c>
      <c r="D90" s="3" t="s">
        <v>523</v>
      </c>
      <c r="E90" s="3" t="s">
        <v>84</v>
      </c>
      <c r="F90" s="3">
        <v>35.9</v>
      </c>
      <c r="G90" s="3" t="s">
        <v>1553</v>
      </c>
      <c r="H90" s="3"/>
      <c r="I90" s="3" t="s">
        <v>1554</v>
      </c>
      <c r="J90" s="3">
        <v>25</v>
      </c>
      <c r="K90" s="3">
        <v>25</v>
      </c>
      <c r="L90" s="3">
        <v>0</v>
      </c>
      <c r="M90" s="3">
        <v>0</v>
      </c>
      <c r="N90" s="3">
        <v>25</v>
      </c>
      <c r="O90" s="3">
        <v>0.12</v>
      </c>
      <c r="P90" s="3">
        <v>0</v>
      </c>
      <c r="Q90" s="3">
        <v>0</v>
      </c>
      <c r="R90" s="3">
        <v>0</v>
      </c>
    </row>
    <row r="91" spans="1:18">
      <c r="A91" s="3" t="s">
        <v>1487</v>
      </c>
      <c r="B91" s="3" t="s">
        <v>1488</v>
      </c>
      <c r="C91" s="3" t="s">
        <v>1489</v>
      </c>
      <c r="D91" s="3" t="s">
        <v>1490</v>
      </c>
      <c r="E91" s="3" t="s">
        <v>84</v>
      </c>
      <c r="F91" s="3">
        <v>35.9</v>
      </c>
      <c r="G91" s="3" t="s">
        <v>1553</v>
      </c>
      <c r="H91" s="3"/>
      <c r="I91" s="3" t="s">
        <v>1554</v>
      </c>
      <c r="J91" s="3">
        <v>29</v>
      </c>
      <c r="K91" s="3">
        <v>29</v>
      </c>
      <c r="L91" s="3">
        <v>0</v>
      </c>
      <c r="M91" s="3">
        <v>0</v>
      </c>
      <c r="N91" s="3">
        <v>29</v>
      </c>
      <c r="O91" s="3">
        <v>0.12</v>
      </c>
      <c r="P91" s="3">
        <v>0</v>
      </c>
      <c r="Q91" s="3">
        <v>0</v>
      </c>
      <c r="R91" s="3">
        <v>0</v>
      </c>
    </row>
    <row r="92" spans="1:18">
      <c r="A92" s="3" t="s">
        <v>312</v>
      </c>
      <c r="B92" s="3" t="s">
        <v>313</v>
      </c>
      <c r="C92" s="3" t="s">
        <v>314</v>
      </c>
      <c r="D92" s="3" t="s">
        <v>315</v>
      </c>
      <c r="E92" s="3" t="s">
        <v>84</v>
      </c>
      <c r="F92" s="3">
        <v>35.9</v>
      </c>
      <c r="G92" s="3" t="s">
        <v>1553</v>
      </c>
      <c r="H92" s="3"/>
      <c r="I92" s="3" t="s">
        <v>1554</v>
      </c>
      <c r="J92" s="3">
        <v>32</v>
      </c>
      <c r="K92" s="3">
        <v>32</v>
      </c>
      <c r="L92" s="3">
        <v>0</v>
      </c>
      <c r="M92" s="3">
        <v>0</v>
      </c>
      <c r="N92" s="3">
        <v>32</v>
      </c>
      <c r="O92" s="3">
        <v>0.12</v>
      </c>
      <c r="P92" s="3">
        <v>0</v>
      </c>
      <c r="Q92" s="3">
        <v>0</v>
      </c>
      <c r="R92" s="3">
        <v>0</v>
      </c>
    </row>
    <row r="93" spans="1:18">
      <c r="A93" s="3" t="s">
        <v>587</v>
      </c>
      <c r="B93" s="3" t="s">
        <v>588</v>
      </c>
      <c r="C93" s="3" t="s">
        <v>589</v>
      </c>
      <c r="D93" s="3" t="s">
        <v>590</v>
      </c>
      <c r="E93" s="3" t="s">
        <v>84</v>
      </c>
      <c r="F93" s="3">
        <v>35.9</v>
      </c>
      <c r="G93" s="3" t="s">
        <v>1553</v>
      </c>
      <c r="H93" s="3"/>
      <c r="I93" s="3" t="s">
        <v>1554</v>
      </c>
      <c r="J93" s="3">
        <v>32</v>
      </c>
      <c r="K93" s="3">
        <v>32</v>
      </c>
      <c r="L93" s="3">
        <v>0</v>
      </c>
      <c r="M93" s="3">
        <v>0</v>
      </c>
      <c r="N93" s="3">
        <v>32</v>
      </c>
      <c r="O93" s="3">
        <v>0.12</v>
      </c>
      <c r="P93" s="3">
        <v>0</v>
      </c>
      <c r="Q93" s="3">
        <v>0</v>
      </c>
      <c r="R93" s="3">
        <v>0</v>
      </c>
    </row>
    <row r="94" spans="1:18">
      <c r="A94" s="3" t="s">
        <v>821</v>
      </c>
      <c r="B94" s="3" t="s">
        <v>822</v>
      </c>
      <c r="C94" s="3" t="s">
        <v>823</v>
      </c>
      <c r="D94" s="3" t="s">
        <v>824</v>
      </c>
      <c r="E94" s="3" t="s">
        <v>84</v>
      </c>
      <c r="F94" s="3">
        <v>35.9</v>
      </c>
      <c r="G94" s="3" t="s">
        <v>1553</v>
      </c>
      <c r="H94" s="3"/>
      <c r="I94" s="3" t="s">
        <v>1554</v>
      </c>
      <c r="J94" s="3">
        <v>33</v>
      </c>
      <c r="K94" s="3">
        <v>33</v>
      </c>
      <c r="L94" s="3">
        <v>0</v>
      </c>
      <c r="M94" s="3">
        <v>0</v>
      </c>
      <c r="N94" s="3">
        <v>33</v>
      </c>
      <c r="O94" s="3">
        <v>0.12</v>
      </c>
      <c r="P94" s="3">
        <v>0</v>
      </c>
      <c r="Q94" s="3">
        <v>0</v>
      </c>
      <c r="R94" s="3">
        <v>0</v>
      </c>
    </row>
    <row r="95" spans="1:18">
      <c r="A95" s="3" t="s">
        <v>384</v>
      </c>
      <c r="B95" s="3" t="s">
        <v>385</v>
      </c>
      <c r="C95" s="3" t="s">
        <v>386</v>
      </c>
      <c r="D95" s="3" t="s">
        <v>387</v>
      </c>
      <c r="E95" s="3" t="s">
        <v>84</v>
      </c>
      <c r="F95" s="3">
        <v>35.9</v>
      </c>
      <c r="G95" s="3" t="s">
        <v>1553</v>
      </c>
      <c r="H95" s="3"/>
      <c r="I95" s="3" t="s">
        <v>1554</v>
      </c>
      <c r="J95" s="3">
        <v>29</v>
      </c>
      <c r="K95" s="3">
        <v>29</v>
      </c>
      <c r="L95" s="3">
        <v>0</v>
      </c>
      <c r="M95" s="3">
        <v>0</v>
      </c>
      <c r="N95" s="3">
        <v>29</v>
      </c>
      <c r="O95" s="3">
        <v>0.12</v>
      </c>
      <c r="P95" s="3">
        <v>0</v>
      </c>
      <c r="Q95" s="3">
        <v>0</v>
      </c>
      <c r="R95" s="3">
        <v>0</v>
      </c>
    </row>
    <row r="96" spans="1:18">
      <c r="A96" s="3" t="s">
        <v>659</v>
      </c>
      <c r="B96" s="3" t="s">
        <v>660</v>
      </c>
      <c r="C96" s="3" t="s">
        <v>661</v>
      </c>
      <c r="D96" s="3" t="s">
        <v>662</v>
      </c>
      <c r="E96" s="3" t="s">
        <v>84</v>
      </c>
      <c r="F96" s="3">
        <v>41.9</v>
      </c>
      <c r="G96" s="3" t="s">
        <v>1553</v>
      </c>
      <c r="H96" s="3"/>
      <c r="I96" s="3" t="s">
        <v>1554</v>
      </c>
      <c r="J96" s="3">
        <v>2</v>
      </c>
      <c r="K96" s="3">
        <v>2</v>
      </c>
      <c r="L96" s="3">
        <v>0</v>
      </c>
      <c r="M96" s="3">
        <v>0</v>
      </c>
      <c r="N96" s="3">
        <v>2</v>
      </c>
      <c r="O96" s="3">
        <v>0.14</v>
      </c>
      <c r="P96" s="3">
        <v>0</v>
      </c>
      <c r="Q96" s="3">
        <v>0</v>
      </c>
      <c r="R96" s="3">
        <v>0</v>
      </c>
    </row>
    <row r="97" spans="1:18">
      <c r="A97" s="3" t="s">
        <v>1364</v>
      </c>
      <c r="B97" s="3" t="s">
        <v>1365</v>
      </c>
      <c r="C97" s="3" t="s">
        <v>1366</v>
      </c>
      <c r="D97" s="3" t="s">
        <v>1367</v>
      </c>
      <c r="E97" s="3" t="s">
        <v>84</v>
      </c>
      <c r="F97" s="3">
        <v>41.9</v>
      </c>
      <c r="G97" s="3" t="s">
        <v>1553</v>
      </c>
      <c r="H97" s="3"/>
      <c r="I97" s="3" t="s">
        <v>1554</v>
      </c>
      <c r="J97" s="3">
        <v>2</v>
      </c>
      <c r="K97" s="3">
        <v>2</v>
      </c>
      <c r="L97" s="3">
        <v>0</v>
      </c>
      <c r="M97" s="3">
        <v>0</v>
      </c>
      <c r="N97" s="3">
        <v>2</v>
      </c>
      <c r="O97" s="3">
        <v>0.16</v>
      </c>
      <c r="P97" s="3">
        <v>0</v>
      </c>
      <c r="Q97" s="3">
        <v>0</v>
      </c>
      <c r="R97" s="3">
        <v>0</v>
      </c>
    </row>
    <row r="98" spans="1:18">
      <c r="A98" s="3" t="s">
        <v>1207</v>
      </c>
      <c r="B98" s="3" t="s">
        <v>1208</v>
      </c>
      <c r="C98" s="3" t="s">
        <v>1209</v>
      </c>
      <c r="D98" s="3" t="s">
        <v>1210</v>
      </c>
      <c r="E98" s="3" t="s">
        <v>84</v>
      </c>
      <c r="F98" s="3">
        <v>41.9</v>
      </c>
      <c r="G98" s="3" t="s">
        <v>1553</v>
      </c>
      <c r="H98" s="3"/>
      <c r="I98" s="3" t="s">
        <v>1554</v>
      </c>
      <c r="J98" s="3">
        <v>2</v>
      </c>
      <c r="K98" s="3">
        <v>2</v>
      </c>
      <c r="L98" s="3">
        <v>0</v>
      </c>
      <c r="M98" s="3">
        <v>0</v>
      </c>
      <c r="N98" s="3">
        <v>2</v>
      </c>
      <c r="O98" s="3">
        <v>0.16</v>
      </c>
      <c r="P98" s="3">
        <v>0</v>
      </c>
      <c r="Q98" s="3">
        <v>0</v>
      </c>
      <c r="R98" s="3">
        <v>0</v>
      </c>
    </row>
    <row r="99" spans="1:18">
      <c r="A99" s="3" t="s">
        <v>1314</v>
      </c>
      <c r="B99" s="3" t="s">
        <v>1315</v>
      </c>
      <c r="C99" s="3" t="s">
        <v>1316</v>
      </c>
      <c r="D99" s="3" t="s">
        <v>1317</v>
      </c>
      <c r="E99" s="3" t="s">
        <v>84</v>
      </c>
      <c r="F99" s="3">
        <v>35.9</v>
      </c>
      <c r="G99" s="3" t="s">
        <v>1553</v>
      </c>
      <c r="H99" s="3"/>
      <c r="I99" s="3" t="s">
        <v>1554</v>
      </c>
      <c r="J99" s="3">
        <v>2</v>
      </c>
      <c r="K99" s="3">
        <v>2</v>
      </c>
      <c r="L99" s="3">
        <v>0</v>
      </c>
      <c r="M99" s="3">
        <v>0</v>
      </c>
      <c r="N99" s="3">
        <v>2</v>
      </c>
      <c r="O99" s="3">
        <v>0.17</v>
      </c>
      <c r="P99" s="3">
        <v>0</v>
      </c>
      <c r="Q99" s="3">
        <v>0</v>
      </c>
      <c r="R99" s="3">
        <v>0</v>
      </c>
    </row>
    <row r="100" spans="1:18">
      <c r="A100" s="3" t="s">
        <v>475</v>
      </c>
      <c r="B100" s="3" t="s">
        <v>476</v>
      </c>
      <c r="C100" s="3" t="s">
        <v>477</v>
      </c>
      <c r="D100" s="3" t="s">
        <v>478</v>
      </c>
      <c r="E100" s="3" t="s">
        <v>84</v>
      </c>
      <c r="F100" s="3">
        <v>35.9</v>
      </c>
      <c r="G100" s="3" t="s">
        <v>1553</v>
      </c>
      <c r="H100" s="3"/>
      <c r="I100" s="3" t="s">
        <v>1554</v>
      </c>
      <c r="J100" s="3">
        <v>8</v>
      </c>
      <c r="K100" s="3">
        <v>8</v>
      </c>
      <c r="L100" s="3">
        <v>0</v>
      </c>
      <c r="M100" s="3">
        <v>0</v>
      </c>
      <c r="N100" s="3">
        <v>8</v>
      </c>
      <c r="O100" s="3">
        <v>0.17</v>
      </c>
      <c r="P100" s="3">
        <v>0</v>
      </c>
      <c r="Q100" s="3">
        <v>0</v>
      </c>
      <c r="R100" s="3">
        <v>0</v>
      </c>
    </row>
    <row r="101" spans="1:18">
      <c r="A101" s="3" t="s">
        <v>1221</v>
      </c>
      <c r="B101" s="3" t="s">
        <v>1222</v>
      </c>
      <c r="C101" s="3" t="s">
        <v>1223</v>
      </c>
      <c r="D101" s="3" t="s">
        <v>1224</v>
      </c>
      <c r="E101" s="3" t="s">
        <v>84</v>
      </c>
      <c r="F101" s="3">
        <v>35.9</v>
      </c>
      <c r="G101" s="3" t="s">
        <v>1553</v>
      </c>
      <c r="H101" s="3"/>
      <c r="I101" s="3" t="s">
        <v>1554</v>
      </c>
      <c r="J101" s="3">
        <v>16</v>
      </c>
      <c r="K101" s="3">
        <v>16</v>
      </c>
      <c r="L101" s="3">
        <v>0</v>
      </c>
      <c r="M101" s="3">
        <v>0</v>
      </c>
      <c r="N101" s="3">
        <v>16</v>
      </c>
      <c r="O101" s="3">
        <v>0.17</v>
      </c>
      <c r="P101" s="3">
        <v>0</v>
      </c>
      <c r="Q101" s="3">
        <v>0</v>
      </c>
      <c r="R101" s="3">
        <v>0</v>
      </c>
    </row>
    <row r="102" spans="1:18">
      <c r="A102" s="3" t="s">
        <v>367</v>
      </c>
      <c r="B102" s="3" t="s">
        <v>368</v>
      </c>
      <c r="C102" s="3" t="s">
        <v>369</v>
      </c>
      <c r="D102" s="3" t="s">
        <v>370</v>
      </c>
      <c r="E102" s="3" t="s">
        <v>84</v>
      </c>
      <c r="F102" s="3">
        <v>35.9</v>
      </c>
      <c r="G102" s="3" t="s">
        <v>1553</v>
      </c>
      <c r="H102" s="3"/>
      <c r="I102" s="3" t="s">
        <v>1554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0.17</v>
      </c>
      <c r="P102" s="3">
        <v>0</v>
      </c>
      <c r="Q102" s="3">
        <v>0</v>
      </c>
      <c r="R102" s="3">
        <v>0</v>
      </c>
    </row>
    <row r="103" spans="1:18">
      <c r="A103" s="3" t="s">
        <v>939</v>
      </c>
      <c r="B103" s="3" t="s">
        <v>940</v>
      </c>
      <c r="C103" s="3" t="s">
        <v>941</v>
      </c>
      <c r="D103" s="3" t="s">
        <v>942</v>
      </c>
      <c r="E103" s="3" t="s">
        <v>84</v>
      </c>
      <c r="F103" s="3">
        <v>35.9</v>
      </c>
      <c r="G103" s="3" t="s">
        <v>1553</v>
      </c>
      <c r="H103" s="3"/>
      <c r="I103" s="3" t="s">
        <v>1554</v>
      </c>
      <c r="J103" s="3">
        <v>4</v>
      </c>
      <c r="K103" s="3">
        <v>4</v>
      </c>
      <c r="L103" s="3">
        <v>0</v>
      </c>
      <c r="M103" s="3">
        <v>0</v>
      </c>
      <c r="N103" s="3">
        <v>4</v>
      </c>
      <c r="O103" s="3">
        <v>0.17</v>
      </c>
      <c r="P103" s="3">
        <v>0</v>
      </c>
      <c r="Q103" s="3">
        <v>0</v>
      </c>
      <c r="R103" s="3">
        <v>0</v>
      </c>
    </row>
    <row r="104" spans="1:18">
      <c r="A104" s="3" t="s">
        <v>583</v>
      </c>
      <c r="B104" s="3" t="s">
        <v>584</v>
      </c>
      <c r="C104" s="3" t="s">
        <v>585</v>
      </c>
      <c r="D104" s="3" t="s">
        <v>586</v>
      </c>
      <c r="E104" s="3" t="s">
        <v>84</v>
      </c>
      <c r="F104" s="3">
        <v>35.9</v>
      </c>
      <c r="G104" s="3" t="s">
        <v>1553</v>
      </c>
      <c r="H104" s="3"/>
      <c r="I104" s="3" t="s">
        <v>1554</v>
      </c>
      <c r="J104" s="3">
        <v>8</v>
      </c>
      <c r="K104" s="3">
        <v>8</v>
      </c>
      <c r="L104" s="3">
        <v>0</v>
      </c>
      <c r="M104" s="3">
        <v>0</v>
      </c>
      <c r="N104" s="3">
        <v>8</v>
      </c>
      <c r="O104" s="3">
        <v>0.17</v>
      </c>
      <c r="P104" s="3">
        <v>0</v>
      </c>
      <c r="Q104" s="3">
        <v>0</v>
      </c>
      <c r="R104" s="3">
        <v>0</v>
      </c>
    </row>
    <row r="105" spans="1:18">
      <c r="A105" s="3" t="s">
        <v>997</v>
      </c>
      <c r="B105" s="3" t="s">
        <v>998</v>
      </c>
      <c r="C105" s="3" t="s">
        <v>999</v>
      </c>
      <c r="D105" s="3" t="s">
        <v>1000</v>
      </c>
      <c r="E105" s="3" t="s">
        <v>84</v>
      </c>
      <c r="F105" s="3">
        <v>35.9</v>
      </c>
      <c r="G105" s="3" t="s">
        <v>1553</v>
      </c>
      <c r="H105" s="3"/>
      <c r="I105" s="3" t="s">
        <v>1554</v>
      </c>
      <c r="J105" s="3">
        <v>3</v>
      </c>
      <c r="K105" s="3">
        <v>3</v>
      </c>
      <c r="L105" s="3">
        <v>0</v>
      </c>
      <c r="M105" s="3">
        <v>0</v>
      </c>
      <c r="N105" s="3">
        <v>3</v>
      </c>
      <c r="O105" s="3">
        <v>0.17</v>
      </c>
      <c r="P105" s="3">
        <v>0</v>
      </c>
      <c r="Q105" s="3">
        <v>0</v>
      </c>
      <c r="R105" s="3">
        <v>0</v>
      </c>
    </row>
    <row r="106" spans="1:18">
      <c r="A106" s="3" t="s">
        <v>846</v>
      </c>
      <c r="B106" s="3" t="s">
        <v>847</v>
      </c>
      <c r="C106" s="3" t="s">
        <v>848</v>
      </c>
      <c r="D106" s="3" t="s">
        <v>849</v>
      </c>
      <c r="E106" s="3" t="s">
        <v>84</v>
      </c>
      <c r="F106" s="3">
        <v>53.9</v>
      </c>
      <c r="G106" s="3" t="s">
        <v>1553</v>
      </c>
      <c r="H106" s="3"/>
      <c r="I106" s="3" t="s">
        <v>1554</v>
      </c>
      <c r="J106" s="3">
        <v>2</v>
      </c>
      <c r="K106" s="3">
        <v>2</v>
      </c>
      <c r="L106" s="3">
        <v>0</v>
      </c>
      <c r="M106" s="3">
        <v>0</v>
      </c>
      <c r="N106" s="3">
        <v>2</v>
      </c>
      <c r="O106" s="3">
        <v>0.09</v>
      </c>
      <c r="P106" s="3">
        <v>0</v>
      </c>
      <c r="Q106" s="3">
        <v>0</v>
      </c>
      <c r="R106" s="3">
        <v>0</v>
      </c>
    </row>
    <row r="107" spans="1:18">
      <c r="A107" s="3" t="s">
        <v>562</v>
      </c>
      <c r="B107" s="3" t="s">
        <v>563</v>
      </c>
      <c r="C107" s="3" t="s">
        <v>564</v>
      </c>
      <c r="D107" s="3" t="s">
        <v>565</v>
      </c>
      <c r="E107" s="3" t="s">
        <v>84</v>
      </c>
      <c r="F107" s="3">
        <v>53.9</v>
      </c>
      <c r="G107" s="3" t="s">
        <v>1553</v>
      </c>
      <c r="H107" s="3"/>
      <c r="I107" s="3" t="s">
        <v>1554</v>
      </c>
      <c r="J107" s="3">
        <v>1</v>
      </c>
      <c r="K107" s="3">
        <v>1</v>
      </c>
      <c r="L107" s="3">
        <v>0</v>
      </c>
      <c r="M107" s="3">
        <v>0</v>
      </c>
      <c r="N107" s="3">
        <v>1</v>
      </c>
      <c r="O107" s="3"/>
      <c r="P107" s="3">
        <v>0</v>
      </c>
      <c r="Q107" s="3">
        <v>0</v>
      </c>
      <c r="R107" s="3">
        <v>0</v>
      </c>
    </row>
    <row r="108" spans="1:18">
      <c r="A108" s="3" t="s">
        <v>984</v>
      </c>
      <c r="B108" s="3" t="s">
        <v>985</v>
      </c>
      <c r="C108" s="3" t="s">
        <v>986</v>
      </c>
      <c r="D108" s="3" t="s">
        <v>987</v>
      </c>
      <c r="E108" s="3" t="s">
        <v>84</v>
      </c>
      <c r="F108" s="3">
        <v>53.9</v>
      </c>
      <c r="G108" s="3" t="s">
        <v>1553</v>
      </c>
      <c r="H108" s="3"/>
      <c r="I108" s="3" t="s">
        <v>1554</v>
      </c>
      <c r="J108" s="3">
        <v>2</v>
      </c>
      <c r="K108" s="3">
        <v>2</v>
      </c>
      <c r="L108" s="3">
        <v>0</v>
      </c>
      <c r="M108" s="3">
        <v>0</v>
      </c>
      <c r="N108" s="3">
        <v>2</v>
      </c>
      <c r="O108" s="3"/>
      <c r="P108" s="3">
        <v>0</v>
      </c>
      <c r="Q108" s="3">
        <v>0</v>
      </c>
      <c r="R108" s="3">
        <v>0</v>
      </c>
    </row>
    <row r="109" spans="1:18">
      <c r="A109" s="3" t="s">
        <v>1133</v>
      </c>
      <c r="B109" s="3" t="s">
        <v>1134</v>
      </c>
      <c r="C109" s="3" t="s">
        <v>1135</v>
      </c>
      <c r="D109" s="3" t="s">
        <v>1136</v>
      </c>
      <c r="E109" s="3" t="s">
        <v>84</v>
      </c>
      <c r="F109" s="3">
        <v>53.9</v>
      </c>
      <c r="G109" s="3" t="s">
        <v>1553</v>
      </c>
      <c r="H109" s="3"/>
      <c r="I109" s="3" t="s">
        <v>1554</v>
      </c>
      <c r="J109" s="3">
        <v>1</v>
      </c>
      <c r="K109" s="3">
        <v>1</v>
      </c>
      <c r="L109" s="3">
        <v>0</v>
      </c>
      <c r="M109" s="3">
        <v>0</v>
      </c>
      <c r="N109" s="3">
        <v>1</v>
      </c>
      <c r="O109" s="3">
        <v>0.09</v>
      </c>
      <c r="P109" s="3">
        <v>0</v>
      </c>
      <c r="Q109" s="3">
        <v>0</v>
      </c>
      <c r="R109" s="3">
        <v>0</v>
      </c>
    </row>
    <row r="110" spans="1:18">
      <c r="A110" s="3" t="s">
        <v>504</v>
      </c>
      <c r="B110" s="3" t="s">
        <v>505</v>
      </c>
      <c r="C110" s="3" t="s">
        <v>506</v>
      </c>
      <c r="D110" s="3" t="s">
        <v>507</v>
      </c>
      <c r="E110" s="3" t="s">
        <v>84</v>
      </c>
      <c r="F110" s="3">
        <v>53.9</v>
      </c>
      <c r="G110" s="3" t="s">
        <v>1553</v>
      </c>
      <c r="H110" s="3"/>
      <c r="I110" s="3" t="s">
        <v>1554</v>
      </c>
      <c r="J110" s="3">
        <v>1</v>
      </c>
      <c r="K110" s="3">
        <v>1</v>
      </c>
      <c r="L110" s="3">
        <v>0</v>
      </c>
      <c r="M110" s="3">
        <v>0</v>
      </c>
      <c r="N110" s="3">
        <v>1</v>
      </c>
      <c r="O110" s="3"/>
      <c r="P110" s="3">
        <v>0</v>
      </c>
      <c r="Q110" s="3">
        <v>0</v>
      </c>
      <c r="R110" s="3">
        <v>0</v>
      </c>
    </row>
    <row r="111" spans="1:18">
      <c r="A111" s="3" t="s">
        <v>685</v>
      </c>
      <c r="B111" s="3" t="s">
        <v>686</v>
      </c>
      <c r="C111" s="3" t="s">
        <v>687</v>
      </c>
      <c r="D111" s="3" t="s">
        <v>688</v>
      </c>
      <c r="E111" s="3" t="s">
        <v>84</v>
      </c>
      <c r="F111" s="3">
        <v>53.9</v>
      </c>
      <c r="G111" s="3" t="s">
        <v>1553</v>
      </c>
      <c r="H111" s="3"/>
      <c r="I111" s="3" t="s">
        <v>1554</v>
      </c>
      <c r="J111" s="3">
        <v>1</v>
      </c>
      <c r="K111" s="3">
        <v>1</v>
      </c>
      <c r="L111" s="3">
        <v>0</v>
      </c>
      <c r="M111" s="3">
        <v>0</v>
      </c>
      <c r="N111" s="3">
        <v>1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1612</v>
      </c>
      <c r="B112" s="3" t="s">
        <v>1613</v>
      </c>
      <c r="C112" s="3" t="s">
        <v>1614</v>
      </c>
      <c r="D112" s="3" t="s">
        <v>1615</v>
      </c>
      <c r="E112" s="3" t="s">
        <v>84</v>
      </c>
      <c r="F112" s="3">
        <v>53.9</v>
      </c>
      <c r="G112" s="3" t="s">
        <v>1553</v>
      </c>
      <c r="H112" s="3"/>
      <c r="I112" s="3" t="s">
        <v>1554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0.09</v>
      </c>
      <c r="P112" s="3">
        <v>0</v>
      </c>
      <c r="Q112" s="3">
        <v>0</v>
      </c>
      <c r="R112" s="3">
        <v>0</v>
      </c>
    </row>
    <row r="113" spans="1:18">
      <c r="A113" s="3" t="s">
        <v>887</v>
      </c>
      <c r="B113" s="3" t="s">
        <v>888</v>
      </c>
      <c r="C113" s="3" t="s">
        <v>889</v>
      </c>
      <c r="D113" s="3" t="s">
        <v>890</v>
      </c>
      <c r="E113" s="3" t="s">
        <v>84</v>
      </c>
      <c r="F113" s="3">
        <v>47.9</v>
      </c>
      <c r="G113" s="3" t="s">
        <v>1553</v>
      </c>
      <c r="H113" s="3"/>
      <c r="I113" s="3" t="s">
        <v>1554</v>
      </c>
      <c r="J113" s="3">
        <v>1</v>
      </c>
      <c r="K113" s="3">
        <v>1</v>
      </c>
      <c r="L113" s="3">
        <v>0</v>
      </c>
      <c r="M113" s="3">
        <v>0</v>
      </c>
      <c r="N113" s="3">
        <v>1</v>
      </c>
      <c r="O113" s="3">
        <v>0.12</v>
      </c>
      <c r="P113" s="3">
        <v>0</v>
      </c>
      <c r="Q113" s="3">
        <v>0</v>
      </c>
      <c r="R113" s="3">
        <v>0</v>
      </c>
    </row>
    <row r="114" spans="1:18">
      <c r="A114" s="3" t="s">
        <v>725</v>
      </c>
      <c r="B114" s="3" t="s">
        <v>726</v>
      </c>
      <c r="C114" s="3" t="s">
        <v>727</v>
      </c>
      <c r="D114" s="3" t="s">
        <v>728</v>
      </c>
      <c r="E114" s="3" t="s">
        <v>84</v>
      </c>
      <c r="F114" s="3">
        <v>47.9</v>
      </c>
      <c r="G114" s="3" t="s">
        <v>1553</v>
      </c>
      <c r="H114" s="3"/>
      <c r="I114" s="3" t="s">
        <v>1554</v>
      </c>
      <c r="J114" s="3">
        <v>1</v>
      </c>
      <c r="K114" s="3">
        <v>1</v>
      </c>
      <c r="L114" s="3">
        <v>0</v>
      </c>
      <c r="M114" s="3">
        <v>0</v>
      </c>
      <c r="N114" s="3">
        <v>1</v>
      </c>
      <c r="O114" s="3">
        <v>0.12</v>
      </c>
      <c r="P114" s="3">
        <v>0</v>
      </c>
      <c r="Q114" s="3">
        <v>0</v>
      </c>
      <c r="R114" s="3">
        <v>0</v>
      </c>
    </row>
    <row r="115" spans="1:18">
      <c r="A115" s="3" t="s">
        <v>1434</v>
      </c>
      <c r="B115" s="3" t="s">
        <v>1435</v>
      </c>
      <c r="C115" s="3" t="s">
        <v>1436</v>
      </c>
      <c r="D115" s="3" t="s">
        <v>1437</v>
      </c>
      <c r="E115" s="3" t="s">
        <v>84</v>
      </c>
      <c r="F115" s="3">
        <v>47.9</v>
      </c>
      <c r="G115" s="3" t="s">
        <v>1553</v>
      </c>
      <c r="H115" s="3"/>
      <c r="I115" s="3" t="s">
        <v>1554</v>
      </c>
      <c r="J115" s="3">
        <v>1</v>
      </c>
      <c r="K115" s="3">
        <v>1</v>
      </c>
      <c r="L115" s="3">
        <v>0</v>
      </c>
      <c r="M115" s="3">
        <v>0</v>
      </c>
      <c r="N115" s="3">
        <v>1</v>
      </c>
      <c r="O115" s="3">
        <v>0.12</v>
      </c>
      <c r="P115" s="3">
        <v>0</v>
      </c>
      <c r="Q115" s="3">
        <v>0</v>
      </c>
      <c r="R115" s="3">
        <v>0</v>
      </c>
    </row>
    <row r="116" spans="1:18">
      <c r="A116" s="3" t="s">
        <v>1616</v>
      </c>
      <c r="B116" s="3" t="s">
        <v>1617</v>
      </c>
      <c r="C116" s="3" t="s">
        <v>1618</v>
      </c>
      <c r="D116" s="3" t="s">
        <v>1619</v>
      </c>
      <c r="E116" s="3" t="s">
        <v>84</v>
      </c>
      <c r="F116" s="3">
        <v>47.9</v>
      </c>
      <c r="G116" s="3" t="s">
        <v>1553</v>
      </c>
      <c r="H116" s="3"/>
      <c r="I116" s="3" t="s">
        <v>1554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0.12</v>
      </c>
      <c r="P116" s="3">
        <v>0</v>
      </c>
      <c r="Q116" s="3">
        <v>0</v>
      </c>
      <c r="R116" s="3">
        <v>0</v>
      </c>
    </row>
    <row r="117" spans="1:18">
      <c r="A117" s="3" t="s">
        <v>1237</v>
      </c>
      <c r="B117" s="3" t="s">
        <v>1238</v>
      </c>
      <c r="C117" s="3" t="s">
        <v>1239</v>
      </c>
      <c r="D117" s="3" t="s">
        <v>1240</v>
      </c>
      <c r="E117" s="3" t="s">
        <v>84</v>
      </c>
      <c r="F117" s="3">
        <v>50.9</v>
      </c>
      <c r="G117" s="3" t="s">
        <v>1553</v>
      </c>
      <c r="H117" s="3"/>
      <c r="I117" s="3" t="s">
        <v>1554</v>
      </c>
      <c r="J117" s="3">
        <v>2</v>
      </c>
      <c r="K117" s="3">
        <v>2</v>
      </c>
      <c r="L117" s="3">
        <v>0</v>
      </c>
      <c r="M117" s="3">
        <v>0</v>
      </c>
      <c r="N117" s="3">
        <v>2</v>
      </c>
      <c r="O117" s="3">
        <v>0.11</v>
      </c>
      <c r="P117" s="3">
        <v>0</v>
      </c>
      <c r="Q117" s="3">
        <v>0</v>
      </c>
      <c r="R117" s="3">
        <v>0</v>
      </c>
    </row>
    <row r="118" spans="1:18">
      <c r="A118" s="3" t="s">
        <v>1620</v>
      </c>
      <c r="B118" s="3" t="s">
        <v>1621</v>
      </c>
      <c r="C118" s="3" t="s">
        <v>1622</v>
      </c>
      <c r="D118" s="3" t="s">
        <v>1623</v>
      </c>
      <c r="E118" s="3" t="s">
        <v>84</v>
      </c>
      <c r="F118" s="3">
        <v>50.9</v>
      </c>
      <c r="G118" s="3" t="s">
        <v>1553</v>
      </c>
      <c r="H118" s="3"/>
      <c r="I118" s="3" t="s">
        <v>1554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0.11</v>
      </c>
      <c r="P118" s="3">
        <v>0</v>
      </c>
      <c r="Q118" s="3">
        <v>0</v>
      </c>
      <c r="R118" s="3">
        <v>0</v>
      </c>
    </row>
    <row r="119" spans="1:18">
      <c r="A119" s="3" t="s">
        <v>1462</v>
      </c>
      <c r="B119" s="3" t="s">
        <v>1463</v>
      </c>
      <c r="C119" s="3" t="s">
        <v>1464</v>
      </c>
      <c r="D119" s="3" t="s">
        <v>1465</v>
      </c>
      <c r="E119" s="3" t="s">
        <v>84</v>
      </c>
      <c r="F119" s="3">
        <v>50.9</v>
      </c>
      <c r="G119" s="3" t="s">
        <v>1553</v>
      </c>
      <c r="H119" s="3"/>
      <c r="I119" s="3" t="s">
        <v>1554</v>
      </c>
      <c r="J119" s="3">
        <v>2</v>
      </c>
      <c r="K119" s="3">
        <v>2</v>
      </c>
      <c r="L119" s="3">
        <v>0</v>
      </c>
      <c r="M119" s="3">
        <v>0</v>
      </c>
      <c r="N119" s="3">
        <v>2</v>
      </c>
      <c r="O119" s="3">
        <v>0.11</v>
      </c>
      <c r="P119" s="3">
        <v>0</v>
      </c>
      <c r="Q119" s="3">
        <v>0</v>
      </c>
      <c r="R119" s="3">
        <v>0</v>
      </c>
    </row>
    <row r="120" spans="1:18">
      <c r="A120" s="3" t="s">
        <v>903</v>
      </c>
      <c r="B120" s="3" t="s">
        <v>904</v>
      </c>
      <c r="C120" s="3" t="s">
        <v>905</v>
      </c>
      <c r="D120" s="3" t="s">
        <v>906</v>
      </c>
      <c r="E120" s="3" t="s">
        <v>84</v>
      </c>
      <c r="F120" s="3">
        <v>50.9</v>
      </c>
      <c r="G120" s="3" t="s">
        <v>1553</v>
      </c>
      <c r="H120" s="3"/>
      <c r="I120" s="3" t="s">
        <v>1554</v>
      </c>
      <c r="J120" s="3">
        <v>1</v>
      </c>
      <c r="K120" s="3">
        <v>1</v>
      </c>
      <c r="L120" s="3">
        <v>0</v>
      </c>
      <c r="M120" s="3">
        <v>0</v>
      </c>
      <c r="N120" s="3">
        <v>1</v>
      </c>
      <c r="O120" s="3">
        <v>0.11</v>
      </c>
      <c r="P120" s="3">
        <v>0</v>
      </c>
      <c r="Q120" s="3">
        <v>0</v>
      </c>
      <c r="R120" s="3">
        <v>0</v>
      </c>
    </row>
    <row r="121" spans="1:18">
      <c r="A121" s="3" t="s">
        <v>532</v>
      </c>
      <c r="B121" s="3" t="s">
        <v>533</v>
      </c>
      <c r="C121" s="3" t="s">
        <v>534</v>
      </c>
      <c r="D121" s="3" t="s">
        <v>535</v>
      </c>
      <c r="E121" s="3" t="s">
        <v>84</v>
      </c>
      <c r="F121" s="3">
        <v>50.9</v>
      </c>
      <c r="G121" s="3" t="s">
        <v>1553</v>
      </c>
      <c r="H121" s="3"/>
      <c r="I121" s="3" t="s">
        <v>1554</v>
      </c>
      <c r="J121" s="3">
        <v>1</v>
      </c>
      <c r="K121" s="3">
        <v>1</v>
      </c>
      <c r="L121" s="3">
        <v>0</v>
      </c>
      <c r="M121" s="3">
        <v>0</v>
      </c>
      <c r="N121" s="3">
        <v>1</v>
      </c>
      <c r="O121" s="3">
        <v>0.11</v>
      </c>
      <c r="P121" s="3">
        <v>0</v>
      </c>
      <c r="Q121" s="3">
        <v>0</v>
      </c>
      <c r="R121" s="3">
        <v>0</v>
      </c>
    </row>
    <row r="122" spans="1:18">
      <c r="A122" s="3" t="s">
        <v>117</v>
      </c>
      <c r="B122" s="3" t="s">
        <v>118</v>
      </c>
      <c r="C122" s="3" t="s">
        <v>119</v>
      </c>
      <c r="D122" s="3" t="s">
        <v>120</v>
      </c>
      <c r="E122" s="3" t="s">
        <v>84</v>
      </c>
      <c r="F122" s="3">
        <v>50.9</v>
      </c>
      <c r="G122" s="3" t="s">
        <v>1553</v>
      </c>
      <c r="H122" s="3"/>
      <c r="I122" s="3" t="s">
        <v>1554</v>
      </c>
      <c r="J122" s="3">
        <v>1</v>
      </c>
      <c r="K122" s="3">
        <v>1</v>
      </c>
      <c r="L122" s="3">
        <v>0</v>
      </c>
      <c r="M122" s="3">
        <v>0</v>
      </c>
      <c r="N122" s="3">
        <v>1</v>
      </c>
      <c r="O122" s="3">
        <v>0.11</v>
      </c>
      <c r="P122" s="3">
        <v>0</v>
      </c>
      <c r="Q122" s="3">
        <v>0</v>
      </c>
      <c r="R122" s="3">
        <v>0</v>
      </c>
    </row>
    <row r="123" spans="1:18">
      <c r="A123" s="3" t="s">
        <v>733</v>
      </c>
      <c r="B123" s="3" t="s">
        <v>734</v>
      </c>
      <c r="C123" s="3" t="s">
        <v>735</v>
      </c>
      <c r="D123" s="3" t="s">
        <v>736</v>
      </c>
      <c r="E123" s="3" t="s">
        <v>84</v>
      </c>
      <c r="F123" s="3">
        <v>50.9</v>
      </c>
      <c r="G123" s="3" t="s">
        <v>1553</v>
      </c>
      <c r="H123" s="3"/>
      <c r="I123" s="3" t="s">
        <v>1554</v>
      </c>
      <c r="J123" s="3">
        <v>1</v>
      </c>
      <c r="K123" s="3">
        <v>1</v>
      </c>
      <c r="L123" s="3">
        <v>0</v>
      </c>
      <c r="M123" s="3">
        <v>0</v>
      </c>
      <c r="N123" s="3">
        <v>1</v>
      </c>
      <c r="O123" s="3">
        <v>0.11</v>
      </c>
      <c r="P123" s="3">
        <v>0</v>
      </c>
      <c r="Q123" s="3">
        <v>0</v>
      </c>
      <c r="R123" s="3">
        <v>0</v>
      </c>
    </row>
    <row r="124" spans="1:18">
      <c r="A124" s="3" t="s">
        <v>316</v>
      </c>
      <c r="B124" s="3" t="s">
        <v>317</v>
      </c>
      <c r="C124" s="3" t="s">
        <v>318</v>
      </c>
      <c r="D124" s="3" t="s">
        <v>319</v>
      </c>
      <c r="E124" s="3" t="s">
        <v>84</v>
      </c>
      <c r="F124" s="3">
        <v>50.9</v>
      </c>
      <c r="G124" s="3" t="s">
        <v>1553</v>
      </c>
      <c r="H124" s="3"/>
      <c r="I124" s="3" t="s">
        <v>1554</v>
      </c>
      <c r="J124" s="3">
        <v>1</v>
      </c>
      <c r="K124" s="3">
        <v>1</v>
      </c>
      <c r="L124" s="3">
        <v>0</v>
      </c>
      <c r="M124" s="3">
        <v>0</v>
      </c>
      <c r="N124" s="3">
        <v>1</v>
      </c>
      <c r="O124" s="3">
        <v>0.11</v>
      </c>
      <c r="P124" s="3">
        <v>0</v>
      </c>
      <c r="Q124" s="3">
        <v>0</v>
      </c>
      <c r="R124" s="3">
        <v>0</v>
      </c>
    </row>
    <row r="125" spans="1:18">
      <c r="A125" s="3" t="s">
        <v>1624</v>
      </c>
      <c r="B125" s="3" t="s">
        <v>1625</v>
      </c>
      <c r="C125" s="3" t="s">
        <v>1626</v>
      </c>
      <c r="D125" s="3" t="s">
        <v>1627</v>
      </c>
      <c r="E125" s="3" t="s">
        <v>84</v>
      </c>
      <c r="F125" s="3">
        <v>50.9</v>
      </c>
      <c r="G125" s="3" t="s">
        <v>1553</v>
      </c>
      <c r="H125" s="3"/>
      <c r="I125" s="3" t="s">
        <v>1554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0.11</v>
      </c>
      <c r="P125" s="3">
        <v>0</v>
      </c>
      <c r="Q125" s="3">
        <v>0</v>
      </c>
      <c r="R125" s="3">
        <v>0</v>
      </c>
    </row>
    <row r="126" spans="1:18">
      <c r="A126" s="3" t="s">
        <v>591</v>
      </c>
      <c r="B126" s="3" t="s">
        <v>592</v>
      </c>
      <c r="C126" s="3" t="s">
        <v>593</v>
      </c>
      <c r="D126" s="3" t="s">
        <v>594</v>
      </c>
      <c r="E126" s="3" t="s">
        <v>84</v>
      </c>
      <c r="F126" s="3">
        <v>53.9</v>
      </c>
      <c r="G126" s="3" t="s">
        <v>1553</v>
      </c>
      <c r="H126" s="3"/>
      <c r="I126" s="3" t="s">
        <v>1554</v>
      </c>
      <c r="J126" s="3">
        <v>1</v>
      </c>
      <c r="K126" s="3">
        <v>1</v>
      </c>
      <c r="L126" s="3">
        <v>0</v>
      </c>
      <c r="M126" s="3">
        <v>0</v>
      </c>
      <c r="N126" s="3">
        <v>1</v>
      </c>
      <c r="O126" s="3">
        <v>0.12</v>
      </c>
      <c r="P126" s="3">
        <v>0</v>
      </c>
      <c r="Q126" s="3">
        <v>0</v>
      </c>
      <c r="R126" s="3">
        <v>0</v>
      </c>
    </row>
    <row r="127" spans="1:18">
      <c r="A127" s="3" t="s">
        <v>1628</v>
      </c>
      <c r="B127" s="3" t="s">
        <v>1629</v>
      </c>
      <c r="C127" s="3" t="s">
        <v>1630</v>
      </c>
      <c r="D127" s="3" t="s">
        <v>1631</v>
      </c>
      <c r="E127" s="3" t="s">
        <v>84</v>
      </c>
      <c r="F127" s="3">
        <v>53.9</v>
      </c>
      <c r="G127" s="3" t="s">
        <v>1553</v>
      </c>
      <c r="H127" s="3"/>
      <c r="I127" s="3" t="s">
        <v>1554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0.12</v>
      </c>
      <c r="P127" s="3">
        <v>0</v>
      </c>
      <c r="Q127" s="3">
        <v>0</v>
      </c>
      <c r="R127" s="3">
        <v>0</v>
      </c>
    </row>
    <row r="128" spans="1:18">
      <c r="A128" s="3" t="s">
        <v>1145</v>
      </c>
      <c r="B128" s="3" t="s">
        <v>1146</v>
      </c>
      <c r="C128" s="3" t="s">
        <v>1147</v>
      </c>
      <c r="D128" s="3" t="s">
        <v>1148</v>
      </c>
      <c r="E128" s="3" t="s">
        <v>84</v>
      </c>
      <c r="F128" s="3">
        <v>53.9</v>
      </c>
      <c r="G128" s="3" t="s">
        <v>1553</v>
      </c>
      <c r="H128" s="3"/>
      <c r="I128" s="3" t="s">
        <v>1554</v>
      </c>
      <c r="J128" s="3">
        <v>1</v>
      </c>
      <c r="K128" s="3">
        <v>1</v>
      </c>
      <c r="L128" s="3">
        <v>0</v>
      </c>
      <c r="M128" s="3">
        <v>0</v>
      </c>
      <c r="N128" s="3">
        <v>1</v>
      </c>
      <c r="O128" s="3">
        <v>0.12</v>
      </c>
      <c r="P128" s="3">
        <v>0</v>
      </c>
      <c r="Q128" s="3">
        <v>0</v>
      </c>
      <c r="R128" s="3">
        <v>0</v>
      </c>
    </row>
    <row r="129" spans="1:18">
      <c r="A129" s="3" t="s">
        <v>1225</v>
      </c>
      <c r="B129" s="3" t="s">
        <v>1226</v>
      </c>
      <c r="C129" s="3" t="s">
        <v>1227</v>
      </c>
      <c r="D129" s="3" t="s">
        <v>1228</v>
      </c>
      <c r="E129" s="3" t="s">
        <v>84</v>
      </c>
      <c r="F129" s="3">
        <v>53.9</v>
      </c>
      <c r="G129" s="3" t="s">
        <v>1553</v>
      </c>
      <c r="H129" s="3"/>
      <c r="I129" s="3" t="s">
        <v>1554</v>
      </c>
      <c r="J129" s="3">
        <v>1</v>
      </c>
      <c r="K129" s="3">
        <v>1</v>
      </c>
      <c r="L129" s="3">
        <v>0</v>
      </c>
      <c r="M129" s="3">
        <v>0</v>
      </c>
      <c r="N129" s="3">
        <v>1</v>
      </c>
      <c r="O129" s="3">
        <v>0.12</v>
      </c>
      <c r="P129" s="3">
        <v>0</v>
      </c>
      <c r="Q129" s="3">
        <v>0</v>
      </c>
      <c r="R129" s="3">
        <v>0</v>
      </c>
    </row>
    <row r="130" spans="1:18">
      <c r="A130" s="3" t="s">
        <v>1253</v>
      </c>
      <c r="B130" s="3" t="s">
        <v>1254</v>
      </c>
      <c r="C130" s="3" t="s">
        <v>1255</v>
      </c>
      <c r="D130" s="3" t="s">
        <v>1256</v>
      </c>
      <c r="E130" s="3" t="s">
        <v>84</v>
      </c>
      <c r="F130" s="3">
        <v>53.9</v>
      </c>
      <c r="G130" s="3" t="s">
        <v>1553</v>
      </c>
      <c r="H130" s="3"/>
      <c r="I130" s="3" t="s">
        <v>1554</v>
      </c>
      <c r="J130" s="3">
        <v>2</v>
      </c>
      <c r="K130" s="3">
        <v>2</v>
      </c>
      <c r="L130" s="3">
        <v>0</v>
      </c>
      <c r="M130" s="3">
        <v>0</v>
      </c>
      <c r="N130" s="3">
        <v>2</v>
      </c>
      <c r="O130" s="3">
        <v>0.12</v>
      </c>
      <c r="P130" s="3">
        <v>0</v>
      </c>
      <c r="Q130" s="3">
        <v>0</v>
      </c>
      <c r="R130" s="3">
        <v>0</v>
      </c>
    </row>
    <row r="131" spans="1:18">
      <c r="A131" s="3" t="s">
        <v>479</v>
      </c>
      <c r="B131" s="3" t="s">
        <v>480</v>
      </c>
      <c r="C131" s="3" t="s">
        <v>481</v>
      </c>
      <c r="D131" s="3" t="s">
        <v>482</v>
      </c>
      <c r="E131" s="3" t="s">
        <v>84</v>
      </c>
      <c r="F131" s="3">
        <v>35.9</v>
      </c>
      <c r="G131" s="3" t="s">
        <v>1553</v>
      </c>
      <c r="H131" s="3"/>
      <c r="I131" s="3" t="s">
        <v>1554</v>
      </c>
      <c r="J131" s="3">
        <v>45</v>
      </c>
      <c r="K131" s="3">
        <v>45</v>
      </c>
      <c r="L131" s="3">
        <v>0</v>
      </c>
      <c r="M131" s="3">
        <v>0</v>
      </c>
      <c r="N131" s="3">
        <v>45</v>
      </c>
      <c r="O131" s="3">
        <v>0.12</v>
      </c>
      <c r="P131" s="3">
        <v>0</v>
      </c>
      <c r="Q131" s="3">
        <v>0</v>
      </c>
      <c r="R131" s="3">
        <v>0</v>
      </c>
    </row>
    <row r="132" spans="1:18">
      <c r="A132" s="3" t="s">
        <v>1438</v>
      </c>
      <c r="B132" s="3" t="s">
        <v>1439</v>
      </c>
      <c r="C132" s="3" t="s">
        <v>1440</v>
      </c>
      <c r="D132" s="3" t="s">
        <v>1441</v>
      </c>
      <c r="E132" s="3" t="s">
        <v>84</v>
      </c>
      <c r="F132" s="3">
        <v>35.9</v>
      </c>
      <c r="G132" s="3" t="s">
        <v>1553</v>
      </c>
      <c r="H132" s="3"/>
      <c r="I132" s="3" t="s">
        <v>1554</v>
      </c>
      <c r="J132" s="3">
        <v>41</v>
      </c>
      <c r="K132" s="3">
        <v>41</v>
      </c>
      <c r="L132" s="3">
        <v>0</v>
      </c>
      <c r="M132" s="3">
        <v>0</v>
      </c>
      <c r="N132" s="3">
        <v>41</v>
      </c>
      <c r="O132" s="3">
        <v>0.12</v>
      </c>
      <c r="P132" s="3">
        <v>0</v>
      </c>
      <c r="Q132" s="3">
        <v>0</v>
      </c>
      <c r="R132" s="3">
        <v>0</v>
      </c>
    </row>
    <row r="133" spans="1:18">
      <c r="A133" s="3" t="s">
        <v>765</v>
      </c>
      <c r="B133" s="3" t="s">
        <v>766</v>
      </c>
      <c r="C133" s="3" t="s">
        <v>767</v>
      </c>
      <c r="D133" s="3" t="s">
        <v>768</v>
      </c>
      <c r="E133" s="3" t="s">
        <v>84</v>
      </c>
      <c r="F133" s="3">
        <v>35.9</v>
      </c>
      <c r="G133" s="3" t="s">
        <v>1553</v>
      </c>
      <c r="H133" s="3"/>
      <c r="I133" s="3" t="s">
        <v>1554</v>
      </c>
      <c r="J133" s="3">
        <v>46</v>
      </c>
      <c r="K133" s="3">
        <v>46</v>
      </c>
      <c r="L133" s="3">
        <v>0</v>
      </c>
      <c r="M133" s="3">
        <v>0</v>
      </c>
      <c r="N133" s="3">
        <v>46</v>
      </c>
      <c r="O133" s="3">
        <v>0.12</v>
      </c>
      <c r="P133" s="3">
        <v>0</v>
      </c>
      <c r="Q133" s="3">
        <v>0</v>
      </c>
      <c r="R133" s="3">
        <v>0</v>
      </c>
    </row>
    <row r="134" spans="1:18">
      <c r="A134" s="3" t="s">
        <v>1018</v>
      </c>
      <c r="B134" s="3" t="s">
        <v>1019</v>
      </c>
      <c r="C134" s="3" t="s">
        <v>1020</v>
      </c>
      <c r="D134" s="3" t="s">
        <v>1021</v>
      </c>
      <c r="E134" s="3" t="s">
        <v>84</v>
      </c>
      <c r="F134" s="3">
        <v>35.9</v>
      </c>
      <c r="G134" s="3" t="s">
        <v>1553</v>
      </c>
      <c r="H134" s="3"/>
      <c r="I134" s="3" t="s">
        <v>1554</v>
      </c>
      <c r="J134" s="3">
        <v>47</v>
      </c>
      <c r="K134" s="3">
        <v>47</v>
      </c>
      <c r="L134" s="3">
        <v>0</v>
      </c>
      <c r="M134" s="3">
        <v>0</v>
      </c>
      <c r="N134" s="3">
        <v>47</v>
      </c>
      <c r="O134" s="3">
        <v>0.12</v>
      </c>
      <c r="P134" s="3">
        <v>0</v>
      </c>
      <c r="Q134" s="3">
        <v>0</v>
      </c>
      <c r="R134" s="3">
        <v>0</v>
      </c>
    </row>
    <row r="135" spans="1:18">
      <c r="A135" s="3" t="s">
        <v>976</v>
      </c>
      <c r="B135" s="3" t="s">
        <v>977</v>
      </c>
      <c r="C135" s="3" t="s">
        <v>978</v>
      </c>
      <c r="D135" s="3" t="s">
        <v>979</v>
      </c>
      <c r="E135" s="3" t="s">
        <v>84</v>
      </c>
      <c r="F135" s="3">
        <v>35.9</v>
      </c>
      <c r="G135" s="3" t="s">
        <v>1553</v>
      </c>
      <c r="H135" s="3"/>
      <c r="I135" s="3" t="s">
        <v>1554</v>
      </c>
      <c r="J135" s="3">
        <v>37</v>
      </c>
      <c r="K135" s="3">
        <v>37</v>
      </c>
      <c r="L135" s="3">
        <v>0</v>
      </c>
      <c r="M135" s="3">
        <v>0</v>
      </c>
      <c r="N135" s="3">
        <v>37</v>
      </c>
      <c r="O135" s="3">
        <v>0.12</v>
      </c>
      <c r="P135" s="3">
        <v>0</v>
      </c>
      <c r="Q135" s="3">
        <v>0</v>
      </c>
      <c r="R135" s="3">
        <v>0</v>
      </c>
    </row>
    <row r="136" spans="1:18">
      <c r="A136" s="3" t="s">
        <v>190</v>
      </c>
      <c r="B136" s="3" t="s">
        <v>191</v>
      </c>
      <c r="C136" s="3" t="s">
        <v>192</v>
      </c>
      <c r="D136" s="3" t="s">
        <v>193</v>
      </c>
      <c r="E136" s="3" t="s">
        <v>84</v>
      </c>
      <c r="F136" s="3">
        <v>9.99</v>
      </c>
      <c r="G136" s="3" t="s">
        <v>1553</v>
      </c>
      <c r="H136" s="3"/>
      <c r="I136" s="3" t="s">
        <v>1554</v>
      </c>
      <c r="J136" s="3">
        <v>44</v>
      </c>
      <c r="K136" s="3">
        <v>44</v>
      </c>
      <c r="L136" s="3">
        <v>0</v>
      </c>
      <c r="M136" s="3">
        <v>0</v>
      </c>
      <c r="N136" s="3">
        <v>44</v>
      </c>
      <c r="O136" s="3">
        <v>0.12</v>
      </c>
      <c r="P136" s="3">
        <v>0</v>
      </c>
      <c r="Q136" s="3">
        <v>0</v>
      </c>
      <c r="R136" s="3">
        <v>0</v>
      </c>
    </row>
    <row r="137" spans="1:18">
      <c r="A137" s="3" t="s">
        <v>28</v>
      </c>
      <c r="B137" s="3" t="s">
        <v>29</v>
      </c>
      <c r="C137" s="3" t="s">
        <v>30</v>
      </c>
      <c r="D137" s="3" t="s">
        <v>31</v>
      </c>
      <c r="E137" s="3" t="s">
        <v>84</v>
      </c>
      <c r="F137" s="3">
        <v>35.9</v>
      </c>
      <c r="G137" s="3" t="s">
        <v>1553</v>
      </c>
      <c r="H137" s="3"/>
      <c r="I137" s="3" t="s">
        <v>1554</v>
      </c>
      <c r="J137" s="3">
        <v>34</v>
      </c>
      <c r="K137" s="3">
        <v>33</v>
      </c>
      <c r="L137" s="3">
        <v>0</v>
      </c>
      <c r="M137" s="3">
        <v>1</v>
      </c>
      <c r="N137" s="3">
        <v>34</v>
      </c>
      <c r="O137" s="3">
        <v>0.12</v>
      </c>
      <c r="P137" s="3">
        <v>0</v>
      </c>
      <c r="Q137" s="3">
        <v>0</v>
      </c>
      <c r="R137" s="3">
        <v>0</v>
      </c>
    </row>
    <row r="138" spans="1:18">
      <c r="A138" s="3" t="s">
        <v>24</v>
      </c>
      <c r="B138" s="3" t="s">
        <v>25</v>
      </c>
      <c r="C138" s="3" t="s">
        <v>26</v>
      </c>
      <c r="D138" s="3" t="s">
        <v>27</v>
      </c>
      <c r="E138" s="3" t="s">
        <v>84</v>
      </c>
      <c r="F138" s="3">
        <v>35.9</v>
      </c>
      <c r="G138" s="3" t="s">
        <v>1553</v>
      </c>
      <c r="H138" s="3"/>
      <c r="I138" s="3" t="s">
        <v>1554</v>
      </c>
      <c r="J138" s="3">
        <v>30</v>
      </c>
      <c r="K138" s="3">
        <v>28</v>
      </c>
      <c r="L138" s="3">
        <v>0</v>
      </c>
      <c r="M138" s="3">
        <v>2</v>
      </c>
      <c r="N138" s="3">
        <v>30</v>
      </c>
      <c r="O138" s="3">
        <v>0.12</v>
      </c>
      <c r="P138" s="3">
        <v>0</v>
      </c>
      <c r="Q138" s="3">
        <v>0</v>
      </c>
      <c r="R138" s="3">
        <v>0</v>
      </c>
    </row>
    <row r="139" spans="1:18">
      <c r="A139" s="3" t="s">
        <v>801</v>
      </c>
      <c r="B139" s="3" t="s">
        <v>802</v>
      </c>
      <c r="C139" s="3" t="s">
        <v>803</v>
      </c>
      <c r="D139" s="3" t="s">
        <v>804</v>
      </c>
      <c r="E139" s="3" t="s">
        <v>84</v>
      </c>
      <c r="F139" s="3">
        <v>35.9</v>
      </c>
      <c r="G139" s="3" t="s">
        <v>1553</v>
      </c>
      <c r="H139" s="3"/>
      <c r="I139" s="3" t="s">
        <v>1554</v>
      </c>
      <c r="J139" s="3">
        <v>35</v>
      </c>
      <c r="K139" s="3">
        <v>35</v>
      </c>
      <c r="L139" s="3">
        <v>0</v>
      </c>
      <c r="M139" s="3">
        <v>0</v>
      </c>
      <c r="N139" s="3">
        <v>35</v>
      </c>
      <c r="O139" s="3">
        <v>0.12</v>
      </c>
      <c r="P139" s="3">
        <v>0</v>
      </c>
      <c r="Q139" s="3">
        <v>0</v>
      </c>
      <c r="R139" s="3">
        <v>0</v>
      </c>
    </row>
    <row r="140" spans="1:18">
      <c r="A140" s="3" t="s">
        <v>1405</v>
      </c>
      <c r="B140" s="3" t="s">
        <v>1406</v>
      </c>
      <c r="C140" s="3" t="s">
        <v>1407</v>
      </c>
      <c r="D140" s="3" t="s">
        <v>1408</v>
      </c>
      <c r="E140" s="3" t="s">
        <v>84</v>
      </c>
      <c r="F140" s="3">
        <v>35.9</v>
      </c>
      <c r="G140" s="3" t="s">
        <v>1553</v>
      </c>
      <c r="H140" s="3"/>
      <c r="I140" s="3" t="s">
        <v>1554</v>
      </c>
      <c r="J140" s="3">
        <v>36</v>
      </c>
      <c r="K140" s="3">
        <v>36</v>
      </c>
      <c r="L140" s="3">
        <v>0</v>
      </c>
      <c r="M140" s="3">
        <v>0</v>
      </c>
      <c r="N140" s="3">
        <v>36</v>
      </c>
      <c r="O140" s="3">
        <v>0.12</v>
      </c>
      <c r="P140" s="3">
        <v>0</v>
      </c>
      <c r="Q140" s="3">
        <v>0</v>
      </c>
      <c r="R140" s="3">
        <v>0</v>
      </c>
    </row>
    <row r="141" spans="1:18">
      <c r="A141" s="3" t="s">
        <v>1249</v>
      </c>
      <c r="B141" s="3" t="s">
        <v>1250</v>
      </c>
      <c r="C141" s="3" t="s">
        <v>1251</v>
      </c>
      <c r="D141" s="3" t="s">
        <v>1252</v>
      </c>
      <c r="E141" s="3" t="s">
        <v>84</v>
      </c>
      <c r="F141" s="3">
        <v>35.9</v>
      </c>
      <c r="G141" s="3" t="s">
        <v>1553</v>
      </c>
      <c r="H141" s="3"/>
      <c r="I141" s="3" t="s">
        <v>1554</v>
      </c>
      <c r="J141" s="3">
        <v>34</v>
      </c>
      <c r="K141" s="3">
        <v>34</v>
      </c>
      <c r="L141" s="3">
        <v>0</v>
      </c>
      <c r="M141" s="3">
        <v>0</v>
      </c>
      <c r="N141" s="3">
        <v>34</v>
      </c>
      <c r="O141" s="3">
        <v>0.12</v>
      </c>
      <c r="P141" s="3">
        <v>0</v>
      </c>
      <c r="Q141" s="3">
        <v>0</v>
      </c>
      <c r="R141" s="3">
        <v>0</v>
      </c>
    </row>
    <row r="142" spans="1:18">
      <c r="A142" s="3" t="s">
        <v>20</v>
      </c>
      <c r="B142" s="3" t="s">
        <v>21</v>
      </c>
      <c r="C142" s="3" t="s">
        <v>22</v>
      </c>
      <c r="D142" s="3" t="s">
        <v>23</v>
      </c>
      <c r="E142" s="3" t="s">
        <v>84</v>
      </c>
      <c r="F142" s="3">
        <v>35.9</v>
      </c>
      <c r="G142" s="3" t="s">
        <v>1553</v>
      </c>
      <c r="H142" s="3"/>
      <c r="I142" s="3" t="s">
        <v>1554</v>
      </c>
      <c r="J142" s="3">
        <v>35</v>
      </c>
      <c r="K142" s="3">
        <v>34</v>
      </c>
      <c r="L142" s="3">
        <v>0</v>
      </c>
      <c r="M142" s="3">
        <v>1</v>
      </c>
      <c r="N142" s="3">
        <v>35</v>
      </c>
      <c r="O142" s="3">
        <v>0.12</v>
      </c>
      <c r="P142" s="3">
        <v>0</v>
      </c>
      <c r="Q142" s="3">
        <v>0</v>
      </c>
      <c r="R142" s="3">
        <v>0</v>
      </c>
    </row>
    <row r="143" spans="1:18">
      <c r="A143" s="3" t="s">
        <v>1261</v>
      </c>
      <c r="B143" s="3" t="s">
        <v>1262</v>
      </c>
      <c r="C143" s="3" t="s">
        <v>1263</v>
      </c>
      <c r="D143" s="3" t="s">
        <v>1264</v>
      </c>
      <c r="E143" s="3" t="s">
        <v>84</v>
      </c>
      <c r="F143" s="3">
        <v>41.9</v>
      </c>
      <c r="G143" s="3" t="s">
        <v>1553</v>
      </c>
      <c r="H143" s="3"/>
      <c r="I143" s="3" t="s">
        <v>1554</v>
      </c>
      <c r="J143" s="3">
        <v>6</v>
      </c>
      <c r="K143" s="3">
        <v>6</v>
      </c>
      <c r="L143" s="3">
        <v>0</v>
      </c>
      <c r="M143" s="3">
        <v>0</v>
      </c>
      <c r="N143" s="3">
        <v>6</v>
      </c>
      <c r="O143" s="3">
        <v>0.14</v>
      </c>
      <c r="P143" s="3">
        <v>0</v>
      </c>
      <c r="Q143" s="3">
        <v>0</v>
      </c>
      <c r="R143" s="3">
        <v>0</v>
      </c>
    </row>
    <row r="144" spans="1:18">
      <c r="A144" s="3" t="s">
        <v>1162</v>
      </c>
      <c r="B144" s="3" t="s">
        <v>1163</v>
      </c>
      <c r="C144" s="3" t="s">
        <v>1164</v>
      </c>
      <c r="D144" s="3" t="s">
        <v>1165</v>
      </c>
      <c r="E144" s="3" t="s">
        <v>84</v>
      </c>
      <c r="F144" s="3">
        <v>41.9</v>
      </c>
      <c r="G144" s="3" t="s">
        <v>1553</v>
      </c>
      <c r="H144" s="3"/>
      <c r="I144" s="3" t="s">
        <v>1554</v>
      </c>
      <c r="J144" s="3">
        <v>3</v>
      </c>
      <c r="K144" s="3">
        <v>3</v>
      </c>
      <c r="L144" s="3">
        <v>0</v>
      </c>
      <c r="M144" s="3">
        <v>0</v>
      </c>
      <c r="N144" s="3">
        <v>3</v>
      </c>
      <c r="O144" s="3">
        <v>0.14</v>
      </c>
      <c r="P144" s="3">
        <v>0</v>
      </c>
      <c r="Q144" s="3">
        <v>0</v>
      </c>
      <c r="R144" s="3">
        <v>0</v>
      </c>
    </row>
    <row r="145" spans="1:18">
      <c r="A145" s="3" t="s">
        <v>761</v>
      </c>
      <c r="B145" s="3" t="s">
        <v>762</v>
      </c>
      <c r="C145" s="3" t="s">
        <v>763</v>
      </c>
      <c r="D145" s="3" t="s">
        <v>764</v>
      </c>
      <c r="E145" s="3" t="s">
        <v>84</v>
      </c>
      <c r="F145" s="3">
        <v>41.9</v>
      </c>
      <c r="G145" s="3" t="s">
        <v>1553</v>
      </c>
      <c r="H145" s="3"/>
      <c r="I145" s="3" t="s">
        <v>1554</v>
      </c>
      <c r="J145" s="3">
        <v>1</v>
      </c>
      <c r="K145" s="3">
        <v>1</v>
      </c>
      <c r="L145" s="3">
        <v>0</v>
      </c>
      <c r="M145" s="3">
        <v>0</v>
      </c>
      <c r="N145" s="3">
        <v>1</v>
      </c>
      <c r="O145" s="3">
        <v>0.14</v>
      </c>
      <c r="P145" s="3">
        <v>0</v>
      </c>
      <c r="Q145" s="3">
        <v>0</v>
      </c>
      <c r="R145" s="3">
        <v>0</v>
      </c>
    </row>
    <row r="146" spans="1:18">
      <c r="A146" s="3" t="s">
        <v>1318</v>
      </c>
      <c r="B146" s="3" t="s">
        <v>1319</v>
      </c>
      <c r="C146" s="3" t="s">
        <v>1320</v>
      </c>
      <c r="D146" s="3" t="s">
        <v>1321</v>
      </c>
      <c r="E146" s="3" t="s">
        <v>84</v>
      </c>
      <c r="F146" s="3">
        <v>41.9</v>
      </c>
      <c r="G146" s="3" t="s">
        <v>1553</v>
      </c>
      <c r="H146" s="3"/>
      <c r="I146" s="3" t="s">
        <v>1554</v>
      </c>
      <c r="J146" s="3">
        <v>10</v>
      </c>
      <c r="K146" s="3">
        <v>10</v>
      </c>
      <c r="L146" s="3">
        <v>0</v>
      </c>
      <c r="M146" s="3">
        <v>0</v>
      </c>
      <c r="N146" s="3">
        <v>10</v>
      </c>
      <c r="O146" s="3">
        <v>0.14</v>
      </c>
      <c r="P146" s="3">
        <v>0</v>
      </c>
      <c r="Q146" s="3">
        <v>0</v>
      </c>
      <c r="R146" s="3">
        <v>0</v>
      </c>
    </row>
    <row r="147" spans="1:18">
      <c r="A147" s="3" t="s">
        <v>566</v>
      </c>
      <c r="B147" s="3" t="s">
        <v>567</v>
      </c>
      <c r="C147" s="3" t="s">
        <v>568</v>
      </c>
      <c r="D147" s="3" t="s">
        <v>569</v>
      </c>
      <c r="E147" s="3" t="s">
        <v>84</v>
      </c>
      <c r="F147" s="3">
        <v>41.9</v>
      </c>
      <c r="G147" s="3" t="s">
        <v>1553</v>
      </c>
      <c r="H147" s="3"/>
      <c r="I147" s="3" t="s">
        <v>1554</v>
      </c>
      <c r="J147" s="3">
        <v>12</v>
      </c>
      <c r="K147" s="3">
        <v>12</v>
      </c>
      <c r="L147" s="3">
        <v>0</v>
      </c>
      <c r="M147" s="3">
        <v>0</v>
      </c>
      <c r="N147" s="3">
        <v>12</v>
      </c>
      <c r="O147" s="3">
        <v>0.14</v>
      </c>
      <c r="P147" s="3">
        <v>0</v>
      </c>
      <c r="Q147" s="3">
        <v>0</v>
      </c>
      <c r="R147" s="3">
        <v>0</v>
      </c>
    </row>
    <row r="148" spans="1:18">
      <c r="A148" s="3" t="s">
        <v>1632</v>
      </c>
      <c r="B148" s="3" t="s">
        <v>1633</v>
      </c>
      <c r="C148" s="3" t="s">
        <v>1634</v>
      </c>
      <c r="D148" s="3" t="s">
        <v>1635</v>
      </c>
      <c r="E148" s="3" t="s">
        <v>84</v>
      </c>
      <c r="F148" s="3">
        <v>41.9</v>
      </c>
      <c r="G148" s="3" t="s">
        <v>1553</v>
      </c>
      <c r="H148" s="3"/>
      <c r="I148" s="3" t="s">
        <v>1554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0.14</v>
      </c>
      <c r="P148" s="3">
        <v>0</v>
      </c>
      <c r="Q148" s="3">
        <v>0</v>
      </c>
      <c r="R148" s="3">
        <v>0</v>
      </c>
    </row>
    <row r="149" spans="1:18">
      <c r="A149" s="3" t="s">
        <v>701</v>
      </c>
      <c r="B149" s="3" t="s">
        <v>702</v>
      </c>
      <c r="C149" s="3" t="s">
        <v>703</v>
      </c>
      <c r="D149" s="3" t="s">
        <v>704</v>
      </c>
      <c r="E149" s="3" t="s">
        <v>84</v>
      </c>
      <c r="F149" s="3">
        <v>41.9</v>
      </c>
      <c r="G149" s="3" t="s">
        <v>1553</v>
      </c>
      <c r="H149" s="3"/>
      <c r="I149" s="3" t="s">
        <v>1554</v>
      </c>
      <c r="J149" s="3">
        <v>2</v>
      </c>
      <c r="K149" s="3">
        <v>2</v>
      </c>
      <c r="L149" s="3">
        <v>0</v>
      </c>
      <c r="M149" s="3">
        <v>0</v>
      </c>
      <c r="N149" s="3">
        <v>2</v>
      </c>
      <c r="O149" s="3">
        <v>0.14</v>
      </c>
      <c r="P149" s="3">
        <v>0</v>
      </c>
      <c r="Q149" s="3">
        <v>0</v>
      </c>
      <c r="R149" s="3">
        <v>0</v>
      </c>
    </row>
    <row r="150" spans="1:18">
      <c r="A150" s="3" t="s">
        <v>626</v>
      </c>
      <c r="B150" s="3" t="s">
        <v>627</v>
      </c>
      <c r="C150" s="3" t="s">
        <v>628</v>
      </c>
      <c r="D150" s="3" t="s">
        <v>629</v>
      </c>
      <c r="E150" s="3" t="s">
        <v>84</v>
      </c>
      <c r="F150" s="3">
        <v>41.9</v>
      </c>
      <c r="G150" s="3" t="s">
        <v>1553</v>
      </c>
      <c r="H150" s="3"/>
      <c r="I150" s="3" t="s">
        <v>1554</v>
      </c>
      <c r="J150" s="3">
        <v>4</v>
      </c>
      <c r="K150" s="3">
        <v>4</v>
      </c>
      <c r="L150" s="3">
        <v>0</v>
      </c>
      <c r="M150" s="3">
        <v>0</v>
      </c>
      <c r="N150" s="3">
        <v>4</v>
      </c>
      <c r="O150" s="3">
        <v>0.11</v>
      </c>
      <c r="P150" s="3">
        <v>0</v>
      </c>
      <c r="Q150" s="3">
        <v>0</v>
      </c>
      <c r="R150" s="3">
        <v>0</v>
      </c>
    </row>
    <row r="151" spans="1:18">
      <c r="A151" s="3" t="s">
        <v>1373</v>
      </c>
      <c r="B151" s="3" t="s">
        <v>1374</v>
      </c>
      <c r="C151" s="3" t="s">
        <v>1375</v>
      </c>
      <c r="D151" s="3" t="s">
        <v>1376</v>
      </c>
      <c r="E151" s="3" t="s">
        <v>84</v>
      </c>
      <c r="F151" s="3">
        <v>41.9</v>
      </c>
      <c r="G151" s="3" t="s">
        <v>1553</v>
      </c>
      <c r="H151" s="3"/>
      <c r="I151" s="3" t="s">
        <v>1554</v>
      </c>
      <c r="J151" s="3">
        <v>4</v>
      </c>
      <c r="K151" s="3">
        <v>4</v>
      </c>
      <c r="L151" s="3">
        <v>0</v>
      </c>
      <c r="M151" s="3">
        <v>0</v>
      </c>
      <c r="N151" s="3">
        <v>4</v>
      </c>
      <c r="O151" s="3">
        <v>0.14</v>
      </c>
      <c r="P151" s="3">
        <v>0</v>
      </c>
      <c r="Q151" s="3">
        <v>0</v>
      </c>
      <c r="R151" s="3">
        <v>0</v>
      </c>
    </row>
    <row r="152" spans="1:18">
      <c r="A152" s="3" t="s">
        <v>1278</v>
      </c>
      <c r="B152" s="3" t="s">
        <v>1279</v>
      </c>
      <c r="C152" s="3" t="s">
        <v>1280</v>
      </c>
      <c r="D152" s="3" t="s">
        <v>1281</v>
      </c>
      <c r="E152" s="3" t="s">
        <v>84</v>
      </c>
      <c r="F152" s="3">
        <v>41.9</v>
      </c>
      <c r="G152" s="3" t="s">
        <v>1553</v>
      </c>
      <c r="H152" s="3"/>
      <c r="I152" s="3" t="s">
        <v>1554</v>
      </c>
      <c r="J152" s="3">
        <v>5</v>
      </c>
      <c r="K152" s="3">
        <v>5</v>
      </c>
      <c r="L152" s="3">
        <v>0</v>
      </c>
      <c r="M152" s="3">
        <v>0</v>
      </c>
      <c r="N152" s="3">
        <v>5</v>
      </c>
      <c r="O152" s="3">
        <v>0.14</v>
      </c>
      <c r="P152" s="3">
        <v>0</v>
      </c>
      <c r="Q152" s="3">
        <v>0</v>
      </c>
      <c r="R152" s="3">
        <v>0</v>
      </c>
    </row>
    <row r="153" spans="1:18">
      <c r="A153" s="3" t="s">
        <v>1458</v>
      </c>
      <c r="B153" s="3" t="s">
        <v>1459</v>
      </c>
      <c r="C153" s="3" t="s">
        <v>1460</v>
      </c>
      <c r="D153" s="3" t="s">
        <v>1461</v>
      </c>
      <c r="E153" s="3" t="s">
        <v>84</v>
      </c>
      <c r="F153" s="3">
        <v>41.9</v>
      </c>
      <c r="G153" s="3" t="s">
        <v>1553</v>
      </c>
      <c r="H153" s="3"/>
      <c r="I153" s="3" t="s">
        <v>1554</v>
      </c>
      <c r="J153" s="3">
        <v>12</v>
      </c>
      <c r="K153" s="3">
        <v>12</v>
      </c>
      <c r="L153" s="3">
        <v>0</v>
      </c>
      <c r="M153" s="3">
        <v>0</v>
      </c>
      <c r="N153" s="3">
        <v>12</v>
      </c>
      <c r="O153" s="3">
        <v>0.14</v>
      </c>
      <c r="P153" s="3">
        <v>0</v>
      </c>
      <c r="Q153" s="3">
        <v>0</v>
      </c>
      <c r="R153" s="3">
        <v>0</v>
      </c>
    </row>
    <row r="154" spans="1:18">
      <c r="A154" s="3" t="s">
        <v>136</v>
      </c>
      <c r="B154" s="3" t="s">
        <v>137</v>
      </c>
      <c r="C154" s="3" t="s">
        <v>138</v>
      </c>
      <c r="D154" s="3" t="s">
        <v>139</v>
      </c>
      <c r="E154" s="3" t="s">
        <v>84</v>
      </c>
      <c r="F154" s="3">
        <v>41.9</v>
      </c>
      <c r="G154" s="3" t="s">
        <v>1553</v>
      </c>
      <c r="H154" s="3"/>
      <c r="I154" s="3" t="s">
        <v>1554</v>
      </c>
      <c r="J154" s="3">
        <v>1</v>
      </c>
      <c r="K154" s="3">
        <v>1</v>
      </c>
      <c r="L154" s="3">
        <v>0</v>
      </c>
      <c r="M154" s="3">
        <v>0</v>
      </c>
      <c r="N154" s="3">
        <v>1</v>
      </c>
      <c r="O154" s="3">
        <v>0.14</v>
      </c>
      <c r="P154" s="3">
        <v>0</v>
      </c>
      <c r="Q154" s="3">
        <v>0</v>
      </c>
      <c r="R154" s="3">
        <v>0</v>
      </c>
    </row>
    <row r="155" spans="1:18">
      <c r="A155" s="3" t="s">
        <v>745</v>
      </c>
      <c r="B155" s="3" t="s">
        <v>746</v>
      </c>
      <c r="C155" s="3" t="s">
        <v>747</v>
      </c>
      <c r="D155" s="3" t="s">
        <v>748</v>
      </c>
      <c r="E155" s="3" t="s">
        <v>84</v>
      </c>
      <c r="F155" s="3">
        <v>41.9</v>
      </c>
      <c r="G155" s="3" t="s">
        <v>1553</v>
      </c>
      <c r="H155" s="3"/>
      <c r="I155" s="3" t="s">
        <v>1554</v>
      </c>
      <c r="J155" s="3">
        <v>8</v>
      </c>
      <c r="K155" s="3">
        <v>8</v>
      </c>
      <c r="L155" s="3">
        <v>0</v>
      </c>
      <c r="M155" s="3">
        <v>0</v>
      </c>
      <c r="N155" s="3">
        <v>8</v>
      </c>
      <c r="O155" s="3">
        <v>0.14</v>
      </c>
      <c r="P155" s="3">
        <v>0</v>
      </c>
      <c r="Q155" s="3">
        <v>0</v>
      </c>
      <c r="R155" s="3">
        <v>0</v>
      </c>
    </row>
    <row r="156" spans="1:18">
      <c r="A156" s="3" t="s">
        <v>1636</v>
      </c>
      <c r="B156" s="3" t="s">
        <v>1637</v>
      </c>
      <c r="C156" s="3" t="s">
        <v>1638</v>
      </c>
      <c r="D156" s="3" t="s">
        <v>1639</v>
      </c>
      <c r="E156" s="3" t="s">
        <v>84</v>
      </c>
      <c r="F156" s="3">
        <v>41.9</v>
      </c>
      <c r="G156" s="3" t="s">
        <v>1553</v>
      </c>
      <c r="H156" s="3"/>
      <c r="I156" s="3" t="s">
        <v>1554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0.14</v>
      </c>
      <c r="P156" s="3">
        <v>0</v>
      </c>
      <c r="Q156" s="3">
        <v>0</v>
      </c>
      <c r="R156" s="3">
        <v>0</v>
      </c>
    </row>
    <row r="157" spans="1:18">
      <c r="A157" s="3" t="s">
        <v>1640</v>
      </c>
      <c r="B157" s="3" t="s">
        <v>1641</v>
      </c>
      <c r="C157" s="3" t="s">
        <v>1642</v>
      </c>
      <c r="D157" s="3" t="s">
        <v>1643</v>
      </c>
      <c r="E157" s="3" t="s">
        <v>84</v>
      </c>
      <c r="F157" s="3">
        <v>41.9</v>
      </c>
      <c r="G157" s="3" t="s">
        <v>1553</v>
      </c>
      <c r="H157" s="3"/>
      <c r="I157" s="3" t="s">
        <v>1554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0.14</v>
      </c>
      <c r="P157" s="3">
        <v>0</v>
      </c>
      <c r="Q157" s="3">
        <v>0</v>
      </c>
      <c r="R157" s="3">
        <v>0</v>
      </c>
    </row>
    <row r="158" spans="1:18">
      <c r="A158" s="3" t="s">
        <v>388</v>
      </c>
      <c r="B158" s="3" t="s">
        <v>389</v>
      </c>
      <c r="C158" s="3" t="s">
        <v>390</v>
      </c>
      <c r="D158" s="3" t="s">
        <v>391</v>
      </c>
      <c r="E158" s="3" t="s">
        <v>84</v>
      </c>
      <c r="F158" s="3">
        <v>41.9</v>
      </c>
      <c r="G158" s="3" t="s">
        <v>1553</v>
      </c>
      <c r="H158" s="3"/>
      <c r="I158" s="3" t="s">
        <v>1554</v>
      </c>
      <c r="J158" s="3">
        <v>2</v>
      </c>
      <c r="K158" s="3">
        <v>2</v>
      </c>
      <c r="L158" s="3">
        <v>0</v>
      </c>
      <c r="M158" s="3">
        <v>0</v>
      </c>
      <c r="N158" s="3">
        <v>2</v>
      </c>
      <c r="O158" s="3">
        <v>0.14</v>
      </c>
      <c r="P158" s="3">
        <v>0</v>
      </c>
      <c r="Q158" s="3">
        <v>0</v>
      </c>
      <c r="R158" s="3">
        <v>0</v>
      </c>
    </row>
    <row r="159" spans="1:18">
      <c r="A159" s="3" t="s">
        <v>1644</v>
      </c>
      <c r="B159" s="3" t="s">
        <v>1645</v>
      </c>
      <c r="C159" s="3" t="s">
        <v>1646</v>
      </c>
      <c r="D159" s="3" t="s">
        <v>1647</v>
      </c>
      <c r="E159" s="3" t="s">
        <v>84</v>
      </c>
      <c r="F159" s="3">
        <v>41.9</v>
      </c>
      <c r="G159" s="3" t="s">
        <v>1553</v>
      </c>
      <c r="H159" s="3"/>
      <c r="I159" s="3" t="s">
        <v>1554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0.14</v>
      </c>
      <c r="P159" s="3">
        <v>0</v>
      </c>
      <c r="Q159" s="3">
        <v>0</v>
      </c>
      <c r="R159" s="3">
        <v>0</v>
      </c>
    </row>
    <row r="160" spans="1:18">
      <c r="A160" s="3" t="s">
        <v>1511</v>
      </c>
      <c r="B160" s="3" t="s">
        <v>1512</v>
      </c>
      <c r="C160" s="3" t="s">
        <v>1513</v>
      </c>
      <c r="D160" s="3" t="s">
        <v>1514</v>
      </c>
      <c r="E160" s="3" t="s">
        <v>84</v>
      </c>
      <c r="F160" s="3">
        <v>38.9</v>
      </c>
      <c r="G160" s="3" t="s">
        <v>1553</v>
      </c>
      <c r="H160" s="3"/>
      <c r="I160" s="3" t="s">
        <v>1554</v>
      </c>
      <c r="J160" s="3">
        <v>34</v>
      </c>
      <c r="K160" s="3">
        <v>34</v>
      </c>
      <c r="L160" s="3">
        <v>0</v>
      </c>
      <c r="M160" s="3">
        <v>0</v>
      </c>
      <c r="N160" s="3">
        <v>34</v>
      </c>
      <c r="O160" s="3">
        <v>0.12</v>
      </c>
      <c r="P160" s="3">
        <v>0</v>
      </c>
      <c r="Q160" s="3">
        <v>0</v>
      </c>
      <c r="R160" s="3">
        <v>0</v>
      </c>
    </row>
    <row r="161" spans="1:18">
      <c r="A161" s="3" t="s">
        <v>805</v>
      </c>
      <c r="B161" s="3" t="s">
        <v>806</v>
      </c>
      <c r="C161" s="3" t="s">
        <v>807</v>
      </c>
      <c r="D161" s="3" t="s">
        <v>808</v>
      </c>
      <c r="E161" s="3" t="s">
        <v>84</v>
      </c>
      <c r="F161" s="3">
        <v>38.9</v>
      </c>
      <c r="G161" s="3" t="s">
        <v>1553</v>
      </c>
      <c r="H161" s="3"/>
      <c r="I161" s="3" t="s">
        <v>1554</v>
      </c>
      <c r="J161" s="3">
        <v>22</v>
      </c>
      <c r="K161" s="3">
        <v>22</v>
      </c>
      <c r="L161" s="3">
        <v>0</v>
      </c>
      <c r="M161" s="3">
        <v>0</v>
      </c>
      <c r="N161" s="3">
        <v>22</v>
      </c>
      <c r="O161" s="3">
        <v>0.12</v>
      </c>
      <c r="P161" s="3">
        <v>0</v>
      </c>
      <c r="Q161" s="3">
        <v>0</v>
      </c>
      <c r="R161" s="3">
        <v>0</v>
      </c>
    </row>
    <row r="162" spans="1:18">
      <c r="A162" s="3" t="s">
        <v>697</v>
      </c>
      <c r="B162" s="3" t="s">
        <v>698</v>
      </c>
      <c r="C162" s="3" t="s">
        <v>699</v>
      </c>
      <c r="D162" s="3" t="s">
        <v>700</v>
      </c>
      <c r="E162" s="3" t="s">
        <v>84</v>
      </c>
      <c r="F162" s="3">
        <v>38.9</v>
      </c>
      <c r="G162" s="3" t="s">
        <v>1553</v>
      </c>
      <c r="H162" s="3"/>
      <c r="I162" s="3" t="s">
        <v>1554</v>
      </c>
      <c r="J162" s="3">
        <v>48</v>
      </c>
      <c r="K162" s="3">
        <v>48</v>
      </c>
      <c r="L162" s="3">
        <v>0</v>
      </c>
      <c r="M162" s="3">
        <v>0</v>
      </c>
      <c r="N162" s="3">
        <v>48</v>
      </c>
      <c r="O162" s="3">
        <v>0.12</v>
      </c>
      <c r="P162" s="3">
        <v>0</v>
      </c>
      <c r="Q162" s="3">
        <v>0</v>
      </c>
      <c r="R162" s="3">
        <v>0</v>
      </c>
    </row>
    <row r="163" spans="1:18">
      <c r="A163" s="3" t="s">
        <v>680</v>
      </c>
      <c r="B163" s="3" t="s">
        <v>681</v>
      </c>
      <c r="C163" s="3" t="s">
        <v>682</v>
      </c>
      <c r="D163" s="3" t="s">
        <v>683</v>
      </c>
      <c r="E163" s="3" t="s">
        <v>84</v>
      </c>
      <c r="F163" s="3">
        <v>38.9</v>
      </c>
      <c r="G163" s="3" t="s">
        <v>1553</v>
      </c>
      <c r="H163" s="3"/>
      <c r="I163" s="3" t="s">
        <v>1554</v>
      </c>
      <c r="J163" s="3">
        <v>41</v>
      </c>
      <c r="K163" s="3">
        <v>41</v>
      </c>
      <c r="L163" s="3">
        <v>0</v>
      </c>
      <c r="M163" s="3">
        <v>0</v>
      </c>
      <c r="N163" s="3">
        <v>41</v>
      </c>
      <c r="O163" s="3">
        <v>0.12</v>
      </c>
      <c r="P163" s="3">
        <v>0</v>
      </c>
      <c r="Q163" s="3">
        <v>0</v>
      </c>
      <c r="R163" s="3">
        <v>0</v>
      </c>
    </row>
    <row r="164" spans="1:18">
      <c r="A164" s="3" t="s">
        <v>1026</v>
      </c>
      <c r="B164" s="3" t="s">
        <v>1027</v>
      </c>
      <c r="C164" s="3" t="s">
        <v>1028</v>
      </c>
      <c r="D164" s="3" t="s">
        <v>1029</v>
      </c>
      <c r="E164" s="3" t="s">
        <v>84</v>
      </c>
      <c r="F164" s="3">
        <v>38.9</v>
      </c>
      <c r="G164" s="3" t="s">
        <v>1553</v>
      </c>
      <c r="H164" s="3"/>
      <c r="I164" s="3" t="s">
        <v>1554</v>
      </c>
      <c r="J164" s="3">
        <v>45</v>
      </c>
      <c r="K164" s="3">
        <v>45</v>
      </c>
      <c r="L164" s="3">
        <v>0</v>
      </c>
      <c r="M164" s="3">
        <v>0</v>
      </c>
      <c r="N164" s="3">
        <v>45</v>
      </c>
      <c r="O164" s="3">
        <v>0.12</v>
      </c>
      <c r="P164" s="3">
        <v>0</v>
      </c>
      <c r="Q164" s="3">
        <v>0</v>
      </c>
      <c r="R164" s="3">
        <v>0</v>
      </c>
    </row>
    <row r="165" spans="1:18">
      <c r="A165" s="3" t="s">
        <v>1217</v>
      </c>
      <c r="B165" s="3" t="s">
        <v>1218</v>
      </c>
      <c r="C165" s="3" t="s">
        <v>1219</v>
      </c>
      <c r="D165" s="3" t="s">
        <v>1220</v>
      </c>
      <c r="E165" s="3" t="s">
        <v>84</v>
      </c>
      <c r="F165" s="3">
        <v>38.9</v>
      </c>
      <c r="G165" s="3" t="s">
        <v>1553</v>
      </c>
      <c r="H165" s="3"/>
      <c r="I165" s="3" t="s">
        <v>1554</v>
      </c>
      <c r="J165" s="3">
        <v>54</v>
      </c>
      <c r="K165" s="3">
        <v>54</v>
      </c>
      <c r="L165" s="3">
        <v>0</v>
      </c>
      <c r="M165" s="3">
        <v>0</v>
      </c>
      <c r="N165" s="3">
        <v>54</v>
      </c>
      <c r="O165" s="3">
        <v>0.12</v>
      </c>
      <c r="P165" s="3">
        <v>0</v>
      </c>
      <c r="Q165" s="3">
        <v>0</v>
      </c>
      <c r="R165" s="3">
        <v>0</v>
      </c>
    </row>
    <row r="166" spans="1:18">
      <c r="A166" s="3" t="s">
        <v>329</v>
      </c>
      <c r="B166" s="3" t="s">
        <v>330</v>
      </c>
      <c r="C166" s="3" t="s">
        <v>331</v>
      </c>
      <c r="D166" s="3" t="s">
        <v>332</v>
      </c>
      <c r="E166" s="3" t="s">
        <v>84</v>
      </c>
      <c r="F166" s="3">
        <v>38.9</v>
      </c>
      <c r="G166" s="3" t="s">
        <v>1553</v>
      </c>
      <c r="H166" s="3"/>
      <c r="I166" s="3" t="s">
        <v>1554</v>
      </c>
      <c r="J166" s="3">
        <v>26</v>
      </c>
      <c r="K166" s="3">
        <v>26</v>
      </c>
      <c r="L166" s="3">
        <v>0</v>
      </c>
      <c r="M166" s="3">
        <v>0</v>
      </c>
      <c r="N166" s="3">
        <v>26</v>
      </c>
      <c r="O166" s="3">
        <v>0.12</v>
      </c>
      <c r="P166" s="3">
        <v>0</v>
      </c>
      <c r="Q166" s="3">
        <v>0</v>
      </c>
      <c r="R166" s="3">
        <v>0</v>
      </c>
    </row>
    <row r="167" spans="1:18">
      <c r="A167" s="3" t="s">
        <v>245</v>
      </c>
      <c r="B167" s="3" t="s">
        <v>246</v>
      </c>
      <c r="C167" s="3" t="s">
        <v>247</v>
      </c>
      <c r="D167" s="3" t="s">
        <v>248</v>
      </c>
      <c r="E167" s="3" t="s">
        <v>84</v>
      </c>
      <c r="F167" s="3">
        <v>38.9</v>
      </c>
      <c r="G167" s="3" t="s">
        <v>1553</v>
      </c>
      <c r="H167" s="3"/>
      <c r="I167" s="3" t="s">
        <v>1554</v>
      </c>
      <c r="J167" s="3">
        <v>28</v>
      </c>
      <c r="K167" s="3">
        <v>28</v>
      </c>
      <c r="L167" s="3">
        <v>0</v>
      </c>
      <c r="M167" s="3">
        <v>0</v>
      </c>
      <c r="N167" s="3">
        <v>28</v>
      </c>
      <c r="O167" s="3">
        <v>0.12</v>
      </c>
      <c r="P167" s="3">
        <v>0</v>
      </c>
      <c r="Q167" s="3">
        <v>0</v>
      </c>
      <c r="R167" s="3">
        <v>0</v>
      </c>
    </row>
    <row r="168" spans="1:18">
      <c r="A168" s="3" t="s">
        <v>353</v>
      </c>
      <c r="B168" s="3" t="s">
        <v>354</v>
      </c>
      <c r="C168" s="3" t="s">
        <v>355</v>
      </c>
      <c r="D168" s="3" t="s">
        <v>356</v>
      </c>
      <c r="E168" s="3" t="s">
        <v>84</v>
      </c>
      <c r="F168" s="3">
        <v>38.9</v>
      </c>
      <c r="G168" s="3" t="s">
        <v>1553</v>
      </c>
      <c r="H168" s="3"/>
      <c r="I168" s="3" t="s">
        <v>1554</v>
      </c>
      <c r="J168" s="3">
        <v>27</v>
      </c>
      <c r="K168" s="3">
        <v>27</v>
      </c>
      <c r="L168" s="3">
        <v>0</v>
      </c>
      <c r="M168" s="3">
        <v>0</v>
      </c>
      <c r="N168" s="3">
        <v>27</v>
      </c>
      <c r="O168" s="3">
        <v>0.12</v>
      </c>
      <c r="P168" s="3">
        <v>0</v>
      </c>
      <c r="Q168" s="3">
        <v>0</v>
      </c>
      <c r="R168" s="3">
        <v>0</v>
      </c>
    </row>
    <row r="169" spans="1:18">
      <c r="A169" s="3" t="s">
        <v>545</v>
      </c>
      <c r="B169" s="3" t="s">
        <v>546</v>
      </c>
      <c r="C169" s="3" t="s">
        <v>547</v>
      </c>
      <c r="D169" s="3" t="s">
        <v>548</v>
      </c>
      <c r="E169" s="3" t="s">
        <v>84</v>
      </c>
      <c r="F169" s="3">
        <v>38.9</v>
      </c>
      <c r="G169" s="3" t="s">
        <v>1553</v>
      </c>
      <c r="H169" s="3"/>
      <c r="I169" s="3" t="s">
        <v>1554</v>
      </c>
      <c r="J169" s="3">
        <v>27</v>
      </c>
      <c r="K169" s="3">
        <v>27</v>
      </c>
      <c r="L169" s="3">
        <v>0</v>
      </c>
      <c r="M169" s="3">
        <v>0</v>
      </c>
      <c r="N169" s="3">
        <v>27</v>
      </c>
      <c r="O169" s="3">
        <v>0.12</v>
      </c>
      <c r="P169" s="3">
        <v>0</v>
      </c>
      <c r="Q169" s="3">
        <v>0</v>
      </c>
      <c r="R169" s="3">
        <v>0</v>
      </c>
    </row>
    <row r="170" spans="1:18">
      <c r="A170" s="3" t="s">
        <v>1483</v>
      </c>
      <c r="B170" s="3" t="s">
        <v>1484</v>
      </c>
      <c r="C170" s="3" t="s">
        <v>1485</v>
      </c>
      <c r="D170" s="3" t="s">
        <v>1486</v>
      </c>
      <c r="E170" s="3" t="s">
        <v>84</v>
      </c>
      <c r="F170" s="3">
        <v>38.9</v>
      </c>
      <c r="G170" s="3" t="s">
        <v>1553</v>
      </c>
      <c r="H170" s="3"/>
      <c r="I170" s="3" t="s">
        <v>1554</v>
      </c>
      <c r="J170" s="3">
        <v>26</v>
      </c>
      <c r="K170" s="3">
        <v>26</v>
      </c>
      <c r="L170" s="3">
        <v>0</v>
      </c>
      <c r="M170" s="3">
        <v>0</v>
      </c>
      <c r="N170" s="3">
        <v>26</v>
      </c>
      <c r="O170" s="3">
        <v>0.12</v>
      </c>
      <c r="P170" s="3">
        <v>0</v>
      </c>
      <c r="Q170" s="3">
        <v>0</v>
      </c>
      <c r="R170" s="3">
        <v>0</v>
      </c>
    </row>
    <row r="171" spans="1:18">
      <c r="A171" s="3" t="s">
        <v>579</v>
      </c>
      <c r="B171" s="3" t="s">
        <v>580</v>
      </c>
      <c r="C171" s="3" t="s">
        <v>581</v>
      </c>
      <c r="D171" s="3" t="s">
        <v>582</v>
      </c>
      <c r="E171" s="3" t="s">
        <v>84</v>
      </c>
      <c r="F171" s="3">
        <v>38.9</v>
      </c>
      <c r="G171" s="3" t="s">
        <v>1553</v>
      </c>
      <c r="H171" s="3"/>
      <c r="I171" s="3" t="s">
        <v>1554</v>
      </c>
      <c r="J171" s="3">
        <v>28</v>
      </c>
      <c r="K171" s="3">
        <v>28</v>
      </c>
      <c r="L171" s="3">
        <v>0</v>
      </c>
      <c r="M171" s="3">
        <v>0</v>
      </c>
      <c r="N171" s="3">
        <v>28</v>
      </c>
      <c r="O171" s="3">
        <v>0.12</v>
      </c>
      <c r="P171" s="3">
        <v>0</v>
      </c>
      <c r="Q171" s="3">
        <v>0</v>
      </c>
      <c r="R171" s="3">
        <v>0</v>
      </c>
    </row>
    <row r="172" spans="1:18">
      <c r="A172" s="3" t="s">
        <v>333</v>
      </c>
      <c r="B172" s="3" t="s">
        <v>334</v>
      </c>
      <c r="C172" s="3" t="s">
        <v>335</v>
      </c>
      <c r="D172" s="3" t="s">
        <v>336</v>
      </c>
      <c r="E172" s="3" t="s">
        <v>84</v>
      </c>
      <c r="F172" s="3">
        <v>38.9</v>
      </c>
      <c r="G172" s="3" t="s">
        <v>1553</v>
      </c>
      <c r="H172" s="3"/>
      <c r="I172" s="3" t="s">
        <v>1554</v>
      </c>
      <c r="J172" s="3">
        <v>28</v>
      </c>
      <c r="K172" s="3">
        <v>28</v>
      </c>
      <c r="L172" s="3">
        <v>0</v>
      </c>
      <c r="M172" s="3">
        <v>0</v>
      </c>
      <c r="N172" s="3">
        <v>28</v>
      </c>
      <c r="O172" s="3">
        <v>0.12</v>
      </c>
      <c r="P172" s="3">
        <v>0</v>
      </c>
      <c r="Q172" s="3">
        <v>0</v>
      </c>
      <c r="R172" s="3">
        <v>0</v>
      </c>
    </row>
    <row r="173" spans="1:18">
      <c r="A173" s="3" t="s">
        <v>1414</v>
      </c>
      <c r="B173" s="3" t="s">
        <v>1415</v>
      </c>
      <c r="C173" s="3" t="s">
        <v>1416</v>
      </c>
      <c r="D173" s="3" t="s">
        <v>1417</v>
      </c>
      <c r="E173" s="3" t="s">
        <v>84</v>
      </c>
      <c r="F173" s="3">
        <v>38.9</v>
      </c>
      <c r="G173" s="3" t="s">
        <v>1553</v>
      </c>
      <c r="H173" s="3"/>
      <c r="I173" s="3" t="s">
        <v>1554</v>
      </c>
      <c r="J173" s="3">
        <v>26</v>
      </c>
      <c r="K173" s="3">
        <v>26</v>
      </c>
      <c r="L173" s="3">
        <v>0</v>
      </c>
      <c r="M173" s="3">
        <v>0</v>
      </c>
      <c r="N173" s="3">
        <v>26</v>
      </c>
      <c r="O173" s="3">
        <v>0.12</v>
      </c>
      <c r="P173" s="3">
        <v>0</v>
      </c>
      <c r="Q173" s="3">
        <v>0</v>
      </c>
      <c r="R173" s="3">
        <v>0</v>
      </c>
    </row>
    <row r="174" spans="1:18">
      <c r="A174" s="3" t="s">
        <v>618</v>
      </c>
      <c r="B174" s="3" t="s">
        <v>619</v>
      </c>
      <c r="C174" s="3" t="s">
        <v>620</v>
      </c>
      <c r="D174" s="3" t="s">
        <v>621</v>
      </c>
      <c r="E174" s="3" t="s">
        <v>84</v>
      </c>
      <c r="F174" s="3">
        <v>38.9</v>
      </c>
      <c r="G174" s="3" t="s">
        <v>1553</v>
      </c>
      <c r="H174" s="3"/>
      <c r="I174" s="3" t="s">
        <v>1554</v>
      </c>
      <c r="J174" s="3">
        <v>30</v>
      </c>
      <c r="K174" s="3">
        <v>30</v>
      </c>
      <c r="L174" s="3">
        <v>0</v>
      </c>
      <c r="M174" s="3">
        <v>0</v>
      </c>
      <c r="N174" s="3">
        <v>30</v>
      </c>
      <c r="O174" s="3">
        <v>0.12</v>
      </c>
      <c r="P174" s="3">
        <v>0</v>
      </c>
      <c r="Q174" s="3">
        <v>0</v>
      </c>
      <c r="R174" s="3">
        <v>0</v>
      </c>
    </row>
    <row r="175" spans="1:18">
      <c r="A175" s="3" t="s">
        <v>524</v>
      </c>
      <c r="B175" s="3" t="s">
        <v>525</v>
      </c>
      <c r="C175" s="3" t="s">
        <v>526</v>
      </c>
      <c r="D175" s="3" t="s">
        <v>527</v>
      </c>
      <c r="E175" s="3" t="s">
        <v>84</v>
      </c>
      <c r="F175" s="3">
        <v>38.9</v>
      </c>
      <c r="G175" s="3" t="s">
        <v>1553</v>
      </c>
      <c r="H175" s="3"/>
      <c r="I175" s="3" t="s">
        <v>1554</v>
      </c>
      <c r="J175" s="3">
        <v>27</v>
      </c>
      <c r="K175" s="3">
        <v>27</v>
      </c>
      <c r="L175" s="3">
        <v>0</v>
      </c>
      <c r="M175" s="3">
        <v>0</v>
      </c>
      <c r="N175" s="3">
        <v>27</v>
      </c>
      <c r="O175" s="3">
        <v>0.12</v>
      </c>
      <c r="P175" s="3">
        <v>0</v>
      </c>
      <c r="Q175" s="3">
        <v>0</v>
      </c>
      <c r="R175" s="3">
        <v>0</v>
      </c>
    </row>
    <row r="176" spans="1:18">
      <c r="A176" s="3" t="s">
        <v>737</v>
      </c>
      <c r="B176" s="3" t="s">
        <v>738</v>
      </c>
      <c r="C176" s="3" t="s">
        <v>739</v>
      </c>
      <c r="D176" s="3" t="s">
        <v>740</v>
      </c>
      <c r="E176" s="3" t="s">
        <v>84</v>
      </c>
      <c r="F176" s="3">
        <v>38.9</v>
      </c>
      <c r="G176" s="3" t="s">
        <v>1553</v>
      </c>
      <c r="H176" s="3"/>
      <c r="I176" s="3" t="s">
        <v>1554</v>
      </c>
      <c r="J176" s="3">
        <v>28</v>
      </c>
      <c r="K176" s="3">
        <v>28</v>
      </c>
      <c r="L176" s="3">
        <v>0</v>
      </c>
      <c r="M176" s="3">
        <v>0</v>
      </c>
      <c r="N176" s="3">
        <v>28</v>
      </c>
      <c r="O176" s="3">
        <v>0.12</v>
      </c>
      <c r="P176" s="3">
        <v>0</v>
      </c>
      <c r="Q176" s="3">
        <v>0</v>
      </c>
      <c r="R176" s="3">
        <v>0</v>
      </c>
    </row>
    <row r="177" spans="1:18">
      <c r="A177" s="3" t="s">
        <v>651</v>
      </c>
      <c r="B177" s="3" t="s">
        <v>652</v>
      </c>
      <c r="C177" s="3" t="s">
        <v>653</v>
      </c>
      <c r="D177" s="3" t="s">
        <v>654</v>
      </c>
      <c r="E177" s="3" t="s">
        <v>84</v>
      </c>
      <c r="F177" s="3">
        <v>38.9</v>
      </c>
      <c r="G177" s="3" t="s">
        <v>1553</v>
      </c>
      <c r="H177" s="3"/>
      <c r="I177" s="3" t="s">
        <v>1554</v>
      </c>
      <c r="J177" s="3">
        <v>29</v>
      </c>
      <c r="K177" s="3">
        <v>29</v>
      </c>
      <c r="L177" s="3">
        <v>0</v>
      </c>
      <c r="M177" s="3">
        <v>0</v>
      </c>
      <c r="N177" s="3">
        <v>29</v>
      </c>
      <c r="O177" s="3">
        <v>0.12</v>
      </c>
      <c r="P177" s="3">
        <v>0</v>
      </c>
      <c r="Q177" s="3">
        <v>0</v>
      </c>
      <c r="R177" s="3">
        <v>0</v>
      </c>
    </row>
    <row r="178" spans="1:18">
      <c r="A178" s="3" t="s">
        <v>254</v>
      </c>
      <c r="B178" s="3" t="s">
        <v>255</v>
      </c>
      <c r="C178" s="3" t="s">
        <v>256</v>
      </c>
      <c r="D178" s="3" t="s">
        <v>257</v>
      </c>
      <c r="E178" s="3" t="s">
        <v>84</v>
      </c>
      <c r="F178" s="3">
        <v>38.9</v>
      </c>
      <c r="G178" s="3" t="s">
        <v>1553</v>
      </c>
      <c r="H178" s="3"/>
      <c r="I178" s="3" t="s">
        <v>1554</v>
      </c>
      <c r="J178" s="3">
        <v>27</v>
      </c>
      <c r="K178" s="3">
        <v>27</v>
      </c>
      <c r="L178" s="3">
        <v>0</v>
      </c>
      <c r="M178" s="3">
        <v>0</v>
      </c>
      <c r="N178" s="3">
        <v>27</v>
      </c>
      <c r="O178" s="3">
        <v>0.12</v>
      </c>
      <c r="P178" s="3">
        <v>0</v>
      </c>
      <c r="Q178" s="3">
        <v>0</v>
      </c>
      <c r="R178" s="3">
        <v>0</v>
      </c>
    </row>
    <row r="179" spans="1:18">
      <c r="A179" s="3" t="s">
        <v>753</v>
      </c>
      <c r="B179" s="3" t="s">
        <v>754</v>
      </c>
      <c r="C179" s="3" t="s">
        <v>755</v>
      </c>
      <c r="D179" s="3" t="s">
        <v>756</v>
      </c>
      <c r="E179" s="3" t="s">
        <v>84</v>
      </c>
      <c r="F179" s="3">
        <v>38.9</v>
      </c>
      <c r="G179" s="3" t="s">
        <v>1553</v>
      </c>
      <c r="H179" s="3"/>
      <c r="I179" s="3" t="s">
        <v>1554</v>
      </c>
      <c r="J179" s="3">
        <v>28</v>
      </c>
      <c r="K179" s="3">
        <v>28</v>
      </c>
      <c r="L179" s="3">
        <v>0</v>
      </c>
      <c r="M179" s="3">
        <v>0</v>
      </c>
      <c r="N179" s="3">
        <v>28</v>
      </c>
      <c r="O179" s="3">
        <v>0.12</v>
      </c>
      <c r="P179" s="3">
        <v>0</v>
      </c>
      <c r="Q179" s="3">
        <v>0</v>
      </c>
      <c r="R179" s="3">
        <v>0</v>
      </c>
    </row>
    <row r="180" spans="1:18">
      <c r="A180" s="3" t="s">
        <v>160</v>
      </c>
      <c r="B180" s="3" t="s">
        <v>161</v>
      </c>
      <c r="C180" s="3" t="s">
        <v>162</v>
      </c>
      <c r="D180" s="3" t="s">
        <v>163</v>
      </c>
      <c r="E180" s="3" t="s">
        <v>84</v>
      </c>
      <c r="F180" s="3">
        <v>38.9</v>
      </c>
      <c r="G180" s="3" t="s">
        <v>1553</v>
      </c>
      <c r="H180" s="3"/>
      <c r="I180" s="3" t="s">
        <v>1554</v>
      </c>
      <c r="J180" s="3">
        <v>30</v>
      </c>
      <c r="K180" s="3">
        <v>30</v>
      </c>
      <c r="L180" s="3">
        <v>0</v>
      </c>
      <c r="M180" s="3">
        <v>0</v>
      </c>
      <c r="N180" s="3">
        <v>30</v>
      </c>
      <c r="O180" s="3">
        <v>0.12</v>
      </c>
      <c r="P180" s="3">
        <v>0</v>
      </c>
      <c r="Q180" s="3">
        <v>0</v>
      </c>
      <c r="R180" s="3">
        <v>0</v>
      </c>
    </row>
    <row r="181" spans="1:18">
      <c r="A181" s="3" t="s">
        <v>797</v>
      </c>
      <c r="B181" s="3" t="s">
        <v>798</v>
      </c>
      <c r="C181" s="3" t="s">
        <v>799</v>
      </c>
      <c r="D181" s="3" t="s">
        <v>800</v>
      </c>
      <c r="E181" s="3" t="s">
        <v>84</v>
      </c>
      <c r="F181" s="3">
        <v>38.9</v>
      </c>
      <c r="G181" s="3" t="s">
        <v>1553</v>
      </c>
      <c r="H181" s="3"/>
      <c r="I181" s="3" t="s">
        <v>1554</v>
      </c>
      <c r="J181" s="3">
        <v>28</v>
      </c>
      <c r="K181" s="3">
        <v>28</v>
      </c>
      <c r="L181" s="3">
        <v>0</v>
      </c>
      <c r="M181" s="3">
        <v>0</v>
      </c>
      <c r="N181" s="3">
        <v>28</v>
      </c>
      <c r="O181" s="3">
        <v>0.12</v>
      </c>
      <c r="P181" s="3">
        <v>0</v>
      </c>
      <c r="Q181" s="3">
        <v>0</v>
      </c>
      <c r="R181" s="3">
        <v>0</v>
      </c>
    </row>
    <row r="182" spans="1:18">
      <c r="A182" s="3" t="s">
        <v>689</v>
      </c>
      <c r="B182" s="3" t="s">
        <v>690</v>
      </c>
      <c r="C182" s="3" t="s">
        <v>691</v>
      </c>
      <c r="D182" s="3" t="s">
        <v>692</v>
      </c>
      <c r="E182" s="3" t="s">
        <v>84</v>
      </c>
      <c r="F182" s="3">
        <v>38.9</v>
      </c>
      <c r="G182" s="3" t="s">
        <v>1553</v>
      </c>
      <c r="H182" s="3"/>
      <c r="I182" s="3" t="s">
        <v>1554</v>
      </c>
      <c r="J182" s="3">
        <v>28</v>
      </c>
      <c r="K182" s="3">
        <v>28</v>
      </c>
      <c r="L182" s="3">
        <v>0</v>
      </c>
      <c r="M182" s="3">
        <v>0</v>
      </c>
      <c r="N182" s="3">
        <v>28</v>
      </c>
      <c r="O182" s="3">
        <v>0.12</v>
      </c>
      <c r="P182" s="3">
        <v>0</v>
      </c>
      <c r="Q182" s="3">
        <v>0</v>
      </c>
      <c r="R182" s="3">
        <v>0</v>
      </c>
    </row>
    <row r="183" spans="1:18">
      <c r="A183" s="3" t="s">
        <v>1274</v>
      </c>
      <c r="B183" s="3" t="s">
        <v>1275</v>
      </c>
      <c r="C183" s="3" t="s">
        <v>1276</v>
      </c>
      <c r="D183" s="3" t="s">
        <v>1277</v>
      </c>
      <c r="E183" s="3" t="s">
        <v>84</v>
      </c>
      <c r="F183" s="3">
        <v>38.9</v>
      </c>
      <c r="G183" s="3" t="s">
        <v>1553</v>
      </c>
      <c r="H183" s="3"/>
      <c r="I183" s="3" t="s">
        <v>1554</v>
      </c>
      <c r="J183" s="3">
        <v>27</v>
      </c>
      <c r="K183" s="3">
        <v>27</v>
      </c>
      <c r="L183" s="3">
        <v>0</v>
      </c>
      <c r="M183" s="3">
        <v>0</v>
      </c>
      <c r="N183" s="3">
        <v>27</v>
      </c>
      <c r="O183" s="3">
        <v>0.12</v>
      </c>
      <c r="P183" s="3">
        <v>0</v>
      </c>
      <c r="Q183" s="3">
        <v>0</v>
      </c>
      <c r="R183" s="3">
        <v>0</v>
      </c>
    </row>
    <row r="184" spans="1:18">
      <c r="A184" s="3" t="s">
        <v>429</v>
      </c>
      <c r="B184" s="3" t="s">
        <v>430</v>
      </c>
      <c r="C184" s="3" t="s">
        <v>431</v>
      </c>
      <c r="D184" s="3" t="s">
        <v>432</v>
      </c>
      <c r="E184" s="3" t="s">
        <v>84</v>
      </c>
      <c r="F184" s="3">
        <v>38.9</v>
      </c>
      <c r="G184" s="3" t="s">
        <v>1553</v>
      </c>
      <c r="H184" s="3"/>
      <c r="I184" s="3" t="s">
        <v>1554</v>
      </c>
      <c r="J184" s="3">
        <v>3</v>
      </c>
      <c r="K184" s="3">
        <v>3</v>
      </c>
      <c r="L184" s="3">
        <v>0</v>
      </c>
      <c r="M184" s="3">
        <v>0</v>
      </c>
      <c r="N184" s="3">
        <v>3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721</v>
      </c>
      <c r="B185" s="3" t="s">
        <v>722</v>
      </c>
      <c r="C185" s="3" t="s">
        <v>723</v>
      </c>
      <c r="D185" s="3" t="s">
        <v>724</v>
      </c>
      <c r="E185" s="3" t="s">
        <v>84</v>
      </c>
      <c r="F185" s="3">
        <v>38.9</v>
      </c>
      <c r="G185" s="3" t="s">
        <v>1553</v>
      </c>
      <c r="H185" s="3"/>
      <c r="I185" s="3" t="s">
        <v>1554</v>
      </c>
      <c r="J185" s="3">
        <v>3</v>
      </c>
      <c r="K185" s="3">
        <v>3</v>
      </c>
      <c r="L185" s="3">
        <v>0</v>
      </c>
      <c r="M185" s="3">
        <v>0</v>
      </c>
      <c r="N185" s="3">
        <v>3</v>
      </c>
      <c r="O185" s="3"/>
      <c r="P185" s="3">
        <v>0</v>
      </c>
      <c r="Q185" s="3">
        <v>0</v>
      </c>
      <c r="R185" s="3">
        <v>0</v>
      </c>
    </row>
    <row r="186" spans="1:18">
      <c r="A186" s="3" t="s">
        <v>895</v>
      </c>
      <c r="B186" s="3" t="s">
        <v>896</v>
      </c>
      <c r="C186" s="3" t="s">
        <v>897</v>
      </c>
      <c r="D186" s="3" t="s">
        <v>898</v>
      </c>
      <c r="E186" s="3" t="s">
        <v>84</v>
      </c>
      <c r="F186" s="3">
        <v>38.9</v>
      </c>
      <c r="G186" s="3" t="s">
        <v>1553</v>
      </c>
      <c r="H186" s="3"/>
      <c r="I186" s="3" t="s">
        <v>1554</v>
      </c>
      <c r="J186" s="3">
        <v>3</v>
      </c>
      <c r="K186" s="3">
        <v>3</v>
      </c>
      <c r="L186" s="3">
        <v>0</v>
      </c>
      <c r="M186" s="3">
        <v>0</v>
      </c>
      <c r="N186" s="3">
        <v>3</v>
      </c>
      <c r="O186" s="3">
        <v>0.13</v>
      </c>
      <c r="P186" s="3">
        <v>0</v>
      </c>
      <c r="Q186" s="3">
        <v>0</v>
      </c>
      <c r="R186" s="3">
        <v>0</v>
      </c>
    </row>
    <row r="187" spans="1:18">
      <c r="A187" s="3" t="s">
        <v>286</v>
      </c>
      <c r="B187" s="3" t="s">
        <v>287</v>
      </c>
      <c r="C187" s="3" t="s">
        <v>288</v>
      </c>
      <c r="D187" s="3" t="s">
        <v>289</v>
      </c>
      <c r="E187" s="3" t="s">
        <v>84</v>
      </c>
      <c r="F187" s="3">
        <v>38.9</v>
      </c>
      <c r="G187" s="3" t="s">
        <v>1553</v>
      </c>
      <c r="H187" s="3"/>
      <c r="I187" s="3" t="s">
        <v>1554</v>
      </c>
      <c r="J187" s="3">
        <v>3</v>
      </c>
      <c r="K187" s="3">
        <v>3</v>
      </c>
      <c r="L187" s="3">
        <v>0</v>
      </c>
      <c r="M187" s="3">
        <v>0</v>
      </c>
      <c r="N187" s="3">
        <v>3</v>
      </c>
      <c r="O187" s="3">
        <v>0.13</v>
      </c>
      <c r="P187" s="3">
        <v>0</v>
      </c>
      <c r="Q187" s="3">
        <v>0</v>
      </c>
      <c r="R187" s="3">
        <v>0</v>
      </c>
    </row>
    <row r="188" spans="1:18">
      <c r="A188" s="3" t="s">
        <v>668</v>
      </c>
      <c r="B188" s="3" t="s">
        <v>669</v>
      </c>
      <c r="C188" s="3" t="s">
        <v>670</v>
      </c>
      <c r="D188" s="3" t="s">
        <v>671</v>
      </c>
      <c r="E188" s="3" t="s">
        <v>84</v>
      </c>
      <c r="F188" s="3">
        <v>38.9</v>
      </c>
      <c r="G188" s="3" t="s">
        <v>1553</v>
      </c>
      <c r="H188" s="3"/>
      <c r="I188" s="3" t="s">
        <v>1554</v>
      </c>
      <c r="J188" s="3">
        <v>2</v>
      </c>
      <c r="K188" s="3">
        <v>2</v>
      </c>
      <c r="L188" s="3">
        <v>0</v>
      </c>
      <c r="M188" s="3">
        <v>0</v>
      </c>
      <c r="N188" s="3">
        <v>2</v>
      </c>
      <c r="O188" s="3"/>
      <c r="P188" s="3">
        <v>0</v>
      </c>
      <c r="Q188" s="3">
        <v>0</v>
      </c>
      <c r="R188" s="3">
        <v>0</v>
      </c>
    </row>
    <row r="189" spans="1:18">
      <c r="A189" s="3" t="s">
        <v>1648</v>
      </c>
      <c r="B189" s="3" t="s">
        <v>1649</v>
      </c>
      <c r="C189" s="3" t="s">
        <v>1650</v>
      </c>
      <c r="D189" s="3"/>
      <c r="E189" s="3" t="s">
        <v>1570</v>
      </c>
      <c r="F189" s="3"/>
      <c r="G189" s="3"/>
      <c r="H189" s="3"/>
      <c r="I189" s="3"/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/>
      <c r="P189" s="3">
        <v>0</v>
      </c>
      <c r="Q189" s="3">
        <v>0</v>
      </c>
      <c r="R189" s="3">
        <v>0</v>
      </c>
    </row>
    <row r="190" spans="1:18">
      <c r="A190" s="3" t="s">
        <v>1651</v>
      </c>
      <c r="B190" s="3" t="s">
        <v>1652</v>
      </c>
      <c r="C190" s="3" t="s">
        <v>1653</v>
      </c>
      <c r="D190" s="3"/>
      <c r="E190" s="3" t="s">
        <v>1570</v>
      </c>
      <c r="F190" s="3"/>
      <c r="G190" s="3"/>
      <c r="H190" s="3"/>
      <c r="I190" s="3"/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/>
      <c r="P190" s="3">
        <v>0</v>
      </c>
      <c r="Q190" s="3">
        <v>0</v>
      </c>
      <c r="R190" s="3">
        <v>0</v>
      </c>
    </row>
    <row r="191" spans="1:18">
      <c r="A191" s="3" t="s">
        <v>102</v>
      </c>
      <c r="B191" s="3" t="s">
        <v>103</v>
      </c>
      <c r="C191" s="3" t="s">
        <v>104</v>
      </c>
      <c r="D191" s="3" t="s">
        <v>105</v>
      </c>
      <c r="E191" s="3" t="s">
        <v>84</v>
      </c>
      <c r="F191" s="3">
        <v>10.99</v>
      </c>
      <c r="G191" s="3" t="s">
        <v>1553</v>
      </c>
      <c r="H191" s="3"/>
      <c r="I191" s="3" t="s">
        <v>1554</v>
      </c>
      <c r="J191" s="3">
        <v>1</v>
      </c>
      <c r="K191" s="3">
        <v>1</v>
      </c>
      <c r="L191" s="3">
        <v>0</v>
      </c>
      <c r="M191" s="3">
        <v>0</v>
      </c>
      <c r="N191" s="3">
        <v>1</v>
      </c>
      <c r="O191" s="3"/>
      <c r="P191" s="3">
        <v>0</v>
      </c>
      <c r="Q191" s="3">
        <v>0</v>
      </c>
      <c r="R191" s="3">
        <v>0</v>
      </c>
    </row>
    <row r="192" spans="1:18">
      <c r="A192" s="3" t="s">
        <v>664</v>
      </c>
      <c r="B192" s="3" t="s">
        <v>665</v>
      </c>
      <c r="C192" s="3" t="s">
        <v>666</v>
      </c>
      <c r="D192" s="3" t="s">
        <v>667</v>
      </c>
      <c r="E192" s="3" t="s">
        <v>84</v>
      </c>
      <c r="F192" s="3">
        <v>10.99</v>
      </c>
      <c r="G192" s="3" t="s">
        <v>1553</v>
      </c>
      <c r="H192" s="3"/>
      <c r="I192" s="3" t="s">
        <v>1554</v>
      </c>
      <c r="J192" s="3">
        <v>1</v>
      </c>
      <c r="K192" s="3">
        <v>1</v>
      </c>
      <c r="L192" s="3">
        <v>0</v>
      </c>
      <c r="M192" s="3">
        <v>0</v>
      </c>
      <c r="N192" s="3">
        <v>1</v>
      </c>
      <c r="O192" s="3"/>
      <c r="P192" s="3">
        <v>0</v>
      </c>
      <c r="Q192" s="3">
        <v>0</v>
      </c>
      <c r="R192" s="3">
        <v>0</v>
      </c>
    </row>
    <row r="193" spans="1:18">
      <c r="A193" s="3" t="s">
        <v>1241</v>
      </c>
      <c r="B193" s="3" t="s">
        <v>1242</v>
      </c>
      <c r="C193" s="3" t="s">
        <v>1243</v>
      </c>
      <c r="D193" s="3" t="s">
        <v>1244</v>
      </c>
      <c r="E193" s="3" t="s">
        <v>84</v>
      </c>
      <c r="F193" s="3">
        <v>10.99</v>
      </c>
      <c r="G193" s="3" t="s">
        <v>1553</v>
      </c>
      <c r="H193" s="3"/>
      <c r="I193" s="3" t="s">
        <v>1554</v>
      </c>
      <c r="J193" s="3">
        <v>1</v>
      </c>
      <c r="K193" s="3">
        <v>1</v>
      </c>
      <c r="L193" s="3">
        <v>0</v>
      </c>
      <c r="M193" s="3">
        <v>0</v>
      </c>
      <c r="N193" s="3">
        <v>1</v>
      </c>
      <c r="O193" s="3"/>
      <c r="P193" s="3">
        <v>0</v>
      </c>
      <c r="Q193" s="3">
        <v>0</v>
      </c>
      <c r="R193" s="3">
        <v>0</v>
      </c>
    </row>
    <row r="194" spans="1:18">
      <c r="A194" s="3" t="s">
        <v>433</v>
      </c>
      <c r="B194" s="3" t="s">
        <v>434</v>
      </c>
      <c r="C194" s="3" t="s">
        <v>435</v>
      </c>
      <c r="D194" s="3" t="s">
        <v>436</v>
      </c>
      <c r="E194" s="3" t="s">
        <v>84</v>
      </c>
      <c r="F194" s="3">
        <v>10.99</v>
      </c>
      <c r="G194" s="3" t="s">
        <v>1553</v>
      </c>
      <c r="H194" s="3"/>
      <c r="I194" s="3" t="s">
        <v>1554</v>
      </c>
      <c r="J194" s="3">
        <v>2</v>
      </c>
      <c r="K194" s="3">
        <v>2</v>
      </c>
      <c r="L194" s="3">
        <v>0</v>
      </c>
      <c r="M194" s="3">
        <v>0</v>
      </c>
      <c r="N194" s="3">
        <v>2</v>
      </c>
      <c r="O194" s="3"/>
      <c r="P194" s="3">
        <v>0</v>
      </c>
      <c r="Q194" s="3">
        <v>0</v>
      </c>
      <c r="R194" s="3">
        <v>0</v>
      </c>
    </row>
    <row r="195" spans="1:18">
      <c r="A195" s="3" t="s">
        <v>1054</v>
      </c>
      <c r="B195" s="3" t="s">
        <v>1055</v>
      </c>
      <c r="C195" s="3" t="s">
        <v>1056</v>
      </c>
      <c r="D195" s="3" t="s">
        <v>1057</v>
      </c>
      <c r="E195" s="3" t="s">
        <v>84</v>
      </c>
      <c r="F195" s="3">
        <v>10.99</v>
      </c>
      <c r="G195" s="3" t="s">
        <v>1553</v>
      </c>
      <c r="H195" s="3"/>
      <c r="I195" s="3" t="s">
        <v>1554</v>
      </c>
      <c r="J195" s="3">
        <v>1</v>
      </c>
      <c r="K195" s="3">
        <v>1</v>
      </c>
      <c r="L195" s="3">
        <v>0</v>
      </c>
      <c r="M195" s="3">
        <v>0</v>
      </c>
      <c r="N195" s="3">
        <v>1</v>
      </c>
      <c r="O195" s="3"/>
      <c r="P195" s="3">
        <v>0</v>
      </c>
      <c r="Q195" s="3">
        <v>0</v>
      </c>
      <c r="R195" s="3">
        <v>0</v>
      </c>
    </row>
    <row r="196" spans="1:18">
      <c r="A196" s="3" t="s">
        <v>263</v>
      </c>
      <c r="B196" s="3" t="s">
        <v>264</v>
      </c>
      <c r="C196" s="3" t="s">
        <v>265</v>
      </c>
      <c r="D196" s="3" t="s">
        <v>266</v>
      </c>
      <c r="E196" s="3" t="s">
        <v>84</v>
      </c>
      <c r="F196" s="3">
        <v>10.99</v>
      </c>
      <c r="G196" s="3" t="s">
        <v>1553</v>
      </c>
      <c r="H196" s="3"/>
      <c r="I196" s="3" t="s">
        <v>1554</v>
      </c>
      <c r="J196" s="3">
        <v>2</v>
      </c>
      <c r="K196" s="3">
        <v>2</v>
      </c>
      <c r="L196" s="3">
        <v>0</v>
      </c>
      <c r="M196" s="3">
        <v>0</v>
      </c>
      <c r="N196" s="3">
        <v>2</v>
      </c>
      <c r="O196" s="3"/>
      <c r="P196" s="3">
        <v>0</v>
      </c>
      <c r="Q196" s="3">
        <v>0</v>
      </c>
      <c r="R196" s="3">
        <v>0</v>
      </c>
    </row>
    <row r="197" spans="1:18">
      <c r="A197" s="3" t="s">
        <v>1654</v>
      </c>
      <c r="B197" s="3" t="s">
        <v>1655</v>
      </c>
      <c r="C197" s="3" t="s">
        <v>1656</v>
      </c>
      <c r="D197" s="3"/>
      <c r="E197" s="3" t="s">
        <v>1570</v>
      </c>
      <c r="F197" s="3"/>
      <c r="G197" s="3"/>
      <c r="H197" s="3"/>
      <c r="I197" s="3"/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/>
      <c r="P197" s="3">
        <v>0</v>
      </c>
      <c r="Q197" s="3">
        <v>0</v>
      </c>
      <c r="R197" s="3">
        <v>0</v>
      </c>
    </row>
    <row r="198" spans="1:18">
      <c r="A198" s="3" t="s">
        <v>1107</v>
      </c>
      <c r="B198" s="3" t="s">
        <v>1108</v>
      </c>
      <c r="C198" s="3" t="s">
        <v>1109</v>
      </c>
      <c r="D198" s="3" t="s">
        <v>1110</v>
      </c>
      <c r="E198" s="3" t="s">
        <v>84</v>
      </c>
      <c r="F198" s="3">
        <v>10.99</v>
      </c>
      <c r="G198" s="3" t="s">
        <v>1553</v>
      </c>
      <c r="H198" s="3"/>
      <c r="I198" s="3" t="s">
        <v>1554</v>
      </c>
      <c r="J198" s="3">
        <v>1</v>
      </c>
      <c r="K198" s="3">
        <v>1</v>
      </c>
      <c r="L198" s="3">
        <v>0</v>
      </c>
      <c r="M198" s="3">
        <v>0</v>
      </c>
      <c r="N198" s="3">
        <v>1</v>
      </c>
      <c r="O198" s="3"/>
      <c r="P198" s="3">
        <v>0</v>
      </c>
      <c r="Q198" s="3">
        <v>0</v>
      </c>
      <c r="R198" s="3">
        <v>0</v>
      </c>
    </row>
    <row r="199" spans="1:18">
      <c r="A199" s="3" t="s">
        <v>1245</v>
      </c>
      <c r="B199" s="3" t="s">
        <v>1246</v>
      </c>
      <c r="C199" s="3" t="s">
        <v>1247</v>
      </c>
      <c r="D199" s="3" t="s">
        <v>1248</v>
      </c>
      <c r="E199" s="3" t="s">
        <v>84</v>
      </c>
      <c r="F199" s="3">
        <v>10.99</v>
      </c>
      <c r="G199" s="3" t="s">
        <v>1553</v>
      </c>
      <c r="H199" s="3"/>
      <c r="I199" s="3" t="s">
        <v>1554</v>
      </c>
      <c r="J199" s="3">
        <v>1</v>
      </c>
      <c r="K199" s="3">
        <v>1</v>
      </c>
      <c r="L199" s="3">
        <v>0</v>
      </c>
      <c r="M199" s="3">
        <v>0</v>
      </c>
      <c r="N199" s="3">
        <v>1</v>
      </c>
      <c r="O199" s="3"/>
      <c r="P199" s="3">
        <v>0</v>
      </c>
      <c r="Q199" s="3">
        <v>0</v>
      </c>
      <c r="R199" s="3">
        <v>0</v>
      </c>
    </row>
    <row r="200" spans="1:18">
      <c r="A200" s="3" t="s">
        <v>639</v>
      </c>
      <c r="B200" s="3" t="s">
        <v>640</v>
      </c>
      <c r="C200" s="3" t="s">
        <v>641</v>
      </c>
      <c r="D200" s="3" t="s">
        <v>642</v>
      </c>
      <c r="E200" s="3" t="s">
        <v>84</v>
      </c>
      <c r="F200" s="3">
        <v>10.99</v>
      </c>
      <c r="G200" s="3" t="s">
        <v>1553</v>
      </c>
      <c r="H200" s="3"/>
      <c r="I200" s="3" t="s">
        <v>1554</v>
      </c>
      <c r="J200" s="3">
        <v>2</v>
      </c>
      <c r="K200" s="3">
        <v>2</v>
      </c>
      <c r="L200" s="3">
        <v>0</v>
      </c>
      <c r="M200" s="3">
        <v>0</v>
      </c>
      <c r="N200" s="3">
        <v>2</v>
      </c>
      <c r="O200" s="3"/>
      <c r="P200" s="3">
        <v>0</v>
      </c>
      <c r="Q200" s="3">
        <v>0</v>
      </c>
      <c r="R200" s="3">
        <v>0</v>
      </c>
    </row>
    <row r="201" spans="1:18">
      <c r="A201" s="3" t="s">
        <v>300</v>
      </c>
      <c r="B201" s="3" t="s">
        <v>301</v>
      </c>
      <c r="C201" s="3" t="s">
        <v>302</v>
      </c>
      <c r="D201" s="3" t="s">
        <v>303</v>
      </c>
      <c r="E201" s="3" t="s">
        <v>84</v>
      </c>
      <c r="F201" s="3">
        <v>10.99</v>
      </c>
      <c r="G201" s="3" t="s">
        <v>1553</v>
      </c>
      <c r="H201" s="3"/>
      <c r="I201" s="3" t="s">
        <v>1554</v>
      </c>
      <c r="J201" s="3">
        <v>1</v>
      </c>
      <c r="K201" s="3">
        <v>1</v>
      </c>
      <c r="L201" s="3">
        <v>0</v>
      </c>
      <c r="M201" s="3">
        <v>0</v>
      </c>
      <c r="N201" s="3">
        <v>1</v>
      </c>
      <c r="O201" s="3"/>
      <c r="P201" s="3">
        <v>0</v>
      </c>
      <c r="Q201" s="3">
        <v>0</v>
      </c>
      <c r="R201" s="3">
        <v>0</v>
      </c>
    </row>
    <row r="202" spans="1:18">
      <c r="A202" s="3" t="s">
        <v>1079</v>
      </c>
      <c r="B202" s="3" t="s">
        <v>1080</v>
      </c>
      <c r="C202" s="3" t="s">
        <v>1081</v>
      </c>
      <c r="D202" s="3" t="s">
        <v>1082</v>
      </c>
      <c r="E202" s="3" t="s">
        <v>84</v>
      </c>
      <c r="F202" s="3">
        <v>10.99</v>
      </c>
      <c r="G202" s="3" t="s">
        <v>1553</v>
      </c>
      <c r="H202" s="3"/>
      <c r="I202" s="3" t="s">
        <v>1554</v>
      </c>
      <c r="J202" s="3">
        <v>1</v>
      </c>
      <c r="K202" s="3">
        <v>1</v>
      </c>
      <c r="L202" s="3">
        <v>0</v>
      </c>
      <c r="M202" s="3">
        <v>0</v>
      </c>
      <c r="N202" s="3">
        <v>1</v>
      </c>
      <c r="O202" s="3"/>
      <c r="P202" s="3">
        <v>0</v>
      </c>
      <c r="Q202" s="3">
        <v>0</v>
      </c>
      <c r="R202" s="3">
        <v>0</v>
      </c>
    </row>
    <row r="203" spans="1:18">
      <c r="A203" s="3" t="s">
        <v>405</v>
      </c>
      <c r="B203" s="3" t="s">
        <v>406</v>
      </c>
      <c r="C203" s="3" t="s">
        <v>407</v>
      </c>
      <c r="D203" s="3" t="s">
        <v>408</v>
      </c>
      <c r="E203" s="3" t="s">
        <v>84</v>
      </c>
      <c r="F203" s="3">
        <v>10.99</v>
      </c>
      <c r="G203" s="3" t="s">
        <v>1553</v>
      </c>
      <c r="H203" s="3"/>
      <c r="I203" s="3" t="s">
        <v>1554</v>
      </c>
      <c r="J203" s="3">
        <v>1</v>
      </c>
      <c r="K203" s="3">
        <v>1</v>
      </c>
      <c r="L203" s="3">
        <v>0</v>
      </c>
      <c r="M203" s="3">
        <v>0</v>
      </c>
      <c r="N203" s="3">
        <v>1</v>
      </c>
      <c r="O203" s="3"/>
      <c r="P203" s="3">
        <v>0</v>
      </c>
      <c r="Q203" s="3">
        <v>0</v>
      </c>
      <c r="R203" s="3">
        <v>0</v>
      </c>
    </row>
    <row r="204" spans="1:18">
      <c r="A204" s="3" t="s">
        <v>277</v>
      </c>
      <c r="B204" s="3" t="s">
        <v>278</v>
      </c>
      <c r="C204" s="3" t="s">
        <v>279</v>
      </c>
      <c r="D204" s="3" t="s">
        <v>280</v>
      </c>
      <c r="E204" s="3" t="s">
        <v>84</v>
      </c>
      <c r="F204" s="3">
        <v>10.99</v>
      </c>
      <c r="G204" s="3" t="s">
        <v>1553</v>
      </c>
      <c r="H204" s="3"/>
      <c r="I204" s="3" t="s">
        <v>1554</v>
      </c>
      <c r="J204" s="3">
        <v>2</v>
      </c>
      <c r="K204" s="3">
        <v>2</v>
      </c>
      <c r="L204" s="3">
        <v>0</v>
      </c>
      <c r="M204" s="3">
        <v>0</v>
      </c>
      <c r="N204" s="3">
        <v>2</v>
      </c>
      <c r="O204" s="3"/>
      <c r="P204" s="3">
        <v>0</v>
      </c>
      <c r="Q204" s="3">
        <v>0</v>
      </c>
      <c r="R204" s="3">
        <v>0</v>
      </c>
    </row>
    <row r="205" spans="1:18">
      <c r="A205" s="3" t="s">
        <v>1070</v>
      </c>
      <c r="B205" s="3" t="s">
        <v>1071</v>
      </c>
      <c r="C205" s="3" t="s">
        <v>1072</v>
      </c>
      <c r="D205" s="3" t="s">
        <v>1073</v>
      </c>
      <c r="E205" s="3" t="s">
        <v>84</v>
      </c>
      <c r="F205" s="3">
        <v>12.99</v>
      </c>
      <c r="G205" s="3" t="s">
        <v>1553</v>
      </c>
      <c r="H205" s="3"/>
      <c r="I205" s="3" t="s">
        <v>1554</v>
      </c>
      <c r="J205" s="3">
        <v>1</v>
      </c>
      <c r="K205" s="3">
        <v>1</v>
      </c>
      <c r="L205" s="3">
        <v>0</v>
      </c>
      <c r="M205" s="3">
        <v>0</v>
      </c>
      <c r="N205" s="3">
        <v>1</v>
      </c>
      <c r="O205" s="3">
        <v>0.03</v>
      </c>
      <c r="P205" s="3">
        <v>0</v>
      </c>
      <c r="Q205" s="3">
        <v>0</v>
      </c>
      <c r="R205" s="3">
        <v>0</v>
      </c>
    </row>
    <row r="206" spans="1:18">
      <c r="A206" s="3" t="s">
        <v>1229</v>
      </c>
      <c r="B206" s="3" t="s">
        <v>1230</v>
      </c>
      <c r="C206" s="3" t="s">
        <v>1231</v>
      </c>
      <c r="D206" s="3" t="s">
        <v>1232</v>
      </c>
      <c r="E206" s="3" t="s">
        <v>84</v>
      </c>
      <c r="F206" s="3">
        <v>12.99</v>
      </c>
      <c r="G206" s="3" t="s">
        <v>1553</v>
      </c>
      <c r="H206" s="3"/>
      <c r="I206" s="3" t="s">
        <v>1554</v>
      </c>
      <c r="J206" s="3">
        <v>1</v>
      </c>
      <c r="K206" s="3">
        <v>1</v>
      </c>
      <c r="L206" s="3">
        <v>0</v>
      </c>
      <c r="M206" s="3">
        <v>0</v>
      </c>
      <c r="N206" s="3">
        <v>1</v>
      </c>
      <c r="O206" s="3"/>
      <c r="P206" s="3">
        <v>0</v>
      </c>
      <c r="Q206" s="3">
        <v>0</v>
      </c>
      <c r="R206" s="3">
        <v>0</v>
      </c>
    </row>
    <row r="207" spans="1:18">
      <c r="A207" s="3" t="s">
        <v>337</v>
      </c>
      <c r="B207" s="3" t="s">
        <v>338</v>
      </c>
      <c r="C207" s="3" t="s">
        <v>339</v>
      </c>
      <c r="D207" s="3" t="s">
        <v>340</v>
      </c>
      <c r="E207" s="3" t="s">
        <v>84</v>
      </c>
      <c r="F207" s="3">
        <v>12.99</v>
      </c>
      <c r="G207" s="3" t="s">
        <v>1553</v>
      </c>
      <c r="H207" s="3"/>
      <c r="I207" s="3" t="s">
        <v>1554</v>
      </c>
      <c r="J207" s="3">
        <v>1</v>
      </c>
      <c r="K207" s="3">
        <v>1</v>
      </c>
      <c r="L207" s="3">
        <v>0</v>
      </c>
      <c r="M207" s="3">
        <v>0</v>
      </c>
      <c r="N207" s="3">
        <v>1</v>
      </c>
      <c r="O207" s="3"/>
      <c r="P207" s="3">
        <v>0</v>
      </c>
      <c r="Q207" s="3">
        <v>0</v>
      </c>
      <c r="R207" s="3">
        <v>0</v>
      </c>
    </row>
    <row r="208" spans="1:18">
      <c r="A208" s="3" t="s">
        <v>1369</v>
      </c>
      <c r="B208" s="3" t="s">
        <v>1370</v>
      </c>
      <c r="C208" s="3" t="s">
        <v>1371</v>
      </c>
      <c r="D208" s="3" t="s">
        <v>1372</v>
      </c>
      <c r="E208" s="3" t="s">
        <v>84</v>
      </c>
      <c r="F208" s="3">
        <v>10.99</v>
      </c>
      <c r="G208" s="3" t="s">
        <v>1553</v>
      </c>
      <c r="H208" s="3"/>
      <c r="I208" s="3" t="s">
        <v>1554</v>
      </c>
      <c r="J208" s="3">
        <v>1</v>
      </c>
      <c r="K208" s="3">
        <v>1</v>
      </c>
      <c r="L208" s="3">
        <v>0</v>
      </c>
      <c r="M208" s="3">
        <v>0</v>
      </c>
      <c r="N208" s="3">
        <v>1</v>
      </c>
      <c r="O208" s="3"/>
      <c r="P208" s="3">
        <v>0</v>
      </c>
      <c r="Q208" s="3">
        <v>0</v>
      </c>
      <c r="R208" s="3">
        <v>0</v>
      </c>
    </row>
    <row r="209" spans="1:18">
      <c r="A209" s="3" t="s">
        <v>1034</v>
      </c>
      <c r="B209" s="3" t="s">
        <v>1035</v>
      </c>
      <c r="C209" s="3" t="s">
        <v>1036</v>
      </c>
      <c r="D209" s="3" t="s">
        <v>1037</v>
      </c>
      <c r="E209" s="3" t="s">
        <v>84</v>
      </c>
      <c r="F209" s="3">
        <v>10.99</v>
      </c>
      <c r="G209" s="3" t="s">
        <v>1553</v>
      </c>
      <c r="H209" s="3"/>
      <c r="I209" s="3" t="s">
        <v>1554</v>
      </c>
      <c r="J209" s="3">
        <v>1</v>
      </c>
      <c r="K209" s="3">
        <v>1</v>
      </c>
      <c r="L209" s="3">
        <v>0</v>
      </c>
      <c r="M209" s="3">
        <v>0</v>
      </c>
      <c r="N209" s="3">
        <v>1</v>
      </c>
      <c r="O209" s="3"/>
      <c r="P209" s="3">
        <v>0</v>
      </c>
      <c r="Q209" s="3">
        <v>0</v>
      </c>
      <c r="R209" s="3">
        <v>0</v>
      </c>
    </row>
    <row r="210" spans="1:18">
      <c r="A210" s="3" t="s">
        <v>182</v>
      </c>
      <c r="B210" s="3" t="s">
        <v>183</v>
      </c>
      <c r="C210" s="3" t="s">
        <v>184</v>
      </c>
      <c r="D210" s="3" t="s">
        <v>185</v>
      </c>
      <c r="E210" s="3" t="s">
        <v>84</v>
      </c>
      <c r="F210" s="3">
        <v>10.99</v>
      </c>
      <c r="G210" s="3" t="s">
        <v>1553</v>
      </c>
      <c r="H210" s="3"/>
      <c r="I210" s="3" t="s">
        <v>1554</v>
      </c>
      <c r="J210" s="3">
        <v>1</v>
      </c>
      <c r="K210" s="3">
        <v>1</v>
      </c>
      <c r="L210" s="3">
        <v>0</v>
      </c>
      <c r="M210" s="3">
        <v>0</v>
      </c>
      <c r="N210" s="3">
        <v>1</v>
      </c>
      <c r="O210" s="3"/>
      <c r="P210" s="3">
        <v>0</v>
      </c>
      <c r="Q210" s="3">
        <v>0</v>
      </c>
      <c r="R210" s="3">
        <v>0</v>
      </c>
    </row>
    <row r="211" spans="1:18">
      <c r="A211" s="3" t="s">
        <v>225</v>
      </c>
      <c r="B211" s="3" t="s">
        <v>226</v>
      </c>
      <c r="C211" s="3" t="s">
        <v>227</v>
      </c>
      <c r="D211" s="3" t="s">
        <v>228</v>
      </c>
      <c r="E211" s="3" t="s">
        <v>84</v>
      </c>
      <c r="F211" s="3">
        <v>10.99</v>
      </c>
      <c r="G211" s="3" t="s">
        <v>1553</v>
      </c>
      <c r="H211" s="3"/>
      <c r="I211" s="3" t="s">
        <v>1554</v>
      </c>
      <c r="J211" s="3">
        <v>1</v>
      </c>
      <c r="K211" s="3">
        <v>1</v>
      </c>
      <c r="L211" s="3">
        <v>0</v>
      </c>
      <c r="M211" s="3">
        <v>0</v>
      </c>
      <c r="N211" s="3">
        <v>1</v>
      </c>
      <c r="O211" s="3">
        <v>0.04</v>
      </c>
      <c r="P211" s="3">
        <v>0</v>
      </c>
      <c r="Q211" s="3">
        <v>0</v>
      </c>
      <c r="R211" s="3">
        <v>0</v>
      </c>
    </row>
    <row r="212" spans="1:18">
      <c r="A212" s="3" t="s">
        <v>790</v>
      </c>
      <c r="B212" s="3" t="s">
        <v>791</v>
      </c>
      <c r="C212" s="3" t="s">
        <v>792</v>
      </c>
      <c r="D212" s="3" t="s">
        <v>793</v>
      </c>
      <c r="E212" s="3" t="s">
        <v>84</v>
      </c>
      <c r="F212" s="3">
        <v>10.99</v>
      </c>
      <c r="G212" s="3" t="s">
        <v>1553</v>
      </c>
      <c r="H212" s="3"/>
      <c r="I212" s="3" t="s">
        <v>1554</v>
      </c>
      <c r="J212" s="3">
        <v>1</v>
      </c>
      <c r="K212" s="3">
        <v>1</v>
      </c>
      <c r="L212" s="3">
        <v>0</v>
      </c>
      <c r="M212" s="3">
        <v>0</v>
      </c>
      <c r="N212" s="3">
        <v>1</v>
      </c>
      <c r="O212" s="3">
        <v>0.04</v>
      </c>
      <c r="P212" s="3">
        <v>0</v>
      </c>
      <c r="Q212" s="3">
        <v>0</v>
      </c>
      <c r="R212" s="3">
        <v>0</v>
      </c>
    </row>
    <row r="213" spans="1:18">
      <c r="A213" s="3" t="s">
        <v>516</v>
      </c>
      <c r="B213" s="3" t="s">
        <v>517</v>
      </c>
      <c r="C213" s="3" t="s">
        <v>518</v>
      </c>
      <c r="D213" s="3" t="s">
        <v>519</v>
      </c>
      <c r="E213" s="3" t="s">
        <v>84</v>
      </c>
      <c r="F213" s="3">
        <v>10.99</v>
      </c>
      <c r="G213" s="3" t="s">
        <v>1553</v>
      </c>
      <c r="H213" s="3"/>
      <c r="I213" s="3" t="s">
        <v>1554</v>
      </c>
      <c r="J213" s="3">
        <v>1</v>
      </c>
      <c r="K213" s="3">
        <v>1</v>
      </c>
      <c r="L213" s="3">
        <v>0</v>
      </c>
      <c r="M213" s="3">
        <v>0</v>
      </c>
      <c r="N213" s="3">
        <v>1</v>
      </c>
      <c r="O213" s="3">
        <v>0.04</v>
      </c>
      <c r="P213" s="3">
        <v>0</v>
      </c>
      <c r="Q213" s="3">
        <v>0</v>
      </c>
      <c r="R213" s="3">
        <v>0</v>
      </c>
    </row>
    <row r="214" spans="1:18">
      <c r="A214" s="3" t="s">
        <v>458</v>
      </c>
      <c r="B214" s="3" t="s">
        <v>459</v>
      </c>
      <c r="C214" s="3" t="s">
        <v>460</v>
      </c>
      <c r="D214" s="3" t="s">
        <v>461</v>
      </c>
      <c r="E214" s="3" t="s">
        <v>84</v>
      </c>
      <c r="F214" s="3">
        <v>10.99</v>
      </c>
      <c r="G214" s="3" t="s">
        <v>1553</v>
      </c>
      <c r="H214" s="3"/>
      <c r="I214" s="3" t="s">
        <v>1554</v>
      </c>
      <c r="J214" s="3">
        <v>1</v>
      </c>
      <c r="K214" s="3">
        <v>1</v>
      </c>
      <c r="L214" s="3">
        <v>0</v>
      </c>
      <c r="M214" s="3">
        <v>0</v>
      </c>
      <c r="N214" s="3">
        <v>1</v>
      </c>
      <c r="O214" s="3"/>
      <c r="P214" s="3">
        <v>0</v>
      </c>
      <c r="Q214" s="3">
        <v>0</v>
      </c>
      <c r="R214" s="3">
        <v>0</v>
      </c>
    </row>
    <row r="215" spans="1:18">
      <c r="A215" s="3" t="s">
        <v>1095</v>
      </c>
      <c r="B215" s="3" t="s">
        <v>1096</v>
      </c>
      <c r="C215" s="3" t="s">
        <v>1097</v>
      </c>
      <c r="D215" s="3" t="s">
        <v>1098</v>
      </c>
      <c r="E215" s="3" t="s">
        <v>84</v>
      </c>
      <c r="F215" s="3">
        <v>10.99</v>
      </c>
      <c r="G215" s="3" t="s">
        <v>1553</v>
      </c>
      <c r="H215" s="3"/>
      <c r="I215" s="3" t="s">
        <v>1554</v>
      </c>
      <c r="J215" s="3">
        <v>1</v>
      </c>
      <c r="K215" s="3">
        <v>1</v>
      </c>
      <c r="L215" s="3">
        <v>0</v>
      </c>
      <c r="M215" s="3">
        <v>0</v>
      </c>
      <c r="N215" s="3">
        <v>1</v>
      </c>
      <c r="O215" s="3"/>
      <c r="P215" s="3">
        <v>0</v>
      </c>
      <c r="Q215" s="3">
        <v>0</v>
      </c>
      <c r="R215" s="3">
        <v>0</v>
      </c>
    </row>
    <row r="216" spans="1:18">
      <c r="A216" s="3" t="s">
        <v>500</v>
      </c>
      <c r="B216" s="3" t="s">
        <v>501</v>
      </c>
      <c r="C216" s="3" t="s">
        <v>502</v>
      </c>
      <c r="D216" s="3" t="s">
        <v>503</v>
      </c>
      <c r="E216" s="3" t="s">
        <v>84</v>
      </c>
      <c r="F216" s="3">
        <v>8.99</v>
      </c>
      <c r="G216" s="3" t="s">
        <v>1553</v>
      </c>
      <c r="H216" s="3"/>
      <c r="I216" s="3" t="s">
        <v>1554</v>
      </c>
      <c r="J216" s="3">
        <v>2</v>
      </c>
      <c r="K216" s="3">
        <v>2</v>
      </c>
      <c r="L216" s="3">
        <v>0</v>
      </c>
      <c r="M216" s="3">
        <v>0</v>
      </c>
      <c r="N216" s="3">
        <v>2</v>
      </c>
      <c r="O216" s="3"/>
      <c r="P216" s="3">
        <v>0</v>
      </c>
      <c r="Q216" s="3">
        <v>0</v>
      </c>
      <c r="R216" s="3">
        <v>0</v>
      </c>
    </row>
    <row r="217" spans="1:18">
      <c r="A217" s="3" t="s">
        <v>1657</v>
      </c>
      <c r="B217" s="3" t="s">
        <v>1658</v>
      </c>
      <c r="C217" s="3" t="s">
        <v>1659</v>
      </c>
      <c r="D217" s="3"/>
      <c r="E217" s="3" t="s">
        <v>1570</v>
      </c>
      <c r="F217" s="3"/>
      <c r="G217" s="3"/>
      <c r="H217" s="3"/>
      <c r="I217" s="3"/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/>
      <c r="P217" s="3">
        <v>0</v>
      </c>
      <c r="Q217" s="3">
        <v>0</v>
      </c>
      <c r="R217" s="3">
        <v>0</v>
      </c>
    </row>
    <row r="218" spans="1:18">
      <c r="A218" s="3" t="s">
        <v>570</v>
      </c>
      <c r="B218" s="3" t="s">
        <v>571</v>
      </c>
      <c r="C218" s="3" t="s">
        <v>572</v>
      </c>
      <c r="D218" s="3" t="s">
        <v>573</v>
      </c>
      <c r="E218" s="3" t="s">
        <v>84</v>
      </c>
      <c r="F218" s="3">
        <v>8.99</v>
      </c>
      <c r="G218" s="3" t="s">
        <v>1553</v>
      </c>
      <c r="H218" s="3"/>
      <c r="I218" s="3" t="s">
        <v>1554</v>
      </c>
      <c r="J218" s="3">
        <v>2</v>
      </c>
      <c r="K218" s="3">
        <v>2</v>
      </c>
      <c r="L218" s="3">
        <v>0</v>
      </c>
      <c r="M218" s="3">
        <v>0</v>
      </c>
      <c r="N218" s="3">
        <v>2</v>
      </c>
      <c r="O218" s="3"/>
      <c r="P218" s="3">
        <v>0</v>
      </c>
      <c r="Q218" s="3">
        <v>0</v>
      </c>
      <c r="R218" s="3">
        <v>0</v>
      </c>
    </row>
    <row r="219" spans="1:18">
      <c r="A219" s="3" t="s">
        <v>1030</v>
      </c>
      <c r="B219" s="3" t="s">
        <v>1031</v>
      </c>
      <c r="C219" s="3" t="s">
        <v>1032</v>
      </c>
      <c r="D219" s="3" t="s">
        <v>1033</v>
      </c>
      <c r="E219" s="3" t="s">
        <v>84</v>
      </c>
      <c r="F219" s="3">
        <v>38.9</v>
      </c>
      <c r="G219" s="3" t="s">
        <v>1553</v>
      </c>
      <c r="H219" s="3"/>
      <c r="I219" s="3" t="s">
        <v>1554</v>
      </c>
      <c r="J219" s="3">
        <v>3</v>
      </c>
      <c r="K219" s="3">
        <v>3</v>
      </c>
      <c r="L219" s="3">
        <v>0</v>
      </c>
      <c r="M219" s="3">
        <v>0</v>
      </c>
      <c r="N219" s="3">
        <v>3</v>
      </c>
      <c r="O219" s="3">
        <v>0.16</v>
      </c>
      <c r="P219" s="3">
        <v>0</v>
      </c>
      <c r="Q219" s="3">
        <v>0</v>
      </c>
      <c r="R219" s="3">
        <v>0</v>
      </c>
    </row>
    <row r="220" spans="1:18">
      <c r="A220" s="3" t="s">
        <v>122</v>
      </c>
      <c r="B220" s="3" t="s">
        <v>123</v>
      </c>
      <c r="C220" s="3" t="s">
        <v>124</v>
      </c>
      <c r="D220" s="3" t="s">
        <v>125</v>
      </c>
      <c r="E220" s="3" t="s">
        <v>84</v>
      </c>
      <c r="F220" s="3">
        <v>38.9</v>
      </c>
      <c r="G220" s="3" t="s">
        <v>1553</v>
      </c>
      <c r="H220" s="3"/>
      <c r="I220" s="3" t="s">
        <v>1554</v>
      </c>
      <c r="J220" s="3">
        <v>3</v>
      </c>
      <c r="K220" s="3">
        <v>3</v>
      </c>
      <c r="L220" s="3">
        <v>0</v>
      </c>
      <c r="M220" s="3">
        <v>0</v>
      </c>
      <c r="N220" s="3">
        <v>3</v>
      </c>
      <c r="O220" s="3">
        <v>0.16</v>
      </c>
      <c r="P220" s="3">
        <v>0</v>
      </c>
      <c r="Q220" s="3">
        <v>0</v>
      </c>
      <c r="R220" s="3">
        <v>0</v>
      </c>
    </row>
    <row r="221" spans="1:18">
      <c r="A221" s="3" t="s">
        <v>1660</v>
      </c>
      <c r="B221" s="3" t="s">
        <v>1661</v>
      </c>
      <c r="C221" s="3" t="s">
        <v>1662</v>
      </c>
      <c r="D221" s="3" t="s">
        <v>1663</v>
      </c>
      <c r="E221" s="3" t="s">
        <v>84</v>
      </c>
      <c r="F221" s="3">
        <v>38.9</v>
      </c>
      <c r="G221" s="3" t="s">
        <v>1553</v>
      </c>
      <c r="H221" s="3"/>
      <c r="I221" s="3" t="s">
        <v>1554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0.16</v>
      </c>
      <c r="P221" s="3">
        <v>0</v>
      </c>
      <c r="Q221" s="3">
        <v>0</v>
      </c>
      <c r="R221" s="3">
        <v>0</v>
      </c>
    </row>
    <row r="222" spans="1:18">
      <c r="A222" s="3" t="s">
        <v>1128</v>
      </c>
      <c r="B222" s="3" t="s">
        <v>1129</v>
      </c>
      <c r="C222" s="3" t="s">
        <v>1130</v>
      </c>
      <c r="D222" s="3" t="s">
        <v>1131</v>
      </c>
      <c r="E222" s="3" t="s">
        <v>84</v>
      </c>
      <c r="F222" s="3">
        <v>38.9</v>
      </c>
      <c r="G222" s="3" t="s">
        <v>1553</v>
      </c>
      <c r="H222" s="3"/>
      <c r="I222" s="3" t="s">
        <v>1554</v>
      </c>
      <c r="J222" s="3">
        <v>3</v>
      </c>
      <c r="K222" s="3">
        <v>3</v>
      </c>
      <c r="L222" s="3">
        <v>0</v>
      </c>
      <c r="M222" s="3">
        <v>0</v>
      </c>
      <c r="N222" s="3">
        <v>3</v>
      </c>
      <c r="O222" s="3">
        <v>0.19</v>
      </c>
      <c r="P222" s="3">
        <v>0</v>
      </c>
      <c r="Q222" s="3">
        <v>0</v>
      </c>
      <c r="R222" s="3">
        <v>0</v>
      </c>
    </row>
    <row r="223" spans="1:18">
      <c r="A223" s="3" t="s">
        <v>127</v>
      </c>
      <c r="B223" s="3" t="s">
        <v>128</v>
      </c>
      <c r="C223" s="3" t="s">
        <v>129</v>
      </c>
      <c r="D223" s="3" t="s">
        <v>130</v>
      </c>
      <c r="E223" s="3" t="s">
        <v>84</v>
      </c>
      <c r="F223" s="3">
        <v>38.9</v>
      </c>
      <c r="G223" s="3" t="s">
        <v>1553</v>
      </c>
      <c r="H223" s="3"/>
      <c r="I223" s="3" t="s">
        <v>1554</v>
      </c>
      <c r="J223" s="3">
        <v>2</v>
      </c>
      <c r="K223" s="3">
        <v>2</v>
      </c>
      <c r="L223" s="3">
        <v>0</v>
      </c>
      <c r="M223" s="3">
        <v>0</v>
      </c>
      <c r="N223" s="3">
        <v>2</v>
      </c>
      <c r="O223" s="3">
        <v>0.16</v>
      </c>
      <c r="P223" s="3">
        <v>0</v>
      </c>
      <c r="Q223" s="3">
        <v>0</v>
      </c>
      <c r="R223" s="3">
        <v>0</v>
      </c>
    </row>
    <row r="224" spans="1:18">
      <c r="A224" s="3" t="s">
        <v>141</v>
      </c>
      <c r="B224" s="3" t="s">
        <v>142</v>
      </c>
      <c r="C224" s="3" t="s">
        <v>143</v>
      </c>
      <c r="D224" s="3" t="s">
        <v>144</v>
      </c>
      <c r="E224" s="3" t="s">
        <v>84</v>
      </c>
      <c r="F224" s="3">
        <v>38.9</v>
      </c>
      <c r="G224" s="3" t="s">
        <v>1553</v>
      </c>
      <c r="H224" s="3"/>
      <c r="I224" s="3" t="s">
        <v>1554</v>
      </c>
      <c r="J224" s="3">
        <v>3</v>
      </c>
      <c r="K224" s="3">
        <v>3</v>
      </c>
      <c r="L224" s="3">
        <v>0</v>
      </c>
      <c r="M224" s="3">
        <v>0</v>
      </c>
      <c r="N224" s="3">
        <v>3</v>
      </c>
      <c r="O224" s="3">
        <v>0.16</v>
      </c>
      <c r="P224" s="3">
        <v>0</v>
      </c>
      <c r="Q224" s="3">
        <v>0</v>
      </c>
      <c r="R224" s="3">
        <v>0</v>
      </c>
    </row>
    <row r="225" spans="1:18">
      <c r="A225" s="3" t="s">
        <v>1385</v>
      </c>
      <c r="B225" s="3" t="s">
        <v>1386</v>
      </c>
      <c r="C225" s="3" t="s">
        <v>1387</v>
      </c>
      <c r="D225" s="3" t="s">
        <v>1388</v>
      </c>
      <c r="E225" s="3" t="s">
        <v>84</v>
      </c>
      <c r="F225" s="3">
        <v>38.9</v>
      </c>
      <c r="G225" s="3" t="s">
        <v>1553</v>
      </c>
      <c r="H225" s="3"/>
      <c r="I225" s="3" t="s">
        <v>1554</v>
      </c>
      <c r="J225" s="3">
        <v>3</v>
      </c>
      <c r="K225" s="3">
        <v>3</v>
      </c>
      <c r="L225" s="3">
        <v>0</v>
      </c>
      <c r="M225" s="3">
        <v>0</v>
      </c>
      <c r="N225" s="3">
        <v>3</v>
      </c>
      <c r="O225" s="3">
        <v>0.16</v>
      </c>
      <c r="P225" s="3">
        <v>0</v>
      </c>
      <c r="Q225" s="3">
        <v>0</v>
      </c>
      <c r="R225" s="3">
        <v>0</v>
      </c>
    </row>
    <row r="226" spans="1:18">
      <c r="A226" s="3" t="s">
        <v>165</v>
      </c>
      <c r="B226" s="3" t="s">
        <v>166</v>
      </c>
      <c r="C226" s="3" t="s">
        <v>167</v>
      </c>
      <c r="D226" s="3" t="s">
        <v>168</v>
      </c>
      <c r="E226" s="3" t="s">
        <v>84</v>
      </c>
      <c r="F226" s="3">
        <v>38.9</v>
      </c>
      <c r="G226" s="3" t="s">
        <v>1553</v>
      </c>
      <c r="H226" s="3"/>
      <c r="I226" s="3" t="s">
        <v>1554</v>
      </c>
      <c r="J226" s="3">
        <v>3</v>
      </c>
      <c r="K226" s="3">
        <v>3</v>
      </c>
      <c r="L226" s="3">
        <v>0</v>
      </c>
      <c r="M226" s="3">
        <v>0</v>
      </c>
      <c r="N226" s="3">
        <v>3</v>
      </c>
      <c r="O226" s="3">
        <v>0.16</v>
      </c>
      <c r="P226" s="3">
        <v>0</v>
      </c>
      <c r="Q226" s="3">
        <v>0</v>
      </c>
      <c r="R226" s="3">
        <v>0</v>
      </c>
    </row>
    <row r="227" spans="1:18">
      <c r="A227" s="3" t="s">
        <v>512</v>
      </c>
      <c r="B227" s="3" t="s">
        <v>513</v>
      </c>
      <c r="C227" s="3" t="s">
        <v>514</v>
      </c>
      <c r="D227" s="3" t="s">
        <v>515</v>
      </c>
      <c r="E227" s="3" t="s">
        <v>84</v>
      </c>
      <c r="F227" s="3">
        <v>38.9</v>
      </c>
      <c r="G227" s="3" t="s">
        <v>1553</v>
      </c>
      <c r="H227" s="3"/>
      <c r="I227" s="3" t="s">
        <v>1554</v>
      </c>
      <c r="J227" s="3">
        <v>3</v>
      </c>
      <c r="K227" s="3">
        <v>3</v>
      </c>
      <c r="L227" s="3">
        <v>0</v>
      </c>
      <c r="M227" s="3">
        <v>0</v>
      </c>
      <c r="N227" s="3">
        <v>3</v>
      </c>
      <c r="O227" s="3">
        <v>0.16</v>
      </c>
      <c r="P227" s="3">
        <v>0</v>
      </c>
      <c r="Q227" s="3">
        <v>0</v>
      </c>
      <c r="R227" s="3">
        <v>0</v>
      </c>
    </row>
    <row r="228" spans="1:18">
      <c r="A228" s="3" t="s">
        <v>401</v>
      </c>
      <c r="B228" s="3" t="s">
        <v>402</v>
      </c>
      <c r="C228" s="3" t="s">
        <v>403</v>
      </c>
      <c r="D228" s="3" t="s">
        <v>404</v>
      </c>
      <c r="E228" s="3" t="s">
        <v>84</v>
      </c>
      <c r="F228" s="3">
        <v>38.9</v>
      </c>
      <c r="G228" s="3" t="s">
        <v>1553</v>
      </c>
      <c r="H228" s="3"/>
      <c r="I228" s="3" t="s">
        <v>1554</v>
      </c>
      <c r="J228" s="3">
        <v>3</v>
      </c>
      <c r="K228" s="3">
        <v>3</v>
      </c>
      <c r="L228" s="3">
        <v>0</v>
      </c>
      <c r="M228" s="3">
        <v>0</v>
      </c>
      <c r="N228" s="3">
        <v>3</v>
      </c>
      <c r="O228" s="3">
        <v>0.16</v>
      </c>
      <c r="P228" s="3">
        <v>0</v>
      </c>
      <c r="Q228" s="3">
        <v>0</v>
      </c>
      <c r="R228" s="3">
        <v>0</v>
      </c>
    </row>
    <row r="229" spans="1:18">
      <c r="A229" s="3" t="s">
        <v>1664</v>
      </c>
      <c r="B229" s="3" t="s">
        <v>1665</v>
      </c>
      <c r="C229" s="3" t="s">
        <v>1666</v>
      </c>
      <c r="D229" s="3" t="s">
        <v>1667</v>
      </c>
      <c r="E229" s="3" t="s">
        <v>84</v>
      </c>
      <c r="F229" s="3">
        <v>38.9</v>
      </c>
      <c r="G229" s="3" t="s">
        <v>1553</v>
      </c>
      <c r="H229" s="3"/>
      <c r="I229" s="3" t="s">
        <v>1554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0.16</v>
      </c>
      <c r="P229" s="3">
        <v>0</v>
      </c>
      <c r="Q229" s="3">
        <v>0</v>
      </c>
      <c r="R229" s="3">
        <v>0</v>
      </c>
    </row>
    <row r="230" spans="1:18">
      <c r="A230" s="3" t="s">
        <v>613</v>
      </c>
      <c r="B230" s="3" t="s">
        <v>614</v>
      </c>
      <c r="C230" s="3" t="s">
        <v>615</v>
      </c>
      <c r="D230" s="3" t="s">
        <v>616</v>
      </c>
      <c r="E230" s="3" t="s">
        <v>84</v>
      </c>
      <c r="F230" s="3">
        <v>38.9</v>
      </c>
      <c r="G230" s="3" t="s">
        <v>1553</v>
      </c>
      <c r="H230" s="3"/>
      <c r="I230" s="3" t="s">
        <v>1554</v>
      </c>
      <c r="J230" s="3">
        <v>3</v>
      </c>
      <c r="K230" s="3">
        <v>3</v>
      </c>
      <c r="L230" s="3">
        <v>0</v>
      </c>
      <c r="M230" s="3">
        <v>0</v>
      </c>
      <c r="N230" s="3">
        <v>3</v>
      </c>
      <c r="O230" s="3">
        <v>0.19</v>
      </c>
      <c r="P230" s="3">
        <v>0</v>
      </c>
      <c r="Q230" s="3">
        <v>0</v>
      </c>
      <c r="R230" s="3">
        <v>0</v>
      </c>
    </row>
    <row r="231" spans="1:18">
      <c r="A231" s="3" t="s">
        <v>1668</v>
      </c>
      <c r="B231" s="3" t="s">
        <v>1669</v>
      </c>
      <c r="C231" s="3" t="s">
        <v>1670</v>
      </c>
      <c r="D231" s="3"/>
      <c r="E231" s="3" t="s">
        <v>1570</v>
      </c>
      <c r="F231" s="3"/>
      <c r="G231" s="3"/>
      <c r="H231" s="3"/>
      <c r="I231" s="3"/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/>
      <c r="P231" s="3">
        <v>0</v>
      </c>
      <c r="Q231" s="3">
        <v>0</v>
      </c>
      <c r="R231" s="3">
        <v>0</v>
      </c>
    </row>
    <row r="232" spans="1:18">
      <c r="A232" s="3" t="s">
        <v>1671</v>
      </c>
      <c r="B232" s="3" t="s">
        <v>1672</v>
      </c>
      <c r="C232" s="3" t="s">
        <v>1673</v>
      </c>
      <c r="D232" s="3"/>
      <c r="E232" s="3" t="s">
        <v>1570</v>
      </c>
      <c r="F232" s="3"/>
      <c r="G232" s="3"/>
      <c r="H232" s="3"/>
      <c r="I232" s="3"/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1674</v>
      </c>
      <c r="B233" s="3" t="s">
        <v>1675</v>
      </c>
      <c r="C233" s="3" t="s">
        <v>1676</v>
      </c>
      <c r="D233" s="3"/>
      <c r="E233" s="3" t="s">
        <v>1570</v>
      </c>
      <c r="F233" s="3"/>
      <c r="G233" s="3"/>
      <c r="H233" s="3"/>
      <c r="I233" s="3"/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635</v>
      </c>
      <c r="B234" s="3" t="s">
        <v>636</v>
      </c>
      <c r="C234" s="3" t="s">
        <v>637</v>
      </c>
      <c r="D234" s="3" t="s">
        <v>638</v>
      </c>
      <c r="E234" s="3" t="s">
        <v>84</v>
      </c>
      <c r="F234" s="3">
        <v>12.99</v>
      </c>
      <c r="G234" s="3" t="s">
        <v>1553</v>
      </c>
      <c r="H234" s="3"/>
      <c r="I234" s="3" t="s">
        <v>1554</v>
      </c>
      <c r="J234" s="3">
        <v>1</v>
      </c>
      <c r="K234" s="3">
        <v>1</v>
      </c>
      <c r="L234" s="3">
        <v>0</v>
      </c>
      <c r="M234" s="3">
        <v>0</v>
      </c>
      <c r="N234" s="3">
        <v>1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1001</v>
      </c>
      <c r="B235" s="3" t="s">
        <v>1002</v>
      </c>
      <c r="C235" s="3" t="s">
        <v>1003</v>
      </c>
      <c r="D235" s="3" t="s">
        <v>1004</v>
      </c>
      <c r="E235" s="3" t="s">
        <v>84</v>
      </c>
      <c r="F235" s="3">
        <v>12.99</v>
      </c>
      <c r="G235" s="3" t="s">
        <v>1553</v>
      </c>
      <c r="H235" s="3"/>
      <c r="I235" s="3" t="s">
        <v>1554</v>
      </c>
      <c r="J235" s="3">
        <v>1</v>
      </c>
      <c r="K235" s="3">
        <v>1</v>
      </c>
      <c r="L235" s="3">
        <v>0</v>
      </c>
      <c r="M235" s="3">
        <v>0</v>
      </c>
      <c r="N235" s="3">
        <v>1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467</v>
      </c>
      <c r="B236" s="3" t="s">
        <v>468</v>
      </c>
      <c r="C236" s="3" t="s">
        <v>469</v>
      </c>
      <c r="D236" s="3" t="s">
        <v>470</v>
      </c>
      <c r="E236" s="3" t="s">
        <v>84</v>
      </c>
      <c r="F236" s="3">
        <v>12.99</v>
      </c>
      <c r="G236" s="3" t="s">
        <v>1553</v>
      </c>
      <c r="H236" s="3"/>
      <c r="I236" s="3" t="s">
        <v>1554</v>
      </c>
      <c r="J236" s="3">
        <v>1</v>
      </c>
      <c r="K236" s="3">
        <v>1</v>
      </c>
      <c r="L236" s="3">
        <v>0</v>
      </c>
      <c r="M236" s="3">
        <v>0</v>
      </c>
      <c r="N236" s="3">
        <v>1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943</v>
      </c>
      <c r="B237" s="3" t="s">
        <v>944</v>
      </c>
      <c r="C237" s="3" t="s">
        <v>945</v>
      </c>
      <c r="D237" s="3" t="s">
        <v>946</v>
      </c>
      <c r="E237" s="3" t="s">
        <v>84</v>
      </c>
      <c r="F237" s="3">
        <v>12.99</v>
      </c>
      <c r="G237" s="3" t="s">
        <v>1553</v>
      </c>
      <c r="H237" s="3"/>
      <c r="I237" s="3" t="s">
        <v>1554</v>
      </c>
      <c r="J237" s="3">
        <v>1</v>
      </c>
      <c r="K237" s="3">
        <v>1</v>
      </c>
      <c r="L237" s="3">
        <v>0</v>
      </c>
      <c r="M237" s="3">
        <v>0</v>
      </c>
      <c r="N237" s="3">
        <v>1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1282</v>
      </c>
      <c r="B238" s="3" t="s">
        <v>1283</v>
      </c>
      <c r="C238" s="3" t="s">
        <v>1284</v>
      </c>
      <c r="D238" s="3" t="s">
        <v>1285</v>
      </c>
      <c r="E238" s="3" t="s">
        <v>84</v>
      </c>
      <c r="F238" s="3">
        <v>12.99</v>
      </c>
      <c r="G238" s="3" t="s">
        <v>1553</v>
      </c>
      <c r="H238" s="3"/>
      <c r="I238" s="3" t="s">
        <v>1554</v>
      </c>
      <c r="J238" s="3">
        <v>1</v>
      </c>
      <c r="K238" s="3">
        <v>1</v>
      </c>
      <c r="L238" s="3">
        <v>0</v>
      </c>
      <c r="M238" s="3">
        <v>0</v>
      </c>
      <c r="N238" s="3">
        <v>1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397</v>
      </c>
      <c r="B239" s="3" t="s">
        <v>398</v>
      </c>
      <c r="C239" s="3" t="s">
        <v>399</v>
      </c>
      <c r="D239" s="3" t="s">
        <v>400</v>
      </c>
      <c r="E239" s="3" t="s">
        <v>84</v>
      </c>
      <c r="F239" s="3">
        <v>12.99</v>
      </c>
      <c r="G239" s="3" t="s">
        <v>1553</v>
      </c>
      <c r="H239" s="3"/>
      <c r="I239" s="3" t="s">
        <v>1554</v>
      </c>
      <c r="J239" s="3">
        <v>1</v>
      </c>
      <c r="K239" s="3">
        <v>1</v>
      </c>
      <c r="L239" s="3">
        <v>0</v>
      </c>
      <c r="M239" s="3">
        <v>0</v>
      </c>
      <c r="N239" s="3">
        <v>1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1050</v>
      </c>
      <c r="B240" s="3" t="s">
        <v>1051</v>
      </c>
      <c r="C240" s="3" t="s">
        <v>1052</v>
      </c>
      <c r="D240" s="3" t="s">
        <v>1053</v>
      </c>
      <c r="E240" s="3" t="s">
        <v>84</v>
      </c>
      <c r="F240" s="3">
        <v>12.99</v>
      </c>
      <c r="G240" s="3" t="s">
        <v>1553</v>
      </c>
      <c r="H240" s="3"/>
      <c r="I240" s="3" t="s">
        <v>1554</v>
      </c>
      <c r="J240" s="3">
        <v>1</v>
      </c>
      <c r="K240" s="3">
        <v>1</v>
      </c>
      <c r="L240" s="3">
        <v>0</v>
      </c>
      <c r="M240" s="3">
        <v>0</v>
      </c>
      <c r="N240" s="3">
        <v>1</v>
      </c>
      <c r="O240" s="3"/>
      <c r="P240" s="3">
        <v>0</v>
      </c>
      <c r="Q240" s="3">
        <v>0</v>
      </c>
      <c r="R240" s="3">
        <v>0</v>
      </c>
    </row>
    <row r="241" spans="1:18">
      <c r="A241" s="3" t="s">
        <v>1677</v>
      </c>
      <c r="B241" s="3" t="s">
        <v>1678</v>
      </c>
      <c r="C241" s="3" t="s">
        <v>1679</v>
      </c>
      <c r="D241" s="3"/>
      <c r="E241" s="3" t="s">
        <v>1570</v>
      </c>
      <c r="F241" s="3"/>
      <c r="G241" s="3"/>
      <c r="H241" s="3"/>
      <c r="I241" s="3"/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/>
      <c r="P241" s="3">
        <v>0</v>
      </c>
      <c r="Q241" s="3">
        <v>0</v>
      </c>
      <c r="R241" s="3">
        <v>0</v>
      </c>
    </row>
    <row r="242" spans="1:18">
      <c r="A242" s="3" t="s">
        <v>1183</v>
      </c>
      <c r="B242" s="3" t="s">
        <v>1184</v>
      </c>
      <c r="C242" s="3" t="s">
        <v>1185</v>
      </c>
      <c r="D242" s="3" t="s">
        <v>1186</v>
      </c>
      <c r="E242" s="3" t="s">
        <v>84</v>
      </c>
      <c r="F242" s="3">
        <v>12.99</v>
      </c>
      <c r="G242" s="3" t="s">
        <v>1553</v>
      </c>
      <c r="H242" s="3"/>
      <c r="I242" s="3" t="s">
        <v>1554</v>
      </c>
      <c r="J242" s="3">
        <v>1</v>
      </c>
      <c r="K242" s="3">
        <v>1</v>
      </c>
      <c r="L242" s="3">
        <v>0</v>
      </c>
      <c r="M242" s="3">
        <v>0</v>
      </c>
      <c r="N242" s="3">
        <v>1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1520</v>
      </c>
      <c r="B243" s="3" t="s">
        <v>1521</v>
      </c>
      <c r="C243" s="3" t="s">
        <v>1522</v>
      </c>
      <c r="D243" s="3" t="s">
        <v>1523</v>
      </c>
      <c r="E243" s="3" t="s">
        <v>84</v>
      </c>
      <c r="F243" s="3">
        <v>12.99</v>
      </c>
      <c r="G243" s="3" t="s">
        <v>1553</v>
      </c>
      <c r="H243" s="3"/>
      <c r="I243" s="3" t="s">
        <v>1554</v>
      </c>
      <c r="J243" s="3">
        <v>1</v>
      </c>
      <c r="K243" s="3">
        <v>1</v>
      </c>
      <c r="L243" s="3">
        <v>0</v>
      </c>
      <c r="M243" s="3">
        <v>0</v>
      </c>
      <c r="N243" s="3">
        <v>1</v>
      </c>
      <c r="O243" s="3"/>
      <c r="P243" s="3">
        <v>0</v>
      </c>
      <c r="Q243" s="3">
        <v>0</v>
      </c>
      <c r="R243" s="3">
        <v>0</v>
      </c>
    </row>
    <row r="244" spans="1:18">
      <c r="A244" s="3" t="s">
        <v>672</v>
      </c>
      <c r="B244" s="3" t="s">
        <v>673</v>
      </c>
      <c r="C244" s="3" t="s">
        <v>674</v>
      </c>
      <c r="D244" s="3" t="s">
        <v>675</v>
      </c>
      <c r="E244" s="3" t="s">
        <v>84</v>
      </c>
      <c r="F244" s="3">
        <v>10.99</v>
      </c>
      <c r="G244" s="3" t="s">
        <v>1553</v>
      </c>
      <c r="H244" s="3"/>
      <c r="I244" s="3" t="s">
        <v>1554</v>
      </c>
      <c r="J244" s="3">
        <v>2</v>
      </c>
      <c r="K244" s="3">
        <v>2</v>
      </c>
      <c r="L244" s="3">
        <v>0</v>
      </c>
      <c r="M244" s="3">
        <v>0</v>
      </c>
      <c r="N244" s="3">
        <v>2</v>
      </c>
      <c r="O244" s="3">
        <v>0.04</v>
      </c>
      <c r="P244" s="3">
        <v>0</v>
      </c>
      <c r="Q244" s="3">
        <v>0</v>
      </c>
      <c r="R244" s="3">
        <v>0</v>
      </c>
    </row>
    <row r="245" spans="1:18">
      <c r="A245" s="3" t="s">
        <v>151</v>
      </c>
      <c r="B245" s="3" t="s">
        <v>152</v>
      </c>
      <c r="C245" s="3" t="s">
        <v>153</v>
      </c>
      <c r="D245" s="3" t="s">
        <v>154</v>
      </c>
      <c r="E245" s="3" t="s">
        <v>84</v>
      </c>
      <c r="F245" s="3">
        <v>10.99</v>
      </c>
      <c r="G245" s="3" t="s">
        <v>1553</v>
      </c>
      <c r="H245" s="3"/>
      <c r="I245" s="3" t="s">
        <v>1554</v>
      </c>
      <c r="J245" s="3">
        <v>2</v>
      </c>
      <c r="K245" s="3">
        <v>2</v>
      </c>
      <c r="L245" s="3">
        <v>0</v>
      </c>
      <c r="M245" s="3">
        <v>0</v>
      </c>
      <c r="N245" s="3">
        <v>2</v>
      </c>
      <c r="O245" s="3"/>
      <c r="P245" s="3">
        <v>0</v>
      </c>
      <c r="Q245" s="3">
        <v>0</v>
      </c>
      <c r="R245" s="3">
        <v>0</v>
      </c>
    </row>
    <row r="246" spans="1:18">
      <c r="A246" s="3" t="s">
        <v>1340</v>
      </c>
      <c r="B246" s="3" t="s">
        <v>1341</v>
      </c>
      <c r="C246" s="3" t="s">
        <v>1342</v>
      </c>
      <c r="D246" s="3" t="s">
        <v>1343</v>
      </c>
      <c r="E246" s="3" t="s">
        <v>84</v>
      </c>
      <c r="F246" s="3">
        <v>10.99</v>
      </c>
      <c r="G246" s="3" t="s">
        <v>1553</v>
      </c>
      <c r="H246" s="3"/>
      <c r="I246" s="3" t="s">
        <v>1554</v>
      </c>
      <c r="J246" s="3">
        <v>2</v>
      </c>
      <c r="K246" s="3">
        <v>2</v>
      </c>
      <c r="L246" s="3">
        <v>0</v>
      </c>
      <c r="M246" s="3">
        <v>0</v>
      </c>
      <c r="N246" s="3">
        <v>2</v>
      </c>
      <c r="O246" s="3">
        <v>0.04</v>
      </c>
      <c r="P246" s="3">
        <v>0</v>
      </c>
      <c r="Q246" s="3">
        <v>0</v>
      </c>
      <c r="R246" s="3">
        <v>0</v>
      </c>
    </row>
    <row r="247" spans="1:18">
      <c r="A247" s="3" t="s">
        <v>1344</v>
      </c>
      <c r="B247" s="3" t="s">
        <v>1345</v>
      </c>
      <c r="C247" s="3" t="s">
        <v>1346</v>
      </c>
      <c r="D247" s="3" t="s">
        <v>1347</v>
      </c>
      <c r="E247" s="3" t="s">
        <v>84</v>
      </c>
      <c r="F247" s="3">
        <v>10.99</v>
      </c>
      <c r="G247" s="3" t="s">
        <v>1553</v>
      </c>
      <c r="H247" s="3"/>
      <c r="I247" s="3" t="s">
        <v>1554</v>
      </c>
      <c r="J247" s="3">
        <v>2</v>
      </c>
      <c r="K247" s="3">
        <v>2</v>
      </c>
      <c r="L247" s="3">
        <v>0</v>
      </c>
      <c r="M247" s="3">
        <v>0</v>
      </c>
      <c r="N247" s="3">
        <v>2</v>
      </c>
      <c r="O247" s="3"/>
      <c r="P247" s="3">
        <v>0</v>
      </c>
      <c r="Q247" s="3">
        <v>0</v>
      </c>
      <c r="R247" s="3">
        <v>0</v>
      </c>
    </row>
    <row r="248" spans="1:18">
      <c r="A248" s="3" t="s">
        <v>1158</v>
      </c>
      <c r="B248" s="3" t="s">
        <v>1159</v>
      </c>
      <c r="C248" s="3" t="s">
        <v>1160</v>
      </c>
      <c r="D248" s="3" t="s">
        <v>1161</v>
      </c>
      <c r="E248" s="3" t="s">
        <v>84</v>
      </c>
      <c r="F248" s="3">
        <v>10.99</v>
      </c>
      <c r="G248" s="3" t="s">
        <v>1553</v>
      </c>
      <c r="H248" s="3"/>
      <c r="I248" s="3" t="s">
        <v>1554</v>
      </c>
      <c r="J248" s="3">
        <v>2</v>
      </c>
      <c r="K248" s="3">
        <v>2</v>
      </c>
      <c r="L248" s="3">
        <v>0</v>
      </c>
      <c r="M248" s="3">
        <v>0</v>
      </c>
      <c r="N248" s="3">
        <v>2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907</v>
      </c>
      <c r="B249" s="3" t="s">
        <v>908</v>
      </c>
      <c r="C249" s="3" t="s">
        <v>909</v>
      </c>
      <c r="D249" s="3" t="s">
        <v>910</v>
      </c>
      <c r="E249" s="3" t="s">
        <v>84</v>
      </c>
      <c r="F249" s="3">
        <v>10.99</v>
      </c>
      <c r="G249" s="3" t="s">
        <v>1553</v>
      </c>
      <c r="H249" s="3"/>
      <c r="I249" s="3" t="s">
        <v>1554</v>
      </c>
      <c r="J249" s="3">
        <v>2</v>
      </c>
      <c r="K249" s="3">
        <v>2</v>
      </c>
      <c r="L249" s="3">
        <v>0</v>
      </c>
      <c r="M249" s="3">
        <v>0</v>
      </c>
      <c r="N249" s="3">
        <v>2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1377</v>
      </c>
      <c r="B250" s="3" t="s">
        <v>1378</v>
      </c>
      <c r="C250" s="3" t="s">
        <v>1379</v>
      </c>
      <c r="D250" s="3" t="s">
        <v>1380</v>
      </c>
      <c r="E250" s="3" t="s">
        <v>84</v>
      </c>
      <c r="F250" s="3">
        <v>10.99</v>
      </c>
      <c r="G250" s="3" t="s">
        <v>1553</v>
      </c>
      <c r="H250" s="3"/>
      <c r="I250" s="3" t="s">
        <v>1554</v>
      </c>
      <c r="J250" s="3">
        <v>1</v>
      </c>
      <c r="K250" s="3">
        <v>1</v>
      </c>
      <c r="L250" s="3">
        <v>0</v>
      </c>
      <c r="M250" s="3">
        <v>0</v>
      </c>
      <c r="N250" s="3">
        <v>1</v>
      </c>
      <c r="O250" s="3">
        <v>0.04</v>
      </c>
      <c r="P250" s="3">
        <v>0</v>
      </c>
      <c r="Q250" s="3">
        <v>0</v>
      </c>
      <c r="R250" s="3">
        <v>0</v>
      </c>
    </row>
    <row r="251" spans="1:18">
      <c r="A251" s="3" t="s">
        <v>199</v>
      </c>
      <c r="B251" s="3" t="s">
        <v>200</v>
      </c>
      <c r="C251" s="3" t="s">
        <v>201</v>
      </c>
      <c r="D251" s="3" t="s">
        <v>202</v>
      </c>
      <c r="E251" s="3" t="s">
        <v>84</v>
      </c>
      <c r="F251" s="3">
        <v>10.99</v>
      </c>
      <c r="G251" s="3" t="s">
        <v>1553</v>
      </c>
      <c r="H251" s="3"/>
      <c r="I251" s="3" t="s">
        <v>1554</v>
      </c>
      <c r="J251" s="3">
        <v>1</v>
      </c>
      <c r="K251" s="3">
        <v>1</v>
      </c>
      <c r="L251" s="3">
        <v>0</v>
      </c>
      <c r="M251" s="3">
        <v>0</v>
      </c>
      <c r="N251" s="3">
        <v>1</v>
      </c>
      <c r="O251" s="3">
        <v>0.04</v>
      </c>
      <c r="P251" s="3">
        <v>0</v>
      </c>
      <c r="Q251" s="3">
        <v>0</v>
      </c>
      <c r="R251" s="3">
        <v>0</v>
      </c>
    </row>
    <row r="252" spans="1:18">
      <c r="A252" s="3" t="s">
        <v>749</v>
      </c>
      <c r="B252" s="3" t="s">
        <v>750</v>
      </c>
      <c r="C252" s="3" t="s">
        <v>751</v>
      </c>
      <c r="D252" s="3" t="s">
        <v>752</v>
      </c>
      <c r="E252" s="3" t="s">
        <v>84</v>
      </c>
      <c r="F252" s="3">
        <v>10.99</v>
      </c>
      <c r="G252" s="3" t="s">
        <v>1553</v>
      </c>
      <c r="H252" s="3"/>
      <c r="I252" s="3" t="s">
        <v>1554</v>
      </c>
      <c r="J252" s="3">
        <v>2</v>
      </c>
      <c r="K252" s="3">
        <v>2</v>
      </c>
      <c r="L252" s="3">
        <v>0</v>
      </c>
      <c r="M252" s="3">
        <v>0</v>
      </c>
      <c r="N252" s="3">
        <v>2</v>
      </c>
      <c r="O252" s="3"/>
      <c r="P252" s="3">
        <v>0</v>
      </c>
      <c r="Q252" s="3">
        <v>0</v>
      </c>
      <c r="R252" s="3">
        <v>0</v>
      </c>
    </row>
    <row r="253" spans="1:18">
      <c r="A253" s="3" t="s">
        <v>770</v>
      </c>
      <c r="B253" s="3" t="s">
        <v>771</v>
      </c>
      <c r="C253" s="3" t="s">
        <v>772</v>
      </c>
      <c r="D253" s="3" t="s">
        <v>773</v>
      </c>
      <c r="E253" s="3" t="s">
        <v>84</v>
      </c>
      <c r="F253" s="3">
        <v>10.99</v>
      </c>
      <c r="G253" s="3" t="s">
        <v>1553</v>
      </c>
      <c r="H253" s="3"/>
      <c r="I253" s="3" t="s">
        <v>1554</v>
      </c>
      <c r="J253" s="3">
        <v>2</v>
      </c>
      <c r="K253" s="3">
        <v>2</v>
      </c>
      <c r="L253" s="3">
        <v>0</v>
      </c>
      <c r="M253" s="3">
        <v>0</v>
      </c>
      <c r="N253" s="3">
        <v>2</v>
      </c>
      <c r="O253" s="3">
        <v>0.04</v>
      </c>
      <c r="P253" s="3">
        <v>0</v>
      </c>
      <c r="Q253" s="3">
        <v>0</v>
      </c>
      <c r="R253" s="3">
        <v>0</v>
      </c>
    </row>
    <row r="254" spans="1:18">
      <c r="A254" s="3" t="s">
        <v>508</v>
      </c>
      <c r="B254" s="3" t="s">
        <v>509</v>
      </c>
      <c r="C254" s="3" t="s">
        <v>510</v>
      </c>
      <c r="D254" s="3" t="s">
        <v>511</v>
      </c>
      <c r="E254" s="3" t="s">
        <v>84</v>
      </c>
      <c r="F254" s="3">
        <v>10.99</v>
      </c>
      <c r="G254" s="3" t="s">
        <v>1553</v>
      </c>
      <c r="H254" s="3"/>
      <c r="I254" s="3" t="s">
        <v>1554</v>
      </c>
      <c r="J254" s="3">
        <v>2</v>
      </c>
      <c r="K254" s="3">
        <v>2</v>
      </c>
      <c r="L254" s="3">
        <v>0</v>
      </c>
      <c r="M254" s="3">
        <v>0</v>
      </c>
      <c r="N254" s="3">
        <v>2</v>
      </c>
      <c r="O254" s="3"/>
      <c r="P254" s="3">
        <v>0</v>
      </c>
      <c r="Q254" s="3">
        <v>0</v>
      </c>
      <c r="R254" s="3">
        <v>0</v>
      </c>
    </row>
    <row r="255" spans="1:18">
      <c r="A255" s="3" t="s">
        <v>713</v>
      </c>
      <c r="B255" s="3" t="s">
        <v>714</v>
      </c>
      <c r="C255" s="3" t="s">
        <v>715</v>
      </c>
      <c r="D255" s="3" t="s">
        <v>716</v>
      </c>
      <c r="E255" s="3" t="s">
        <v>84</v>
      </c>
      <c r="F255" s="3">
        <v>10.99</v>
      </c>
      <c r="G255" s="3" t="s">
        <v>1553</v>
      </c>
      <c r="H255" s="3"/>
      <c r="I255" s="3" t="s">
        <v>1554</v>
      </c>
      <c r="J255" s="3">
        <v>2</v>
      </c>
      <c r="K255" s="3">
        <v>2</v>
      </c>
      <c r="L255" s="3">
        <v>0</v>
      </c>
      <c r="M255" s="3">
        <v>0</v>
      </c>
      <c r="N255" s="3">
        <v>2</v>
      </c>
      <c r="O255" s="3"/>
      <c r="P255" s="3">
        <v>0</v>
      </c>
      <c r="Q255" s="3">
        <v>0</v>
      </c>
      <c r="R255" s="3">
        <v>0</v>
      </c>
    </row>
    <row r="256" spans="1:18">
      <c r="A256" s="3" t="s">
        <v>647</v>
      </c>
      <c r="B256" s="3" t="s">
        <v>648</v>
      </c>
      <c r="C256" s="3" t="s">
        <v>649</v>
      </c>
      <c r="D256" s="3" t="s">
        <v>650</v>
      </c>
      <c r="E256" s="3" t="s">
        <v>84</v>
      </c>
      <c r="F256" s="3">
        <v>10.99</v>
      </c>
      <c r="G256" s="3" t="s">
        <v>1553</v>
      </c>
      <c r="H256" s="3"/>
      <c r="I256" s="3" t="s">
        <v>1554</v>
      </c>
      <c r="J256" s="3">
        <v>2</v>
      </c>
      <c r="K256" s="3">
        <v>2</v>
      </c>
      <c r="L256" s="3">
        <v>0</v>
      </c>
      <c r="M256" s="3">
        <v>0</v>
      </c>
      <c r="N256" s="3">
        <v>2</v>
      </c>
      <c r="O256" s="3"/>
      <c r="P256" s="3">
        <v>0</v>
      </c>
      <c r="Q256" s="3">
        <v>0</v>
      </c>
      <c r="R256" s="3">
        <v>0</v>
      </c>
    </row>
    <row r="257" spans="1:18">
      <c r="A257" s="3" t="s">
        <v>709</v>
      </c>
      <c r="B257" s="3" t="s">
        <v>710</v>
      </c>
      <c r="C257" s="3" t="s">
        <v>711</v>
      </c>
      <c r="D257" s="3" t="s">
        <v>712</v>
      </c>
      <c r="E257" s="3" t="s">
        <v>84</v>
      </c>
      <c r="F257" s="3">
        <v>10.99</v>
      </c>
      <c r="G257" s="3" t="s">
        <v>1553</v>
      </c>
      <c r="H257" s="3"/>
      <c r="I257" s="3" t="s">
        <v>1554</v>
      </c>
      <c r="J257" s="3">
        <v>2</v>
      </c>
      <c r="K257" s="3">
        <v>2</v>
      </c>
      <c r="L257" s="3">
        <v>0</v>
      </c>
      <c r="M257" s="3">
        <v>0</v>
      </c>
      <c r="N257" s="3">
        <v>2</v>
      </c>
      <c r="O257" s="3"/>
      <c r="P257" s="3">
        <v>0</v>
      </c>
      <c r="Q257" s="3">
        <v>0</v>
      </c>
      <c r="R257" s="3">
        <v>0</v>
      </c>
    </row>
    <row r="258" spans="1:18">
      <c r="A258" s="3" t="s">
        <v>1454</v>
      </c>
      <c r="B258" s="3" t="s">
        <v>1455</v>
      </c>
      <c r="C258" s="3" t="s">
        <v>1456</v>
      </c>
      <c r="D258" s="3" t="s">
        <v>1457</v>
      </c>
      <c r="E258" s="3" t="s">
        <v>84</v>
      </c>
      <c r="F258" s="3">
        <v>10.99</v>
      </c>
      <c r="G258" s="3" t="s">
        <v>1553</v>
      </c>
      <c r="H258" s="3"/>
      <c r="I258" s="3" t="s">
        <v>1554</v>
      </c>
      <c r="J258" s="3">
        <v>2</v>
      </c>
      <c r="K258" s="3">
        <v>2</v>
      </c>
      <c r="L258" s="3">
        <v>0</v>
      </c>
      <c r="M258" s="3">
        <v>0</v>
      </c>
      <c r="N258" s="3">
        <v>2</v>
      </c>
      <c r="O258" s="3">
        <v>0.04</v>
      </c>
      <c r="P258" s="3">
        <v>0</v>
      </c>
      <c r="Q258" s="3">
        <v>0</v>
      </c>
      <c r="R258" s="3">
        <v>0</v>
      </c>
    </row>
    <row r="259" spans="1:18">
      <c r="A259" s="3" t="s">
        <v>604</v>
      </c>
      <c r="B259" s="3" t="s">
        <v>605</v>
      </c>
      <c r="C259" s="3" t="s">
        <v>606</v>
      </c>
      <c r="D259" s="3" t="s">
        <v>607</v>
      </c>
      <c r="E259" s="3" t="s">
        <v>84</v>
      </c>
      <c r="F259" s="3">
        <v>41.9</v>
      </c>
      <c r="G259" s="3" t="s">
        <v>1553</v>
      </c>
      <c r="H259" s="3"/>
      <c r="I259" s="3" t="s">
        <v>1554</v>
      </c>
      <c r="J259" s="3">
        <v>13</v>
      </c>
      <c r="K259" s="3">
        <v>13</v>
      </c>
      <c r="L259" s="3">
        <v>0</v>
      </c>
      <c r="M259" s="3">
        <v>0</v>
      </c>
      <c r="N259" s="3">
        <v>13</v>
      </c>
      <c r="O259" s="3">
        <v>0.24</v>
      </c>
      <c r="P259" s="3">
        <v>0</v>
      </c>
      <c r="Q259" s="3">
        <v>0</v>
      </c>
      <c r="R259" s="3">
        <v>0</v>
      </c>
    </row>
    <row r="260" spans="1:18">
      <c r="A260" s="3" t="s">
        <v>1022</v>
      </c>
      <c r="B260" s="3" t="s">
        <v>1023</v>
      </c>
      <c r="C260" s="3" t="s">
        <v>1024</v>
      </c>
      <c r="D260" s="3" t="s">
        <v>1025</v>
      </c>
      <c r="E260" s="3" t="s">
        <v>84</v>
      </c>
      <c r="F260" s="3">
        <v>41.9</v>
      </c>
      <c r="G260" s="3" t="s">
        <v>1553</v>
      </c>
      <c r="H260" s="3"/>
      <c r="I260" s="3" t="s">
        <v>1554</v>
      </c>
      <c r="J260" s="3">
        <v>4</v>
      </c>
      <c r="K260" s="3">
        <v>4</v>
      </c>
      <c r="L260" s="3">
        <v>0</v>
      </c>
      <c r="M260" s="3">
        <v>0</v>
      </c>
      <c r="N260" s="3">
        <v>4</v>
      </c>
      <c r="O260" s="3"/>
      <c r="P260" s="3">
        <v>0</v>
      </c>
      <c r="Q260" s="3">
        <v>0</v>
      </c>
      <c r="R260" s="3">
        <v>0</v>
      </c>
    </row>
    <row r="261" spans="1:18">
      <c r="A261" s="3" t="s">
        <v>1175</v>
      </c>
      <c r="B261" s="3" t="s">
        <v>1176</v>
      </c>
      <c r="C261" s="3" t="s">
        <v>1177</v>
      </c>
      <c r="D261" s="3" t="s">
        <v>1178</v>
      </c>
      <c r="E261" s="3" t="s">
        <v>84</v>
      </c>
      <c r="F261" s="3">
        <v>41.9</v>
      </c>
      <c r="G261" s="3" t="s">
        <v>1553</v>
      </c>
      <c r="H261" s="3"/>
      <c r="I261" s="3" t="s">
        <v>1554</v>
      </c>
      <c r="J261" s="3">
        <v>21</v>
      </c>
      <c r="K261" s="3">
        <v>21</v>
      </c>
      <c r="L261" s="3">
        <v>0</v>
      </c>
      <c r="M261" s="3">
        <v>0</v>
      </c>
      <c r="N261" s="3">
        <v>21</v>
      </c>
      <c r="O261" s="3"/>
      <c r="P261" s="3">
        <v>0</v>
      </c>
      <c r="Q261" s="3">
        <v>0</v>
      </c>
      <c r="R261" s="3">
        <v>0</v>
      </c>
    </row>
    <row r="262" spans="1:18">
      <c r="A262" s="3" t="s">
        <v>1199</v>
      </c>
      <c r="B262" s="3" t="s">
        <v>1200</v>
      </c>
      <c r="C262" s="3" t="s">
        <v>1201</v>
      </c>
      <c r="D262" s="3" t="s">
        <v>1202</v>
      </c>
      <c r="E262" s="3" t="s">
        <v>84</v>
      </c>
      <c r="F262" s="3">
        <v>41.9</v>
      </c>
      <c r="G262" s="3" t="s">
        <v>1553</v>
      </c>
      <c r="H262" s="3"/>
      <c r="I262" s="3" t="s">
        <v>1554</v>
      </c>
      <c r="J262" s="3">
        <v>10</v>
      </c>
      <c r="K262" s="3">
        <v>10</v>
      </c>
      <c r="L262" s="3">
        <v>0</v>
      </c>
      <c r="M262" s="3">
        <v>0</v>
      </c>
      <c r="N262" s="3">
        <v>10</v>
      </c>
      <c r="O262" s="3">
        <v>0.24</v>
      </c>
      <c r="P262" s="3">
        <v>0</v>
      </c>
      <c r="Q262" s="3">
        <v>0</v>
      </c>
      <c r="R262" s="3">
        <v>0</v>
      </c>
    </row>
    <row r="263" spans="1:18">
      <c r="A263" s="3" t="s">
        <v>1257</v>
      </c>
      <c r="B263" s="3" t="s">
        <v>1258</v>
      </c>
      <c r="C263" s="3" t="s">
        <v>1259</v>
      </c>
      <c r="D263" s="3" t="s">
        <v>1260</v>
      </c>
      <c r="E263" s="3" t="s">
        <v>84</v>
      </c>
      <c r="F263" s="3">
        <v>41.9</v>
      </c>
      <c r="G263" s="3" t="s">
        <v>1553</v>
      </c>
      <c r="H263" s="3"/>
      <c r="I263" s="3" t="s">
        <v>1554</v>
      </c>
      <c r="J263" s="3">
        <v>7</v>
      </c>
      <c r="K263" s="3">
        <v>7</v>
      </c>
      <c r="L263" s="3">
        <v>0</v>
      </c>
      <c r="M263" s="3">
        <v>0</v>
      </c>
      <c r="N263" s="3">
        <v>7</v>
      </c>
      <c r="O263" s="3"/>
      <c r="P263" s="3">
        <v>0</v>
      </c>
      <c r="Q263" s="3">
        <v>0</v>
      </c>
      <c r="R263" s="3">
        <v>0</v>
      </c>
    </row>
    <row r="264" spans="1:18">
      <c r="A264" s="3" t="s">
        <v>1179</v>
      </c>
      <c r="B264" s="3" t="s">
        <v>1180</v>
      </c>
      <c r="C264" s="3" t="s">
        <v>1181</v>
      </c>
      <c r="D264" s="3" t="s">
        <v>1182</v>
      </c>
      <c r="E264" s="3" t="s">
        <v>84</v>
      </c>
      <c r="F264" s="3">
        <v>41.9</v>
      </c>
      <c r="G264" s="3" t="s">
        <v>1553</v>
      </c>
      <c r="H264" s="3"/>
      <c r="I264" s="3" t="s">
        <v>1554</v>
      </c>
      <c r="J264" s="3">
        <v>3</v>
      </c>
      <c r="K264" s="3">
        <v>3</v>
      </c>
      <c r="L264" s="3">
        <v>0</v>
      </c>
      <c r="M264" s="3">
        <v>0</v>
      </c>
      <c r="N264" s="3">
        <v>3</v>
      </c>
      <c r="O264" s="3">
        <v>0.24</v>
      </c>
      <c r="P264" s="3">
        <v>0</v>
      </c>
      <c r="Q264" s="3">
        <v>0</v>
      </c>
      <c r="R264" s="3">
        <v>0</v>
      </c>
    </row>
    <row r="265" spans="1:18">
      <c r="A265" s="3" t="s">
        <v>169</v>
      </c>
      <c r="B265" s="3" t="s">
        <v>170</v>
      </c>
      <c r="C265" s="3" t="s">
        <v>171</v>
      </c>
      <c r="D265" s="3" t="s">
        <v>172</v>
      </c>
      <c r="E265" s="3" t="s">
        <v>84</v>
      </c>
      <c r="F265" s="3">
        <v>41.9</v>
      </c>
      <c r="G265" s="3" t="s">
        <v>1553</v>
      </c>
      <c r="H265" s="3"/>
      <c r="I265" s="3" t="s">
        <v>1554</v>
      </c>
      <c r="J265" s="3">
        <v>4</v>
      </c>
      <c r="K265" s="3">
        <v>4</v>
      </c>
      <c r="L265" s="3">
        <v>0</v>
      </c>
      <c r="M265" s="3">
        <v>0</v>
      </c>
      <c r="N265" s="3">
        <v>4</v>
      </c>
      <c r="O265" s="3">
        <v>0.24</v>
      </c>
      <c r="P265" s="3">
        <v>0</v>
      </c>
      <c r="Q265" s="3">
        <v>0</v>
      </c>
      <c r="R265" s="3">
        <v>0</v>
      </c>
    </row>
    <row r="266" spans="1:18">
      <c r="A266" s="3" t="s">
        <v>741</v>
      </c>
      <c r="B266" s="3" t="s">
        <v>742</v>
      </c>
      <c r="C266" s="3" t="s">
        <v>743</v>
      </c>
      <c r="D266" s="3" t="s">
        <v>744</v>
      </c>
      <c r="E266" s="3" t="s">
        <v>84</v>
      </c>
      <c r="F266" s="3">
        <v>41.9</v>
      </c>
      <c r="G266" s="3" t="s">
        <v>1553</v>
      </c>
      <c r="H266" s="3"/>
      <c r="I266" s="3" t="s">
        <v>1554</v>
      </c>
      <c r="J266" s="3">
        <v>10</v>
      </c>
      <c r="K266" s="3">
        <v>10</v>
      </c>
      <c r="L266" s="3">
        <v>0</v>
      </c>
      <c r="M266" s="3">
        <v>0</v>
      </c>
      <c r="N266" s="3">
        <v>10</v>
      </c>
      <c r="O266" s="3">
        <v>0.24</v>
      </c>
      <c r="P266" s="3">
        <v>0</v>
      </c>
      <c r="Q266" s="3">
        <v>0</v>
      </c>
      <c r="R266" s="3">
        <v>0</v>
      </c>
    </row>
    <row r="267" spans="1:18">
      <c r="A267" s="3" t="s">
        <v>1389</v>
      </c>
      <c r="B267" s="3" t="s">
        <v>1390</v>
      </c>
      <c r="C267" s="3" t="s">
        <v>1391</v>
      </c>
      <c r="D267" s="3" t="s">
        <v>1392</v>
      </c>
      <c r="E267" s="3" t="s">
        <v>84</v>
      </c>
      <c r="F267" s="3">
        <v>41.9</v>
      </c>
      <c r="G267" s="3" t="s">
        <v>1553</v>
      </c>
      <c r="H267" s="3"/>
      <c r="I267" s="3" t="s">
        <v>1554</v>
      </c>
      <c r="J267" s="3">
        <v>3</v>
      </c>
      <c r="K267" s="3">
        <v>3</v>
      </c>
      <c r="L267" s="3">
        <v>0</v>
      </c>
      <c r="M267" s="3">
        <v>0</v>
      </c>
      <c r="N267" s="3">
        <v>3</v>
      </c>
      <c r="O267" s="3">
        <v>0.24</v>
      </c>
      <c r="P267" s="3">
        <v>0</v>
      </c>
      <c r="Q267" s="3">
        <v>0</v>
      </c>
      <c r="R267" s="3">
        <v>0</v>
      </c>
    </row>
    <row r="268" spans="1:18">
      <c r="A268" s="3" t="s">
        <v>449</v>
      </c>
      <c r="B268" s="3" t="s">
        <v>450</v>
      </c>
      <c r="C268" s="3" t="s">
        <v>451</v>
      </c>
      <c r="D268" s="3" t="s">
        <v>452</v>
      </c>
      <c r="E268" s="3" t="s">
        <v>84</v>
      </c>
      <c r="F268" s="3">
        <v>41.9</v>
      </c>
      <c r="G268" s="3" t="s">
        <v>1553</v>
      </c>
      <c r="H268" s="3"/>
      <c r="I268" s="3" t="s">
        <v>1554</v>
      </c>
      <c r="J268" s="3">
        <v>16</v>
      </c>
      <c r="K268" s="3">
        <v>16</v>
      </c>
      <c r="L268" s="3">
        <v>0</v>
      </c>
      <c r="M268" s="3">
        <v>0</v>
      </c>
      <c r="N268" s="3">
        <v>16</v>
      </c>
      <c r="O268" s="3"/>
      <c r="P268" s="3">
        <v>0</v>
      </c>
      <c r="Q268" s="3">
        <v>0</v>
      </c>
      <c r="R268" s="3">
        <v>0</v>
      </c>
    </row>
    <row r="269" spans="1:18">
      <c r="A269" s="3" t="s">
        <v>178</v>
      </c>
      <c r="B269" s="3" t="s">
        <v>179</v>
      </c>
      <c r="C269" s="3" t="s">
        <v>180</v>
      </c>
      <c r="D269" s="3" t="s">
        <v>181</v>
      </c>
      <c r="E269" s="3" t="s">
        <v>84</v>
      </c>
      <c r="F269" s="3">
        <v>41.9</v>
      </c>
      <c r="G269" s="3" t="s">
        <v>1553</v>
      </c>
      <c r="H269" s="3"/>
      <c r="I269" s="3" t="s">
        <v>1554</v>
      </c>
      <c r="J269" s="3">
        <v>11</v>
      </c>
      <c r="K269" s="3">
        <v>11</v>
      </c>
      <c r="L269" s="3">
        <v>0</v>
      </c>
      <c r="M269" s="3">
        <v>0</v>
      </c>
      <c r="N269" s="3">
        <v>11</v>
      </c>
      <c r="O269" s="3"/>
      <c r="P269" s="3">
        <v>0</v>
      </c>
      <c r="Q269" s="3">
        <v>0</v>
      </c>
      <c r="R269" s="3">
        <v>0</v>
      </c>
    </row>
    <row r="270" spans="1:18">
      <c r="A270" s="3" t="s">
        <v>883</v>
      </c>
      <c r="B270" s="3" t="s">
        <v>884</v>
      </c>
      <c r="C270" s="3" t="s">
        <v>885</v>
      </c>
      <c r="D270" s="3" t="s">
        <v>886</v>
      </c>
      <c r="E270" s="3" t="s">
        <v>84</v>
      </c>
      <c r="F270" s="3">
        <v>41.9</v>
      </c>
      <c r="G270" s="3" t="s">
        <v>1553</v>
      </c>
      <c r="H270" s="3"/>
      <c r="I270" s="3" t="s">
        <v>1554</v>
      </c>
      <c r="J270" s="3">
        <v>6</v>
      </c>
      <c r="K270" s="3">
        <v>6</v>
      </c>
      <c r="L270" s="3">
        <v>0</v>
      </c>
      <c r="M270" s="3">
        <v>0</v>
      </c>
      <c r="N270" s="3">
        <v>6</v>
      </c>
      <c r="O270" s="3">
        <v>0.24</v>
      </c>
      <c r="P270" s="3">
        <v>0</v>
      </c>
      <c r="Q270" s="3">
        <v>0</v>
      </c>
      <c r="R270" s="3">
        <v>0</v>
      </c>
    </row>
    <row r="271" spans="1:18">
      <c r="A271" s="3" t="s">
        <v>1306</v>
      </c>
      <c r="B271" s="3" t="s">
        <v>1307</v>
      </c>
      <c r="C271" s="3" t="s">
        <v>1308</v>
      </c>
      <c r="D271" s="3" t="s">
        <v>1309</v>
      </c>
      <c r="E271" s="3" t="s">
        <v>84</v>
      </c>
      <c r="F271" s="3">
        <v>41.9</v>
      </c>
      <c r="G271" s="3" t="s">
        <v>1553</v>
      </c>
      <c r="H271" s="3"/>
      <c r="I271" s="3" t="s">
        <v>1554</v>
      </c>
      <c r="J271" s="3">
        <v>4</v>
      </c>
      <c r="K271" s="3">
        <v>4</v>
      </c>
      <c r="L271" s="3">
        <v>0</v>
      </c>
      <c r="M271" s="3">
        <v>0</v>
      </c>
      <c r="N271" s="3">
        <v>4</v>
      </c>
      <c r="O271" s="3"/>
      <c r="P271" s="3">
        <v>0</v>
      </c>
      <c r="Q271" s="3">
        <v>0</v>
      </c>
      <c r="R271" s="3">
        <v>0</v>
      </c>
    </row>
    <row r="272" spans="1:18">
      <c r="A272" s="3" t="s">
        <v>1450</v>
      </c>
      <c r="B272" s="3" t="s">
        <v>1451</v>
      </c>
      <c r="C272" s="3" t="s">
        <v>1452</v>
      </c>
      <c r="D272" s="3" t="s">
        <v>1453</v>
      </c>
      <c r="E272" s="3" t="s">
        <v>84</v>
      </c>
      <c r="F272" s="3">
        <v>41.9</v>
      </c>
      <c r="G272" s="3" t="s">
        <v>1553</v>
      </c>
      <c r="H272" s="3"/>
      <c r="I272" s="3" t="s">
        <v>1554</v>
      </c>
      <c r="J272" s="3">
        <v>22</v>
      </c>
      <c r="K272" s="3">
        <v>22</v>
      </c>
      <c r="L272" s="3">
        <v>0</v>
      </c>
      <c r="M272" s="3">
        <v>0</v>
      </c>
      <c r="N272" s="3">
        <v>22</v>
      </c>
      <c r="O272" s="3"/>
      <c r="P272" s="3">
        <v>0</v>
      </c>
      <c r="Q272" s="3">
        <v>0</v>
      </c>
      <c r="R272" s="3">
        <v>0</v>
      </c>
    </row>
    <row r="273" spans="1:18">
      <c r="A273" s="3" t="s">
        <v>1203</v>
      </c>
      <c r="B273" s="3" t="s">
        <v>1204</v>
      </c>
      <c r="C273" s="3" t="s">
        <v>1205</v>
      </c>
      <c r="D273" s="3" t="s">
        <v>1206</v>
      </c>
      <c r="E273" s="3" t="s">
        <v>84</v>
      </c>
      <c r="F273" s="3">
        <v>41.9</v>
      </c>
      <c r="G273" s="3" t="s">
        <v>1553</v>
      </c>
      <c r="H273" s="3"/>
      <c r="I273" s="3" t="s">
        <v>1554</v>
      </c>
      <c r="J273" s="3">
        <v>12</v>
      </c>
      <c r="K273" s="3">
        <v>12</v>
      </c>
      <c r="L273" s="3">
        <v>0</v>
      </c>
      <c r="M273" s="3">
        <v>0</v>
      </c>
      <c r="N273" s="3">
        <v>12</v>
      </c>
      <c r="O273" s="3"/>
      <c r="P273" s="3">
        <v>0</v>
      </c>
      <c r="Q273" s="3">
        <v>0</v>
      </c>
      <c r="R273" s="3">
        <v>0</v>
      </c>
    </row>
    <row r="274" spans="1:18">
      <c r="A274" s="3" t="s">
        <v>1680</v>
      </c>
      <c r="B274" s="3" t="s">
        <v>1681</v>
      </c>
      <c r="C274" s="3" t="s">
        <v>1682</v>
      </c>
      <c r="D274" s="3" t="s">
        <v>1683</v>
      </c>
      <c r="E274" s="3" t="s">
        <v>84</v>
      </c>
      <c r="F274" s="3">
        <v>41.9</v>
      </c>
      <c r="G274" s="3" t="s">
        <v>1553</v>
      </c>
      <c r="H274" s="3"/>
      <c r="I274" s="3" t="s">
        <v>1554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/>
      <c r="P274" s="3">
        <v>0</v>
      </c>
      <c r="Q274" s="3">
        <v>0</v>
      </c>
      <c r="R274" s="3">
        <v>0</v>
      </c>
    </row>
    <row r="275" spans="1:18">
      <c r="A275" s="3" t="s">
        <v>838</v>
      </c>
      <c r="B275" s="3" t="s">
        <v>839</v>
      </c>
      <c r="C275" s="3" t="s">
        <v>840</v>
      </c>
      <c r="D275" s="3" t="s">
        <v>841</v>
      </c>
      <c r="E275" s="3" t="s">
        <v>84</v>
      </c>
      <c r="F275" s="3">
        <v>41.9</v>
      </c>
      <c r="G275" s="3" t="s">
        <v>1553</v>
      </c>
      <c r="H275" s="3"/>
      <c r="I275" s="3" t="s">
        <v>1554</v>
      </c>
      <c r="J275" s="3">
        <v>18</v>
      </c>
      <c r="K275" s="3">
        <v>18</v>
      </c>
      <c r="L275" s="3">
        <v>0</v>
      </c>
      <c r="M275" s="3">
        <v>0</v>
      </c>
      <c r="N275" s="3">
        <v>18</v>
      </c>
      <c r="O275" s="3">
        <v>0.24</v>
      </c>
      <c r="P275" s="3">
        <v>0</v>
      </c>
      <c r="Q275" s="3">
        <v>0</v>
      </c>
      <c r="R275" s="3">
        <v>0</v>
      </c>
    </row>
    <row r="276" spans="1:18">
      <c r="A276" s="3" t="s">
        <v>558</v>
      </c>
      <c r="B276" s="3" t="s">
        <v>559</v>
      </c>
      <c r="C276" s="3" t="s">
        <v>560</v>
      </c>
      <c r="D276" s="3" t="s">
        <v>561</v>
      </c>
      <c r="E276" s="3" t="s">
        <v>84</v>
      </c>
      <c r="F276" s="3">
        <v>41.9</v>
      </c>
      <c r="G276" s="3" t="s">
        <v>1553</v>
      </c>
      <c r="H276" s="3"/>
      <c r="I276" s="3" t="s">
        <v>1554</v>
      </c>
      <c r="J276" s="3">
        <v>5</v>
      </c>
      <c r="K276" s="3">
        <v>5</v>
      </c>
      <c r="L276" s="3">
        <v>0</v>
      </c>
      <c r="M276" s="3">
        <v>0</v>
      </c>
      <c r="N276" s="3">
        <v>5</v>
      </c>
      <c r="O276" s="3">
        <v>0.24</v>
      </c>
      <c r="P276" s="3">
        <v>0</v>
      </c>
      <c r="Q276" s="3">
        <v>0</v>
      </c>
      <c r="R276" s="3">
        <v>0</v>
      </c>
    </row>
    <row r="277" spans="1:18">
      <c r="A277" s="3" t="s">
        <v>1393</v>
      </c>
      <c r="B277" s="3" t="s">
        <v>1394</v>
      </c>
      <c r="C277" s="3" t="s">
        <v>1395</v>
      </c>
      <c r="D277" s="3" t="s">
        <v>1396</v>
      </c>
      <c r="E277" s="3" t="s">
        <v>84</v>
      </c>
      <c r="F277" s="3">
        <v>41.9</v>
      </c>
      <c r="G277" s="3" t="s">
        <v>1553</v>
      </c>
      <c r="H277" s="3"/>
      <c r="I277" s="3" t="s">
        <v>1554</v>
      </c>
      <c r="J277" s="3">
        <v>9</v>
      </c>
      <c r="K277" s="3">
        <v>9</v>
      </c>
      <c r="L277" s="3">
        <v>0</v>
      </c>
      <c r="M277" s="3">
        <v>0</v>
      </c>
      <c r="N277" s="3">
        <v>9</v>
      </c>
      <c r="O277" s="3"/>
      <c r="P277" s="3">
        <v>0</v>
      </c>
      <c r="Q277" s="3">
        <v>0</v>
      </c>
      <c r="R277" s="3">
        <v>0</v>
      </c>
    </row>
    <row r="278" spans="1:18">
      <c r="A278" s="3" t="s">
        <v>445</v>
      </c>
      <c r="B278" s="3" t="s">
        <v>446</v>
      </c>
      <c r="C278" s="3" t="s">
        <v>447</v>
      </c>
      <c r="D278" s="3" t="s">
        <v>448</v>
      </c>
      <c r="E278" s="3" t="s">
        <v>84</v>
      </c>
      <c r="F278" s="3">
        <v>41.9</v>
      </c>
      <c r="G278" s="3" t="s">
        <v>1553</v>
      </c>
      <c r="H278" s="3"/>
      <c r="I278" s="3" t="s">
        <v>1554</v>
      </c>
      <c r="J278" s="3">
        <v>9</v>
      </c>
      <c r="K278" s="3">
        <v>9</v>
      </c>
      <c r="L278" s="3">
        <v>0</v>
      </c>
      <c r="M278" s="3">
        <v>0</v>
      </c>
      <c r="N278" s="3">
        <v>9</v>
      </c>
      <c r="O278" s="3"/>
      <c r="P278" s="3">
        <v>0</v>
      </c>
      <c r="Q278" s="3">
        <v>0</v>
      </c>
      <c r="R278" s="3">
        <v>0</v>
      </c>
    </row>
    <row r="279" spans="1:18">
      <c r="A279" s="3" t="s">
        <v>1356</v>
      </c>
      <c r="B279" s="3" t="s">
        <v>1357</v>
      </c>
      <c r="C279" s="3" t="s">
        <v>1358</v>
      </c>
      <c r="D279" s="3" t="s">
        <v>1359</v>
      </c>
      <c r="E279" s="3" t="s">
        <v>84</v>
      </c>
      <c r="F279" s="3">
        <v>41.9</v>
      </c>
      <c r="G279" s="3" t="s">
        <v>1553</v>
      </c>
      <c r="H279" s="3"/>
      <c r="I279" s="3" t="s">
        <v>1554</v>
      </c>
      <c r="J279" s="3">
        <v>11</v>
      </c>
      <c r="K279" s="3">
        <v>11</v>
      </c>
      <c r="L279" s="3">
        <v>0</v>
      </c>
      <c r="M279" s="3">
        <v>0</v>
      </c>
      <c r="N279" s="3">
        <v>11</v>
      </c>
      <c r="O279" s="3"/>
      <c r="P279" s="3">
        <v>0</v>
      </c>
      <c r="Q279" s="3">
        <v>0</v>
      </c>
      <c r="R279" s="3">
        <v>0</v>
      </c>
    </row>
    <row r="280" spans="1:18">
      <c r="A280" s="3" t="s">
        <v>980</v>
      </c>
      <c r="B280" s="3" t="s">
        <v>981</v>
      </c>
      <c r="C280" s="3" t="s">
        <v>982</v>
      </c>
      <c r="D280" s="3" t="s">
        <v>983</v>
      </c>
      <c r="E280" s="3" t="s">
        <v>84</v>
      </c>
      <c r="F280" s="3">
        <v>41.9</v>
      </c>
      <c r="G280" s="3" t="s">
        <v>1553</v>
      </c>
      <c r="H280" s="3"/>
      <c r="I280" s="3" t="s">
        <v>1554</v>
      </c>
      <c r="J280" s="3">
        <v>9</v>
      </c>
      <c r="K280" s="3">
        <v>9</v>
      </c>
      <c r="L280" s="3">
        <v>0</v>
      </c>
      <c r="M280" s="3">
        <v>0</v>
      </c>
      <c r="N280" s="3">
        <v>9</v>
      </c>
      <c r="O280" s="3">
        <v>0.24</v>
      </c>
      <c r="P280" s="3">
        <v>0</v>
      </c>
      <c r="Q280" s="3">
        <v>0</v>
      </c>
      <c r="R280" s="3">
        <v>0</v>
      </c>
    </row>
    <row r="281" spans="1:18">
      <c r="A281" s="3" t="s">
        <v>1466</v>
      </c>
      <c r="B281" s="3" t="s">
        <v>1467</v>
      </c>
      <c r="C281" s="3" t="s">
        <v>1468</v>
      </c>
      <c r="D281" s="3" t="s">
        <v>1469</v>
      </c>
      <c r="E281" s="3" t="s">
        <v>84</v>
      </c>
      <c r="F281" s="3">
        <v>41.9</v>
      </c>
      <c r="G281" s="3" t="s">
        <v>1553</v>
      </c>
      <c r="H281" s="3"/>
      <c r="I281" s="3" t="s">
        <v>1554</v>
      </c>
      <c r="J281" s="3">
        <v>22</v>
      </c>
      <c r="K281" s="3">
        <v>22</v>
      </c>
      <c r="L281" s="3">
        <v>0</v>
      </c>
      <c r="M281" s="3">
        <v>0</v>
      </c>
      <c r="N281" s="3">
        <v>22</v>
      </c>
      <c r="O281" s="3">
        <v>0.24</v>
      </c>
      <c r="P281" s="3">
        <v>0</v>
      </c>
      <c r="Q281" s="3">
        <v>0</v>
      </c>
      <c r="R281" s="3">
        <v>0</v>
      </c>
    </row>
    <row r="282" spans="1:18">
      <c r="A282" s="3" t="s">
        <v>376</v>
      </c>
      <c r="B282" s="3" t="s">
        <v>377</v>
      </c>
      <c r="C282" s="3" t="s">
        <v>378</v>
      </c>
      <c r="D282" s="3" t="s">
        <v>379</v>
      </c>
      <c r="E282" s="3" t="s">
        <v>84</v>
      </c>
      <c r="F282" s="3">
        <v>41.9</v>
      </c>
      <c r="G282" s="3" t="s">
        <v>1553</v>
      </c>
      <c r="H282" s="3"/>
      <c r="I282" s="3" t="s">
        <v>1554</v>
      </c>
      <c r="J282" s="3">
        <v>8</v>
      </c>
      <c r="K282" s="3">
        <v>8</v>
      </c>
      <c r="L282" s="3">
        <v>0</v>
      </c>
      <c r="M282" s="3">
        <v>0</v>
      </c>
      <c r="N282" s="3">
        <v>8</v>
      </c>
      <c r="O282" s="3"/>
      <c r="P282" s="3">
        <v>0</v>
      </c>
      <c r="Q282" s="3">
        <v>0</v>
      </c>
      <c r="R282" s="3">
        <v>0</v>
      </c>
    </row>
    <row r="283" spans="1:18">
      <c r="A283" s="3" t="s">
        <v>496</v>
      </c>
      <c r="B283" s="3" t="s">
        <v>497</v>
      </c>
      <c r="C283" s="3" t="s">
        <v>498</v>
      </c>
      <c r="D283" s="3" t="s">
        <v>499</v>
      </c>
      <c r="E283" s="3" t="s">
        <v>84</v>
      </c>
      <c r="F283" s="3">
        <v>41.9</v>
      </c>
      <c r="G283" s="3" t="s">
        <v>1553</v>
      </c>
      <c r="H283" s="3"/>
      <c r="I283" s="3" t="s">
        <v>1554</v>
      </c>
      <c r="J283" s="3">
        <v>4</v>
      </c>
      <c r="K283" s="3">
        <v>4</v>
      </c>
      <c r="L283" s="3">
        <v>0</v>
      </c>
      <c r="M283" s="3">
        <v>0</v>
      </c>
      <c r="N283" s="3">
        <v>4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1491</v>
      </c>
      <c r="B284" s="3" t="s">
        <v>1492</v>
      </c>
      <c r="C284" s="3" t="s">
        <v>1493</v>
      </c>
      <c r="D284" s="3" t="s">
        <v>1494</v>
      </c>
      <c r="E284" s="3" t="s">
        <v>84</v>
      </c>
      <c r="F284" s="3">
        <v>41.9</v>
      </c>
      <c r="G284" s="3" t="s">
        <v>1553</v>
      </c>
      <c r="H284" s="3"/>
      <c r="I284" s="3" t="s">
        <v>1554</v>
      </c>
      <c r="J284" s="3">
        <v>21</v>
      </c>
      <c r="K284" s="3">
        <v>21</v>
      </c>
      <c r="L284" s="3">
        <v>0</v>
      </c>
      <c r="M284" s="3">
        <v>0</v>
      </c>
      <c r="N284" s="3">
        <v>21</v>
      </c>
      <c r="O284" s="3">
        <v>0.24</v>
      </c>
      <c r="P284" s="3">
        <v>0</v>
      </c>
      <c r="Q284" s="3">
        <v>0</v>
      </c>
      <c r="R284" s="3">
        <v>0</v>
      </c>
    </row>
    <row r="285" spans="1:18">
      <c r="A285" s="3" t="s">
        <v>1046</v>
      </c>
      <c r="B285" s="3" t="s">
        <v>1047</v>
      </c>
      <c r="C285" s="3" t="s">
        <v>1048</v>
      </c>
      <c r="D285" s="3" t="s">
        <v>1049</v>
      </c>
      <c r="E285" s="3" t="s">
        <v>84</v>
      </c>
      <c r="F285" s="3">
        <v>41.9</v>
      </c>
      <c r="G285" s="3" t="s">
        <v>1553</v>
      </c>
      <c r="H285" s="3"/>
      <c r="I285" s="3" t="s">
        <v>1554</v>
      </c>
      <c r="J285" s="3">
        <v>4</v>
      </c>
      <c r="K285" s="3">
        <v>4</v>
      </c>
      <c r="L285" s="3">
        <v>0</v>
      </c>
      <c r="M285" s="3">
        <v>0</v>
      </c>
      <c r="N285" s="3">
        <v>4</v>
      </c>
      <c r="O285" s="3"/>
      <c r="P285" s="3">
        <v>0</v>
      </c>
      <c r="Q285" s="3">
        <v>0</v>
      </c>
      <c r="R285" s="3">
        <v>0</v>
      </c>
    </row>
    <row r="286" spans="1:18">
      <c r="A286" s="3" t="s">
        <v>413</v>
      </c>
      <c r="B286" s="3" t="s">
        <v>414</v>
      </c>
      <c r="C286" s="3" t="s">
        <v>415</v>
      </c>
      <c r="D286" s="3" t="s">
        <v>416</v>
      </c>
      <c r="E286" s="3" t="s">
        <v>84</v>
      </c>
      <c r="F286" s="3">
        <v>41.9</v>
      </c>
      <c r="G286" s="3" t="s">
        <v>1553</v>
      </c>
      <c r="H286" s="3"/>
      <c r="I286" s="3" t="s">
        <v>1554</v>
      </c>
      <c r="J286" s="3">
        <v>12</v>
      </c>
      <c r="K286" s="3">
        <v>12</v>
      </c>
      <c r="L286" s="3">
        <v>0</v>
      </c>
      <c r="M286" s="3">
        <v>0</v>
      </c>
      <c r="N286" s="3">
        <v>12</v>
      </c>
      <c r="O286" s="3">
        <v>0.24</v>
      </c>
      <c r="P286" s="3">
        <v>0</v>
      </c>
      <c r="Q286" s="3">
        <v>0</v>
      </c>
      <c r="R286" s="3">
        <v>0</v>
      </c>
    </row>
    <row r="287" spans="1:18">
      <c r="A287" s="3" t="s">
        <v>204</v>
      </c>
      <c r="B287" s="3" t="s">
        <v>205</v>
      </c>
      <c r="C287" s="3" t="s">
        <v>206</v>
      </c>
      <c r="D287" s="3" t="s">
        <v>207</v>
      </c>
      <c r="E287" s="3" t="s">
        <v>84</v>
      </c>
      <c r="F287" s="3">
        <v>41.9</v>
      </c>
      <c r="G287" s="3" t="s">
        <v>1553</v>
      </c>
      <c r="H287" s="3"/>
      <c r="I287" s="3" t="s">
        <v>1554</v>
      </c>
      <c r="J287" s="3">
        <v>7</v>
      </c>
      <c r="K287" s="3">
        <v>7</v>
      </c>
      <c r="L287" s="3">
        <v>0</v>
      </c>
      <c r="M287" s="3">
        <v>0</v>
      </c>
      <c r="N287" s="3">
        <v>7</v>
      </c>
      <c r="O287" s="3">
        <v>0.24</v>
      </c>
      <c r="P287" s="3">
        <v>0</v>
      </c>
      <c r="Q287" s="3">
        <v>0</v>
      </c>
      <c r="R287" s="3">
        <v>0</v>
      </c>
    </row>
    <row r="288" spans="1:18">
      <c r="A288" s="3" t="s">
        <v>923</v>
      </c>
      <c r="B288" s="3" t="s">
        <v>924</v>
      </c>
      <c r="C288" s="3" t="s">
        <v>925</v>
      </c>
      <c r="D288" s="3" t="s">
        <v>926</v>
      </c>
      <c r="E288" s="3" t="s">
        <v>84</v>
      </c>
      <c r="F288" s="3">
        <v>41.9</v>
      </c>
      <c r="G288" s="3" t="s">
        <v>1553</v>
      </c>
      <c r="H288" s="3"/>
      <c r="I288" s="3" t="s">
        <v>1554</v>
      </c>
      <c r="J288" s="3">
        <v>9</v>
      </c>
      <c r="K288" s="3">
        <v>9</v>
      </c>
      <c r="L288" s="3">
        <v>0</v>
      </c>
      <c r="M288" s="3">
        <v>0</v>
      </c>
      <c r="N288" s="3">
        <v>9</v>
      </c>
      <c r="O288" s="3"/>
      <c r="P288" s="3">
        <v>0</v>
      </c>
      <c r="Q288" s="3">
        <v>0</v>
      </c>
      <c r="R288" s="3">
        <v>0</v>
      </c>
    </row>
    <row r="289" spans="1:18">
      <c r="A289" s="3" t="s">
        <v>871</v>
      </c>
      <c r="B289" s="3" t="s">
        <v>872</v>
      </c>
      <c r="C289" s="3" t="s">
        <v>873</v>
      </c>
      <c r="D289" s="3" t="s">
        <v>874</v>
      </c>
      <c r="E289" s="3" t="s">
        <v>84</v>
      </c>
      <c r="F289" s="3">
        <v>41.9</v>
      </c>
      <c r="G289" s="3" t="s">
        <v>1553</v>
      </c>
      <c r="H289" s="3"/>
      <c r="I289" s="3" t="s">
        <v>1554</v>
      </c>
      <c r="J289" s="3">
        <v>2</v>
      </c>
      <c r="K289" s="3">
        <v>2</v>
      </c>
      <c r="L289" s="3">
        <v>0</v>
      </c>
      <c r="M289" s="3">
        <v>0</v>
      </c>
      <c r="N289" s="3">
        <v>2</v>
      </c>
      <c r="O289" s="3">
        <v>0</v>
      </c>
      <c r="P289" s="3">
        <v>0</v>
      </c>
      <c r="Q289" s="3">
        <v>0</v>
      </c>
      <c r="R289" s="3">
        <v>0</v>
      </c>
    </row>
    <row r="290" spans="1:18">
      <c r="A290" s="3" t="s">
        <v>549</v>
      </c>
      <c r="B290" s="3" t="s">
        <v>550</v>
      </c>
      <c r="C290" s="3" t="s">
        <v>551</v>
      </c>
      <c r="D290" s="3" t="s">
        <v>552</v>
      </c>
      <c r="E290" s="3" t="s">
        <v>84</v>
      </c>
      <c r="F290" s="3">
        <v>38.9</v>
      </c>
      <c r="G290" s="3" t="s">
        <v>1553</v>
      </c>
      <c r="H290" s="3"/>
      <c r="I290" s="3" t="s">
        <v>1554</v>
      </c>
      <c r="J290" s="3">
        <v>3</v>
      </c>
      <c r="K290" s="3">
        <v>3</v>
      </c>
      <c r="L290" s="3">
        <v>0</v>
      </c>
      <c r="M290" s="3">
        <v>0</v>
      </c>
      <c r="N290" s="3">
        <v>3</v>
      </c>
      <c r="O290" s="3"/>
      <c r="P290" s="3">
        <v>0</v>
      </c>
      <c r="Q290" s="3">
        <v>0</v>
      </c>
      <c r="R290" s="3">
        <v>0</v>
      </c>
    </row>
    <row r="291" spans="1:18">
      <c r="A291" s="3" t="s">
        <v>488</v>
      </c>
      <c r="B291" s="3" t="s">
        <v>489</v>
      </c>
      <c r="C291" s="3" t="s">
        <v>490</v>
      </c>
      <c r="D291" s="3" t="s">
        <v>491</v>
      </c>
      <c r="E291" s="3" t="s">
        <v>84</v>
      </c>
      <c r="F291" s="3">
        <v>38.9</v>
      </c>
      <c r="G291" s="3" t="s">
        <v>1553</v>
      </c>
      <c r="H291" s="3"/>
      <c r="I291" s="3" t="s">
        <v>1554</v>
      </c>
      <c r="J291" s="3">
        <v>2</v>
      </c>
      <c r="K291" s="3">
        <v>2</v>
      </c>
      <c r="L291" s="3">
        <v>0</v>
      </c>
      <c r="M291" s="3">
        <v>0</v>
      </c>
      <c r="N291" s="3">
        <v>2</v>
      </c>
      <c r="O291" s="3"/>
      <c r="P291" s="3">
        <v>0</v>
      </c>
      <c r="Q291" s="3">
        <v>0</v>
      </c>
      <c r="R291" s="3">
        <v>0</v>
      </c>
    </row>
    <row r="292" spans="1:18">
      <c r="A292" s="3" t="s">
        <v>1322</v>
      </c>
      <c r="B292" s="3" t="s">
        <v>1323</v>
      </c>
      <c r="C292" s="3" t="s">
        <v>1324</v>
      </c>
      <c r="D292" s="3" t="s">
        <v>1325</v>
      </c>
      <c r="E292" s="3" t="s">
        <v>84</v>
      </c>
      <c r="F292" s="3">
        <v>38.9</v>
      </c>
      <c r="G292" s="3" t="s">
        <v>1553</v>
      </c>
      <c r="H292" s="3"/>
      <c r="I292" s="3" t="s">
        <v>1554</v>
      </c>
      <c r="J292" s="3">
        <v>3</v>
      </c>
      <c r="K292" s="3">
        <v>3</v>
      </c>
      <c r="L292" s="3">
        <v>0</v>
      </c>
      <c r="M292" s="3">
        <v>0</v>
      </c>
      <c r="N292" s="3">
        <v>3</v>
      </c>
      <c r="O292" s="3">
        <v>0.06</v>
      </c>
      <c r="P292" s="3">
        <v>0</v>
      </c>
      <c r="Q292" s="3">
        <v>0</v>
      </c>
      <c r="R292" s="3">
        <v>0</v>
      </c>
    </row>
    <row r="293" spans="1:18">
      <c r="A293" s="3" t="s">
        <v>195</v>
      </c>
      <c r="B293" s="3" t="s">
        <v>196</v>
      </c>
      <c r="C293" s="3" t="s">
        <v>197</v>
      </c>
      <c r="D293" s="3" t="s">
        <v>198</v>
      </c>
      <c r="E293" s="3" t="s">
        <v>84</v>
      </c>
      <c r="F293" s="3">
        <v>38.9</v>
      </c>
      <c r="G293" s="3" t="s">
        <v>1553</v>
      </c>
      <c r="H293" s="3"/>
      <c r="I293" s="3" t="s">
        <v>1554</v>
      </c>
      <c r="J293" s="3">
        <v>3</v>
      </c>
      <c r="K293" s="3">
        <v>3</v>
      </c>
      <c r="L293" s="3">
        <v>0</v>
      </c>
      <c r="M293" s="3">
        <v>0</v>
      </c>
      <c r="N293" s="3">
        <v>3</v>
      </c>
      <c r="O293" s="3"/>
      <c r="P293" s="3">
        <v>0</v>
      </c>
      <c r="Q293" s="3">
        <v>0</v>
      </c>
      <c r="R293" s="3">
        <v>0</v>
      </c>
    </row>
    <row r="294" spans="1:18">
      <c r="A294" s="3" t="s">
        <v>1495</v>
      </c>
      <c r="B294" s="3" t="s">
        <v>1496</v>
      </c>
      <c r="C294" s="3" t="s">
        <v>1497</v>
      </c>
      <c r="D294" s="3" t="s">
        <v>1498</v>
      </c>
      <c r="E294" s="3" t="s">
        <v>84</v>
      </c>
      <c r="F294" s="3">
        <v>38.9</v>
      </c>
      <c r="G294" s="3" t="s">
        <v>1553</v>
      </c>
      <c r="H294" s="3"/>
      <c r="I294" s="3" t="s">
        <v>1554</v>
      </c>
      <c r="J294" s="3">
        <v>3</v>
      </c>
      <c r="K294" s="3">
        <v>3</v>
      </c>
      <c r="L294" s="3">
        <v>0</v>
      </c>
      <c r="M294" s="3">
        <v>0</v>
      </c>
      <c r="N294" s="3">
        <v>3</v>
      </c>
      <c r="O294" s="3">
        <v>0.08</v>
      </c>
      <c r="P294" s="3">
        <v>0</v>
      </c>
      <c r="Q294" s="3">
        <v>0</v>
      </c>
      <c r="R294" s="3">
        <v>0</v>
      </c>
    </row>
    <row r="295" spans="1:18">
      <c r="A295" s="3" t="s">
        <v>441</v>
      </c>
      <c r="B295" s="3" t="s">
        <v>442</v>
      </c>
      <c r="C295" s="3" t="s">
        <v>443</v>
      </c>
      <c r="D295" s="3" t="s">
        <v>444</v>
      </c>
      <c r="E295" s="3" t="s">
        <v>84</v>
      </c>
      <c r="F295" s="3">
        <v>38.9</v>
      </c>
      <c r="G295" s="3" t="s">
        <v>1553</v>
      </c>
      <c r="H295" s="3"/>
      <c r="I295" s="3" t="s">
        <v>1554</v>
      </c>
      <c r="J295" s="3">
        <v>3</v>
      </c>
      <c r="K295" s="3">
        <v>3</v>
      </c>
      <c r="L295" s="3">
        <v>0</v>
      </c>
      <c r="M295" s="3">
        <v>0</v>
      </c>
      <c r="N295" s="3">
        <v>3</v>
      </c>
      <c r="O295" s="3"/>
      <c r="P295" s="3">
        <v>0</v>
      </c>
      <c r="Q295" s="3">
        <v>0</v>
      </c>
      <c r="R295" s="3">
        <v>0</v>
      </c>
    </row>
    <row r="296" spans="1:18">
      <c r="A296" s="3" t="s">
        <v>186</v>
      </c>
      <c r="B296" s="3" t="s">
        <v>187</v>
      </c>
      <c r="C296" s="3" t="s">
        <v>188</v>
      </c>
      <c r="D296" s="3" t="s">
        <v>189</v>
      </c>
      <c r="E296" s="3" t="s">
        <v>84</v>
      </c>
      <c r="F296" s="3">
        <v>38.9</v>
      </c>
      <c r="G296" s="3" t="s">
        <v>1553</v>
      </c>
      <c r="H296" s="3"/>
      <c r="I296" s="3" t="s">
        <v>1554</v>
      </c>
      <c r="J296" s="3">
        <v>3</v>
      </c>
      <c r="K296" s="3">
        <v>3</v>
      </c>
      <c r="L296" s="3">
        <v>0</v>
      </c>
      <c r="M296" s="3">
        <v>0</v>
      </c>
      <c r="N296" s="3">
        <v>3</v>
      </c>
      <c r="O296" s="3"/>
      <c r="P296" s="3">
        <v>0</v>
      </c>
      <c r="Q296" s="3">
        <v>0</v>
      </c>
      <c r="R296" s="3">
        <v>0</v>
      </c>
    </row>
    <row r="297" spans="1:18">
      <c r="A297" s="3" t="s">
        <v>1062</v>
      </c>
      <c r="B297" s="3" t="s">
        <v>1063</v>
      </c>
      <c r="C297" s="3" t="s">
        <v>1064</v>
      </c>
      <c r="D297" s="3" t="s">
        <v>1065</v>
      </c>
      <c r="E297" s="3" t="s">
        <v>84</v>
      </c>
      <c r="F297" s="3">
        <v>38.9</v>
      </c>
      <c r="G297" s="3" t="s">
        <v>1553</v>
      </c>
      <c r="H297" s="3"/>
      <c r="I297" s="3" t="s">
        <v>1554</v>
      </c>
      <c r="J297" s="3">
        <v>3</v>
      </c>
      <c r="K297" s="3">
        <v>3</v>
      </c>
      <c r="L297" s="3">
        <v>0</v>
      </c>
      <c r="M297" s="3">
        <v>0</v>
      </c>
      <c r="N297" s="3">
        <v>3</v>
      </c>
      <c r="O297" s="3">
        <v>0.08</v>
      </c>
      <c r="P297" s="3">
        <v>0</v>
      </c>
      <c r="Q297" s="3">
        <v>0</v>
      </c>
      <c r="R297" s="3">
        <v>0</v>
      </c>
    </row>
    <row r="298" spans="1:18">
      <c r="A298" s="3" t="s">
        <v>320</v>
      </c>
      <c r="B298" s="3" t="s">
        <v>321</v>
      </c>
      <c r="C298" s="3" t="s">
        <v>322</v>
      </c>
      <c r="D298" s="3" t="s">
        <v>323</v>
      </c>
      <c r="E298" s="3" t="s">
        <v>84</v>
      </c>
      <c r="F298" s="3">
        <v>38.9</v>
      </c>
      <c r="G298" s="3" t="s">
        <v>1553</v>
      </c>
      <c r="H298" s="3"/>
      <c r="I298" s="3" t="s">
        <v>1554</v>
      </c>
      <c r="J298" s="3">
        <v>2</v>
      </c>
      <c r="K298" s="3">
        <v>2</v>
      </c>
      <c r="L298" s="3">
        <v>0</v>
      </c>
      <c r="M298" s="3">
        <v>0</v>
      </c>
      <c r="N298" s="3">
        <v>2</v>
      </c>
      <c r="O298" s="3">
        <v>0.06</v>
      </c>
      <c r="P298" s="3">
        <v>0</v>
      </c>
      <c r="Q298" s="3">
        <v>0</v>
      </c>
      <c r="R298" s="3">
        <v>0</v>
      </c>
    </row>
    <row r="299" spans="1:18">
      <c r="A299" s="3" t="s">
        <v>272</v>
      </c>
      <c r="B299" s="3" t="s">
        <v>273</v>
      </c>
      <c r="C299" s="3" t="s">
        <v>274</v>
      </c>
      <c r="D299" s="3" t="s">
        <v>275</v>
      </c>
      <c r="E299" s="3" t="s">
        <v>84</v>
      </c>
      <c r="F299" s="3">
        <v>38.9</v>
      </c>
      <c r="G299" s="3" t="s">
        <v>1553</v>
      </c>
      <c r="H299" s="3"/>
      <c r="I299" s="3" t="s">
        <v>1554</v>
      </c>
      <c r="J299" s="3">
        <v>2</v>
      </c>
      <c r="K299" s="3">
        <v>2</v>
      </c>
      <c r="L299" s="3">
        <v>0</v>
      </c>
      <c r="M299" s="3">
        <v>0</v>
      </c>
      <c r="N299" s="3">
        <v>2</v>
      </c>
      <c r="O299" s="3">
        <v>0.06</v>
      </c>
      <c r="P299" s="3">
        <v>0</v>
      </c>
      <c r="Q299" s="3">
        <v>0</v>
      </c>
      <c r="R299" s="3">
        <v>0</v>
      </c>
    </row>
    <row r="300" spans="1:18">
      <c r="A300" s="3" t="s">
        <v>992</v>
      </c>
      <c r="B300" s="3" t="s">
        <v>993</v>
      </c>
      <c r="C300" s="3" t="s">
        <v>994</v>
      </c>
      <c r="D300" s="3" t="s">
        <v>995</v>
      </c>
      <c r="E300" s="3" t="s">
        <v>84</v>
      </c>
      <c r="F300" s="3">
        <v>38.9</v>
      </c>
      <c r="G300" s="3" t="s">
        <v>1553</v>
      </c>
      <c r="H300" s="3"/>
      <c r="I300" s="3" t="s">
        <v>1554</v>
      </c>
      <c r="J300" s="3">
        <v>3</v>
      </c>
      <c r="K300" s="3">
        <v>3</v>
      </c>
      <c r="L300" s="3">
        <v>0</v>
      </c>
      <c r="M300" s="3">
        <v>0</v>
      </c>
      <c r="N300" s="3">
        <v>3</v>
      </c>
      <c r="O300" s="3">
        <v>0.08</v>
      </c>
      <c r="P300" s="3">
        <v>0</v>
      </c>
      <c r="Q300" s="3">
        <v>0</v>
      </c>
      <c r="R300" s="3">
        <v>0</v>
      </c>
    </row>
    <row r="301" spans="1:18">
      <c r="A301" s="3" t="s">
        <v>1684</v>
      </c>
      <c r="B301" s="3" t="s">
        <v>1685</v>
      </c>
      <c r="C301" s="3" t="s">
        <v>1686</v>
      </c>
      <c r="D301" s="3" t="s">
        <v>1687</v>
      </c>
      <c r="E301" s="3" t="s">
        <v>84</v>
      </c>
      <c r="F301" s="3">
        <v>30.9</v>
      </c>
      <c r="G301" s="3" t="s">
        <v>1553</v>
      </c>
      <c r="H301" s="3"/>
      <c r="I301" s="3" t="s">
        <v>1554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0.17</v>
      </c>
      <c r="P301" s="3">
        <v>0</v>
      </c>
      <c r="Q301" s="3">
        <v>0</v>
      </c>
      <c r="R301" s="3">
        <v>0</v>
      </c>
    </row>
    <row r="302" spans="1:18">
      <c r="A302" s="3" t="s">
        <v>825</v>
      </c>
      <c r="B302" s="3" t="s">
        <v>826</v>
      </c>
      <c r="C302" s="3" t="s">
        <v>827</v>
      </c>
      <c r="D302" s="3" t="s">
        <v>828</v>
      </c>
      <c r="E302" s="3" t="s">
        <v>84</v>
      </c>
      <c r="F302" s="3">
        <v>35.99</v>
      </c>
      <c r="G302" s="3" t="s">
        <v>1553</v>
      </c>
      <c r="H302" s="3"/>
      <c r="I302" s="3" t="s">
        <v>1554</v>
      </c>
      <c r="J302" s="3">
        <v>71</v>
      </c>
      <c r="K302" s="3">
        <v>71</v>
      </c>
      <c r="L302" s="3">
        <v>0</v>
      </c>
      <c r="M302" s="3">
        <v>0</v>
      </c>
      <c r="N302" s="3">
        <v>71</v>
      </c>
      <c r="O302" s="3">
        <v>0.18</v>
      </c>
      <c r="P302" s="3">
        <v>0</v>
      </c>
      <c r="Q302" s="3">
        <v>0</v>
      </c>
      <c r="R302" s="3">
        <v>0</v>
      </c>
    </row>
    <row r="303" spans="1:18">
      <c r="A303" s="3" t="s">
        <v>528</v>
      </c>
      <c r="B303" s="3" t="s">
        <v>529</v>
      </c>
      <c r="C303" s="3" t="s">
        <v>530</v>
      </c>
      <c r="D303" s="3" t="s">
        <v>531</v>
      </c>
      <c r="E303" s="3" t="s">
        <v>84</v>
      </c>
      <c r="F303" s="3">
        <v>35.99</v>
      </c>
      <c r="G303" s="3" t="s">
        <v>1553</v>
      </c>
      <c r="H303" s="3"/>
      <c r="I303" s="3" t="s">
        <v>1554</v>
      </c>
      <c r="J303" s="3">
        <v>57</v>
      </c>
      <c r="K303" s="3">
        <v>57</v>
      </c>
      <c r="L303" s="3">
        <v>0</v>
      </c>
      <c r="M303" s="3">
        <v>0</v>
      </c>
      <c r="N303" s="3">
        <v>57</v>
      </c>
      <c r="O303" s="3">
        <v>0.18</v>
      </c>
      <c r="P303" s="3">
        <v>0</v>
      </c>
      <c r="Q303" s="3">
        <v>0</v>
      </c>
      <c r="R303" s="3">
        <v>0</v>
      </c>
    </row>
    <row r="304" spans="1:18">
      <c r="A304" s="3" t="s">
        <v>80</v>
      </c>
      <c r="B304" s="3" t="s">
        <v>81</v>
      </c>
      <c r="C304" s="3" t="s">
        <v>82</v>
      </c>
      <c r="D304" s="3" t="s">
        <v>83</v>
      </c>
      <c r="E304" s="3" t="s">
        <v>84</v>
      </c>
      <c r="F304" s="3">
        <v>35.99</v>
      </c>
      <c r="G304" s="3" t="s">
        <v>1553</v>
      </c>
      <c r="H304" s="3"/>
      <c r="I304" s="3" t="s">
        <v>1554</v>
      </c>
      <c r="J304" s="3">
        <v>33</v>
      </c>
      <c r="K304" s="3">
        <v>33</v>
      </c>
      <c r="L304" s="3">
        <v>0</v>
      </c>
      <c r="M304" s="3">
        <v>0</v>
      </c>
      <c r="N304" s="3">
        <v>33</v>
      </c>
      <c r="O304" s="3">
        <v>0.18</v>
      </c>
      <c r="P304" s="3">
        <v>0</v>
      </c>
      <c r="Q304" s="3">
        <v>0</v>
      </c>
      <c r="R304" s="3">
        <v>0</v>
      </c>
    </row>
    <row r="305" spans="1:18">
      <c r="A305" s="3" t="s">
        <v>879</v>
      </c>
      <c r="B305" s="3" t="s">
        <v>880</v>
      </c>
      <c r="C305" s="3" t="s">
        <v>881</v>
      </c>
      <c r="D305" s="3" t="s">
        <v>882</v>
      </c>
      <c r="E305" s="3" t="s">
        <v>84</v>
      </c>
      <c r="F305" s="3">
        <v>35.99</v>
      </c>
      <c r="G305" s="3" t="s">
        <v>1553</v>
      </c>
      <c r="H305" s="3"/>
      <c r="I305" s="3" t="s">
        <v>1554</v>
      </c>
      <c r="J305" s="3">
        <v>9</v>
      </c>
      <c r="K305" s="3">
        <v>9</v>
      </c>
      <c r="L305" s="3">
        <v>0</v>
      </c>
      <c r="M305" s="3">
        <v>0</v>
      </c>
      <c r="N305" s="3">
        <v>9</v>
      </c>
      <c r="O305" s="3">
        <v>0.18</v>
      </c>
      <c r="P305" s="3">
        <v>0</v>
      </c>
      <c r="Q305" s="3">
        <v>0</v>
      </c>
      <c r="R305" s="3">
        <v>0</v>
      </c>
    </row>
    <row r="306" spans="1:18">
      <c r="A306" s="3" t="s">
        <v>1507</v>
      </c>
      <c r="B306" s="3" t="s">
        <v>1508</v>
      </c>
      <c r="C306" s="3" t="s">
        <v>1509</v>
      </c>
      <c r="D306" s="3" t="s">
        <v>1510</v>
      </c>
      <c r="E306" s="3" t="s">
        <v>84</v>
      </c>
      <c r="F306" s="3">
        <v>35.99</v>
      </c>
      <c r="G306" s="3" t="s">
        <v>1553</v>
      </c>
      <c r="H306" s="3"/>
      <c r="I306" s="3" t="s">
        <v>1554</v>
      </c>
      <c r="J306" s="3">
        <v>12</v>
      </c>
      <c r="K306" s="3">
        <v>12</v>
      </c>
      <c r="L306" s="3">
        <v>0</v>
      </c>
      <c r="M306" s="3">
        <v>0</v>
      </c>
      <c r="N306" s="3">
        <v>12</v>
      </c>
      <c r="O306" s="3">
        <v>0.18</v>
      </c>
      <c r="P306" s="3">
        <v>0</v>
      </c>
      <c r="Q306" s="3">
        <v>0</v>
      </c>
      <c r="R306" s="3">
        <v>0</v>
      </c>
    </row>
    <row r="307" spans="1:18">
      <c r="A307" s="3" t="s">
        <v>1524</v>
      </c>
      <c r="B307" s="3" t="s">
        <v>1525</v>
      </c>
      <c r="C307" s="3" t="s">
        <v>1526</v>
      </c>
      <c r="D307" s="3" t="s">
        <v>1527</v>
      </c>
      <c r="E307" s="3" t="s">
        <v>84</v>
      </c>
      <c r="F307" s="3">
        <v>30.9</v>
      </c>
      <c r="G307" s="3" t="s">
        <v>1553</v>
      </c>
      <c r="H307" s="3"/>
      <c r="I307" s="3" t="s">
        <v>1554</v>
      </c>
      <c r="J307" s="3">
        <v>11</v>
      </c>
      <c r="K307" s="3">
        <v>11</v>
      </c>
      <c r="L307" s="3">
        <v>0</v>
      </c>
      <c r="M307" s="3">
        <v>0</v>
      </c>
      <c r="N307" s="3">
        <v>11</v>
      </c>
      <c r="O307" s="3">
        <v>0.02</v>
      </c>
      <c r="P307" s="3">
        <v>0</v>
      </c>
      <c r="Q307" s="3">
        <v>0</v>
      </c>
      <c r="R307" s="3">
        <v>0</v>
      </c>
    </row>
    <row r="308" spans="1:18">
      <c r="A308" s="3" t="s">
        <v>1091</v>
      </c>
      <c r="B308" s="3" t="s">
        <v>1092</v>
      </c>
      <c r="C308" s="3" t="s">
        <v>1093</v>
      </c>
      <c r="D308" s="3" t="s">
        <v>1094</v>
      </c>
      <c r="E308" s="3" t="s">
        <v>84</v>
      </c>
      <c r="F308" s="3">
        <v>30.9</v>
      </c>
      <c r="G308" s="3" t="s">
        <v>1553</v>
      </c>
      <c r="H308" s="3"/>
      <c r="I308" s="3" t="s">
        <v>1554</v>
      </c>
      <c r="J308" s="3">
        <v>7</v>
      </c>
      <c r="K308" s="3">
        <v>7</v>
      </c>
      <c r="L308" s="3">
        <v>0</v>
      </c>
      <c r="M308" s="3">
        <v>0</v>
      </c>
      <c r="N308" s="3">
        <v>7</v>
      </c>
      <c r="O308" s="3">
        <v>0.02</v>
      </c>
      <c r="P308" s="3">
        <v>0</v>
      </c>
      <c r="Q308" s="3">
        <v>0</v>
      </c>
      <c r="R308" s="3">
        <v>0</v>
      </c>
    </row>
    <row r="309" spans="1:18">
      <c r="A309" s="3" t="s">
        <v>693</v>
      </c>
      <c r="B309" s="3" t="s">
        <v>694</v>
      </c>
      <c r="C309" s="3" t="s">
        <v>695</v>
      </c>
      <c r="D309" s="3" t="s">
        <v>696</v>
      </c>
      <c r="E309" s="3" t="s">
        <v>84</v>
      </c>
      <c r="F309" s="3">
        <v>30.9</v>
      </c>
      <c r="G309" s="3" t="s">
        <v>1553</v>
      </c>
      <c r="H309" s="3"/>
      <c r="I309" s="3" t="s">
        <v>1554</v>
      </c>
      <c r="J309" s="3">
        <v>4</v>
      </c>
      <c r="K309" s="3">
        <v>4</v>
      </c>
      <c r="L309" s="3">
        <v>0</v>
      </c>
      <c r="M309" s="3">
        <v>0</v>
      </c>
      <c r="N309" s="3">
        <v>4</v>
      </c>
      <c r="O309" s="3">
        <v>0.02</v>
      </c>
      <c r="P309" s="3">
        <v>0</v>
      </c>
      <c r="Q309" s="3">
        <v>0</v>
      </c>
      <c r="R309" s="3">
        <v>0</v>
      </c>
    </row>
    <row r="310" spans="1:18">
      <c r="A310" s="3" t="s">
        <v>362</v>
      </c>
      <c r="B310" s="3" t="s">
        <v>363</v>
      </c>
      <c r="C310" s="3" t="s">
        <v>364</v>
      </c>
      <c r="D310" s="3" t="s">
        <v>365</v>
      </c>
      <c r="E310" s="3" t="s">
        <v>84</v>
      </c>
      <c r="F310" s="3">
        <v>30.9</v>
      </c>
      <c r="G310" s="3" t="s">
        <v>1553</v>
      </c>
      <c r="H310" s="3"/>
      <c r="I310" s="3" t="s">
        <v>1554</v>
      </c>
      <c r="J310" s="3">
        <v>7</v>
      </c>
      <c r="K310" s="3">
        <v>7</v>
      </c>
      <c r="L310" s="3">
        <v>0</v>
      </c>
      <c r="M310" s="3">
        <v>0</v>
      </c>
      <c r="N310" s="3">
        <v>7</v>
      </c>
      <c r="O310" s="3">
        <v>0.02</v>
      </c>
      <c r="P310" s="3">
        <v>0</v>
      </c>
      <c r="Q310" s="3">
        <v>0</v>
      </c>
      <c r="R310" s="3">
        <v>0</v>
      </c>
    </row>
    <row r="311" spans="1:18">
      <c r="A311" s="3" t="s">
        <v>1286</v>
      </c>
      <c r="B311" s="3" t="s">
        <v>1287</v>
      </c>
      <c r="C311" s="3" t="s">
        <v>1288</v>
      </c>
      <c r="D311" s="3" t="s">
        <v>1289</v>
      </c>
      <c r="E311" s="3" t="s">
        <v>84</v>
      </c>
      <c r="F311" s="3">
        <v>30.9</v>
      </c>
      <c r="G311" s="3" t="s">
        <v>1553</v>
      </c>
      <c r="H311" s="3"/>
      <c r="I311" s="3" t="s">
        <v>1554</v>
      </c>
      <c r="J311" s="3">
        <v>11</v>
      </c>
      <c r="K311" s="3">
        <v>11</v>
      </c>
      <c r="L311" s="3">
        <v>0</v>
      </c>
      <c r="M311" s="3">
        <v>0</v>
      </c>
      <c r="N311" s="3">
        <v>11</v>
      </c>
      <c r="O311" s="3">
        <v>0.02</v>
      </c>
      <c r="P311" s="3">
        <v>0</v>
      </c>
      <c r="Q311" s="3">
        <v>0</v>
      </c>
      <c r="R311" s="3">
        <v>0</v>
      </c>
    </row>
    <row r="312" spans="1:18">
      <c r="A312" s="3" t="s">
        <v>927</v>
      </c>
      <c r="B312" s="3" t="s">
        <v>928</v>
      </c>
      <c r="C312" s="3" t="s">
        <v>929</v>
      </c>
      <c r="D312" s="3" t="s">
        <v>930</v>
      </c>
      <c r="E312" s="3" t="s">
        <v>84</v>
      </c>
      <c r="F312" s="3">
        <v>30.9</v>
      </c>
      <c r="G312" s="3" t="s">
        <v>1553</v>
      </c>
      <c r="H312" s="3"/>
      <c r="I312" s="3" t="s">
        <v>1554</v>
      </c>
      <c r="J312" s="3">
        <v>7</v>
      </c>
      <c r="K312" s="3">
        <v>7</v>
      </c>
      <c r="L312" s="3">
        <v>0</v>
      </c>
      <c r="M312" s="3">
        <v>0</v>
      </c>
      <c r="N312" s="3">
        <v>7</v>
      </c>
      <c r="O312" s="3">
        <v>0.02</v>
      </c>
      <c r="P312" s="3">
        <v>0</v>
      </c>
      <c r="Q312" s="3">
        <v>0</v>
      </c>
      <c r="R312" s="3">
        <v>0</v>
      </c>
    </row>
    <row r="313" spans="1:18">
      <c r="A313" s="3" t="s">
        <v>1688</v>
      </c>
      <c r="B313" s="3" t="s">
        <v>1689</v>
      </c>
      <c r="C313" s="3" t="s">
        <v>1690</v>
      </c>
      <c r="D313" s="3" t="s">
        <v>1691</v>
      </c>
      <c r="E313" s="3" t="s">
        <v>84</v>
      </c>
      <c r="F313" s="3">
        <v>30.9</v>
      </c>
      <c r="G313" s="3" t="s">
        <v>1553</v>
      </c>
      <c r="H313" s="3"/>
      <c r="I313" s="3" t="s">
        <v>1554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0.02</v>
      </c>
      <c r="P313" s="3">
        <v>0</v>
      </c>
      <c r="Q313" s="3">
        <v>0</v>
      </c>
      <c r="R313" s="3">
        <v>0</v>
      </c>
    </row>
    <row r="314" spans="1:18">
      <c r="A314" s="3" t="s">
        <v>1360</v>
      </c>
      <c r="B314" s="3" t="s">
        <v>1361</v>
      </c>
      <c r="C314" s="3" t="s">
        <v>1362</v>
      </c>
      <c r="D314" s="3" t="s">
        <v>1363</v>
      </c>
      <c r="E314" s="3" t="s">
        <v>84</v>
      </c>
      <c r="F314" s="3">
        <v>30.9</v>
      </c>
      <c r="G314" s="3" t="s">
        <v>1553</v>
      </c>
      <c r="H314" s="3"/>
      <c r="I314" s="3" t="s">
        <v>1554</v>
      </c>
      <c r="J314" s="3">
        <v>7</v>
      </c>
      <c r="K314" s="3">
        <v>7</v>
      </c>
      <c r="L314" s="3">
        <v>0</v>
      </c>
      <c r="M314" s="3">
        <v>0</v>
      </c>
      <c r="N314" s="3">
        <v>7</v>
      </c>
      <c r="O314" s="3">
        <v>0.02</v>
      </c>
      <c r="P314" s="3">
        <v>0</v>
      </c>
      <c r="Q314" s="3">
        <v>0</v>
      </c>
      <c r="R314" s="3">
        <v>0</v>
      </c>
    </row>
    <row r="315" spans="1:18">
      <c r="A315" s="3" t="s">
        <v>417</v>
      </c>
      <c r="B315" s="3" t="s">
        <v>418</v>
      </c>
      <c r="C315" s="3" t="s">
        <v>419</v>
      </c>
      <c r="D315" s="3" t="s">
        <v>420</v>
      </c>
      <c r="E315" s="3" t="s">
        <v>84</v>
      </c>
      <c r="F315" s="3">
        <v>30.9</v>
      </c>
      <c r="G315" s="3" t="s">
        <v>1553</v>
      </c>
      <c r="H315" s="3"/>
      <c r="I315" s="3" t="s">
        <v>1554</v>
      </c>
      <c r="J315" s="3">
        <v>4</v>
      </c>
      <c r="K315" s="3">
        <v>4</v>
      </c>
      <c r="L315" s="3">
        <v>0</v>
      </c>
      <c r="M315" s="3">
        <v>0</v>
      </c>
      <c r="N315" s="3">
        <v>4</v>
      </c>
      <c r="O315" s="3">
        <v>0.02</v>
      </c>
      <c r="P315" s="3">
        <v>0</v>
      </c>
      <c r="Q315" s="3">
        <v>0</v>
      </c>
      <c r="R315" s="3">
        <v>0</v>
      </c>
    </row>
    <row r="316" spans="1:18">
      <c r="A316" s="3" t="s">
        <v>1087</v>
      </c>
      <c r="B316" s="3" t="s">
        <v>1088</v>
      </c>
      <c r="C316" s="3" t="s">
        <v>1089</v>
      </c>
      <c r="D316" s="3" t="s">
        <v>1090</v>
      </c>
      <c r="E316" s="3" t="s">
        <v>84</v>
      </c>
      <c r="F316" s="3">
        <v>30.9</v>
      </c>
      <c r="G316" s="3" t="s">
        <v>1553</v>
      </c>
      <c r="H316" s="3"/>
      <c r="I316" s="3" t="s">
        <v>1554</v>
      </c>
      <c r="J316" s="3">
        <v>12</v>
      </c>
      <c r="K316" s="3">
        <v>12</v>
      </c>
      <c r="L316" s="3">
        <v>0</v>
      </c>
      <c r="M316" s="3">
        <v>0</v>
      </c>
      <c r="N316" s="3">
        <v>12</v>
      </c>
      <c r="O316" s="3">
        <v>0.01</v>
      </c>
      <c r="P316" s="3">
        <v>0</v>
      </c>
      <c r="Q316" s="3">
        <v>0</v>
      </c>
      <c r="R316" s="3">
        <v>0</v>
      </c>
    </row>
    <row r="317" spans="1:18">
      <c r="A317" s="3" t="s">
        <v>1442</v>
      </c>
      <c r="B317" s="3" t="s">
        <v>1443</v>
      </c>
      <c r="C317" s="3" t="s">
        <v>1444</v>
      </c>
      <c r="D317" s="3" t="s">
        <v>1445</v>
      </c>
      <c r="E317" s="3" t="s">
        <v>84</v>
      </c>
      <c r="F317" s="3">
        <v>30.9</v>
      </c>
      <c r="G317" s="3" t="s">
        <v>1553</v>
      </c>
      <c r="H317" s="3"/>
      <c r="I317" s="3" t="s">
        <v>1554</v>
      </c>
      <c r="J317" s="3">
        <v>13</v>
      </c>
      <c r="K317" s="3">
        <v>13</v>
      </c>
      <c r="L317" s="3">
        <v>0</v>
      </c>
      <c r="M317" s="3">
        <v>0</v>
      </c>
      <c r="N317" s="3">
        <v>13</v>
      </c>
      <c r="O317" s="3">
        <v>0.01</v>
      </c>
      <c r="P317" s="3">
        <v>0</v>
      </c>
      <c r="Q317" s="3">
        <v>0</v>
      </c>
      <c r="R317" s="3">
        <v>0</v>
      </c>
    </row>
    <row r="318" spans="1:18">
      <c r="A318" s="3" t="s">
        <v>778</v>
      </c>
      <c r="B318" s="3" t="s">
        <v>779</v>
      </c>
      <c r="C318" s="3" t="s">
        <v>780</v>
      </c>
      <c r="D318" s="3" t="s">
        <v>781</v>
      </c>
      <c r="E318" s="3" t="s">
        <v>84</v>
      </c>
      <c r="F318" s="3">
        <v>30.9</v>
      </c>
      <c r="G318" s="3" t="s">
        <v>1553</v>
      </c>
      <c r="H318" s="3"/>
      <c r="I318" s="3" t="s">
        <v>1554</v>
      </c>
      <c r="J318" s="3">
        <v>10</v>
      </c>
      <c r="K318" s="3">
        <v>10</v>
      </c>
      <c r="L318" s="3">
        <v>0</v>
      </c>
      <c r="M318" s="3">
        <v>0</v>
      </c>
      <c r="N318" s="3">
        <v>10</v>
      </c>
      <c r="O318" s="3">
        <v>0.01</v>
      </c>
      <c r="P318" s="3">
        <v>0</v>
      </c>
      <c r="Q318" s="3">
        <v>0</v>
      </c>
      <c r="R318" s="3">
        <v>0</v>
      </c>
    </row>
    <row r="319" spans="1:18">
      <c r="A319" s="3" t="s">
        <v>258</v>
      </c>
      <c r="B319" s="3" t="s">
        <v>259</v>
      </c>
      <c r="C319" s="3" t="s">
        <v>260</v>
      </c>
      <c r="D319" s="3" t="s">
        <v>261</v>
      </c>
      <c r="E319" s="3" t="s">
        <v>84</v>
      </c>
      <c r="F319" s="3">
        <v>30.9</v>
      </c>
      <c r="G319" s="3" t="s">
        <v>1553</v>
      </c>
      <c r="H319" s="3"/>
      <c r="I319" s="3" t="s">
        <v>1554</v>
      </c>
      <c r="J319" s="3">
        <v>7</v>
      </c>
      <c r="K319" s="3">
        <v>7</v>
      </c>
      <c r="L319" s="3">
        <v>0</v>
      </c>
      <c r="M319" s="3">
        <v>0</v>
      </c>
      <c r="N319" s="3">
        <v>7</v>
      </c>
      <c r="O319" s="3">
        <v>0.01</v>
      </c>
      <c r="P319" s="3">
        <v>0</v>
      </c>
      <c r="Q319" s="3">
        <v>0</v>
      </c>
      <c r="R319" s="3">
        <v>0</v>
      </c>
    </row>
    <row r="320" spans="1:18">
      <c r="A320" s="3" t="s">
        <v>296</v>
      </c>
      <c r="B320" s="3" t="s">
        <v>297</v>
      </c>
      <c r="C320" s="3" t="s">
        <v>298</v>
      </c>
      <c r="D320" s="3" t="s">
        <v>299</v>
      </c>
      <c r="E320" s="3" t="s">
        <v>84</v>
      </c>
      <c r="F320" s="3">
        <v>30.9</v>
      </c>
      <c r="G320" s="3" t="s">
        <v>1553</v>
      </c>
      <c r="H320" s="3"/>
      <c r="I320" s="3" t="s">
        <v>1554</v>
      </c>
      <c r="J320" s="3">
        <v>10</v>
      </c>
      <c r="K320" s="3">
        <v>10</v>
      </c>
      <c r="L320" s="3">
        <v>0</v>
      </c>
      <c r="M320" s="3">
        <v>0</v>
      </c>
      <c r="N320" s="3">
        <v>10</v>
      </c>
      <c r="O320" s="3">
        <v>0.01</v>
      </c>
      <c r="P320" s="3">
        <v>0</v>
      </c>
      <c r="Q320" s="3">
        <v>0</v>
      </c>
      <c r="R320" s="3">
        <v>0</v>
      </c>
    </row>
    <row r="321" spans="1:18">
      <c r="A321" s="3" t="s">
        <v>842</v>
      </c>
      <c r="B321" s="3" t="s">
        <v>843</v>
      </c>
      <c r="C321" s="3" t="s">
        <v>844</v>
      </c>
      <c r="D321" s="3" t="s">
        <v>845</v>
      </c>
      <c r="E321" s="3" t="s">
        <v>84</v>
      </c>
      <c r="F321" s="3">
        <v>30.9</v>
      </c>
      <c r="G321" s="3" t="s">
        <v>1553</v>
      </c>
      <c r="H321" s="3"/>
      <c r="I321" s="3" t="s">
        <v>1554</v>
      </c>
      <c r="J321" s="3">
        <v>10</v>
      </c>
      <c r="K321" s="3">
        <v>10</v>
      </c>
      <c r="L321" s="3">
        <v>0</v>
      </c>
      <c r="M321" s="3">
        <v>0</v>
      </c>
      <c r="N321" s="3">
        <v>10</v>
      </c>
      <c r="O321" s="3">
        <v>0.01</v>
      </c>
      <c r="P321" s="3">
        <v>0</v>
      </c>
      <c r="Q321" s="3">
        <v>0</v>
      </c>
      <c r="R321" s="3">
        <v>0</v>
      </c>
    </row>
    <row r="322" spans="1:18">
      <c r="A322" s="3" t="s">
        <v>956</v>
      </c>
      <c r="B322" s="3" t="s">
        <v>957</v>
      </c>
      <c r="C322" s="3" t="s">
        <v>958</v>
      </c>
      <c r="D322" s="3" t="s">
        <v>959</v>
      </c>
      <c r="E322" s="3" t="s">
        <v>84</v>
      </c>
      <c r="F322" s="3">
        <v>30.9</v>
      </c>
      <c r="G322" s="3" t="s">
        <v>1553</v>
      </c>
      <c r="H322" s="3"/>
      <c r="I322" s="3" t="s">
        <v>1554</v>
      </c>
      <c r="J322" s="3">
        <v>4</v>
      </c>
      <c r="K322" s="3">
        <v>4</v>
      </c>
      <c r="L322" s="3">
        <v>0</v>
      </c>
      <c r="M322" s="3">
        <v>0</v>
      </c>
      <c r="N322" s="3">
        <v>4</v>
      </c>
      <c r="O322" s="3">
        <v>0.01</v>
      </c>
      <c r="P322" s="3">
        <v>0</v>
      </c>
      <c r="Q322" s="3">
        <v>0</v>
      </c>
      <c r="R322" s="3">
        <v>0</v>
      </c>
    </row>
    <row r="323" spans="1:18">
      <c r="A323" s="3" t="s">
        <v>960</v>
      </c>
      <c r="B323" s="3" t="s">
        <v>961</v>
      </c>
      <c r="C323" s="3" t="s">
        <v>962</v>
      </c>
      <c r="D323" s="3" t="s">
        <v>456</v>
      </c>
      <c r="E323" s="3" t="s">
        <v>84</v>
      </c>
      <c r="F323" s="3">
        <v>30.9</v>
      </c>
      <c r="G323" s="3" t="s">
        <v>1553</v>
      </c>
      <c r="H323" s="3"/>
      <c r="I323" s="3" t="s">
        <v>1554</v>
      </c>
      <c r="J323" s="3">
        <v>5</v>
      </c>
      <c r="K323" s="3">
        <v>5</v>
      </c>
      <c r="L323" s="3">
        <v>0</v>
      </c>
      <c r="M323" s="3">
        <v>0</v>
      </c>
      <c r="N323" s="3">
        <v>5</v>
      </c>
      <c r="O323" s="3">
        <v>0.01</v>
      </c>
      <c r="P323" s="3">
        <v>0</v>
      </c>
      <c r="Q323" s="3">
        <v>0</v>
      </c>
      <c r="R323" s="3">
        <v>0</v>
      </c>
    </row>
    <row r="324" spans="1:18">
      <c r="A324" s="3" t="s">
        <v>540</v>
      </c>
      <c r="B324" s="3" t="s">
        <v>541</v>
      </c>
      <c r="C324" s="3" t="s">
        <v>542</v>
      </c>
      <c r="D324" s="3" t="s">
        <v>543</v>
      </c>
      <c r="E324" s="3" t="s">
        <v>84</v>
      </c>
      <c r="F324" s="3">
        <v>30.9</v>
      </c>
      <c r="G324" s="3" t="s">
        <v>1553</v>
      </c>
      <c r="H324" s="3"/>
      <c r="I324" s="3" t="s">
        <v>1554</v>
      </c>
      <c r="J324" s="3">
        <v>26</v>
      </c>
      <c r="K324" s="3">
        <v>26</v>
      </c>
      <c r="L324" s="3">
        <v>0</v>
      </c>
      <c r="M324" s="3">
        <v>0</v>
      </c>
      <c r="N324" s="3">
        <v>26</v>
      </c>
      <c r="O324" s="3">
        <v>0.01</v>
      </c>
      <c r="P324" s="3">
        <v>0</v>
      </c>
      <c r="Q324" s="3">
        <v>0</v>
      </c>
      <c r="R324" s="3">
        <v>0</v>
      </c>
    </row>
    <row r="325" spans="1:18">
      <c r="A325" s="3" t="s">
        <v>829</v>
      </c>
      <c r="B325" s="3" t="s">
        <v>830</v>
      </c>
      <c r="C325" s="3" t="s">
        <v>831</v>
      </c>
      <c r="D325" s="3" t="s">
        <v>832</v>
      </c>
      <c r="E325" s="3" t="s">
        <v>84</v>
      </c>
      <c r="F325" s="3">
        <v>30.9</v>
      </c>
      <c r="G325" s="3" t="s">
        <v>1553</v>
      </c>
      <c r="H325" s="3"/>
      <c r="I325" s="3" t="s">
        <v>1554</v>
      </c>
      <c r="J325" s="3">
        <v>28</v>
      </c>
      <c r="K325" s="3">
        <v>28</v>
      </c>
      <c r="L325" s="3">
        <v>0</v>
      </c>
      <c r="M325" s="3">
        <v>0</v>
      </c>
      <c r="N325" s="3">
        <v>28</v>
      </c>
      <c r="O325" s="3">
        <v>0.01</v>
      </c>
      <c r="P325" s="3">
        <v>0</v>
      </c>
      <c r="Q325" s="3">
        <v>0</v>
      </c>
      <c r="R325" s="3">
        <v>0</v>
      </c>
    </row>
    <row r="326" spans="1:18">
      <c r="A326" s="3" t="s">
        <v>1422</v>
      </c>
      <c r="B326" s="3" t="s">
        <v>1423</v>
      </c>
      <c r="C326" s="3" t="s">
        <v>1424</v>
      </c>
      <c r="D326" s="3" t="s">
        <v>1425</v>
      </c>
      <c r="E326" s="3" t="s">
        <v>84</v>
      </c>
      <c r="F326" s="3">
        <v>30.9</v>
      </c>
      <c r="G326" s="3" t="s">
        <v>1553</v>
      </c>
      <c r="H326" s="3"/>
      <c r="I326" s="3" t="s">
        <v>1554</v>
      </c>
      <c r="J326" s="3">
        <v>18</v>
      </c>
      <c r="K326" s="3">
        <v>18</v>
      </c>
      <c r="L326" s="3">
        <v>0</v>
      </c>
      <c r="M326" s="3">
        <v>0</v>
      </c>
      <c r="N326" s="3">
        <v>18</v>
      </c>
      <c r="O326" s="3">
        <v>0.01</v>
      </c>
      <c r="P326" s="3">
        <v>0</v>
      </c>
      <c r="Q326" s="3">
        <v>0</v>
      </c>
      <c r="R326" s="3">
        <v>0</v>
      </c>
    </row>
    <row r="327" spans="1:18">
      <c r="A327" s="3" t="s">
        <v>1141</v>
      </c>
      <c r="B327" s="3" t="s">
        <v>1142</v>
      </c>
      <c r="C327" s="3" t="s">
        <v>1143</v>
      </c>
      <c r="D327" s="3" t="s">
        <v>1144</v>
      </c>
      <c r="E327" s="3" t="s">
        <v>84</v>
      </c>
      <c r="F327" s="3">
        <v>30.9</v>
      </c>
      <c r="G327" s="3" t="s">
        <v>1553</v>
      </c>
      <c r="H327" s="3"/>
      <c r="I327" s="3" t="s">
        <v>1554</v>
      </c>
      <c r="J327" s="3">
        <v>15</v>
      </c>
      <c r="K327" s="3">
        <v>15</v>
      </c>
      <c r="L327" s="3">
        <v>0</v>
      </c>
      <c r="M327" s="3">
        <v>0</v>
      </c>
      <c r="N327" s="3">
        <v>15</v>
      </c>
      <c r="O327" s="3">
        <v>0.01</v>
      </c>
      <c r="P327" s="3">
        <v>0</v>
      </c>
      <c r="Q327" s="3">
        <v>0</v>
      </c>
      <c r="R327" s="3">
        <v>0</v>
      </c>
    </row>
    <row r="328" spans="1:18">
      <c r="A328" s="3" t="s">
        <v>536</v>
      </c>
      <c r="B328" s="3" t="s">
        <v>537</v>
      </c>
      <c r="C328" s="3" t="s">
        <v>538</v>
      </c>
      <c r="D328" s="3" t="s">
        <v>539</v>
      </c>
      <c r="E328" s="3" t="s">
        <v>84</v>
      </c>
      <c r="F328" s="3">
        <v>30.9</v>
      </c>
      <c r="G328" s="3" t="s">
        <v>1553</v>
      </c>
      <c r="H328" s="3"/>
      <c r="I328" s="3" t="s">
        <v>1554</v>
      </c>
      <c r="J328" s="3">
        <v>19</v>
      </c>
      <c r="K328" s="3">
        <v>19</v>
      </c>
      <c r="L328" s="3">
        <v>0</v>
      </c>
      <c r="M328" s="3">
        <v>0</v>
      </c>
      <c r="N328" s="3">
        <v>19</v>
      </c>
      <c r="O328" s="3">
        <v>0.01</v>
      </c>
      <c r="P328" s="3">
        <v>0</v>
      </c>
      <c r="Q328" s="3">
        <v>0</v>
      </c>
      <c r="R328" s="3">
        <v>0</v>
      </c>
    </row>
    <row r="329" spans="1:18">
      <c r="A329" s="3" t="s">
        <v>208</v>
      </c>
      <c r="B329" s="3" t="s">
        <v>209</v>
      </c>
      <c r="C329" s="3" t="s">
        <v>210</v>
      </c>
      <c r="D329" s="3" t="s">
        <v>211</v>
      </c>
      <c r="E329" s="3" t="s">
        <v>84</v>
      </c>
      <c r="F329" s="3">
        <v>35.99</v>
      </c>
      <c r="G329" s="3" t="s">
        <v>1553</v>
      </c>
      <c r="H329" s="3"/>
      <c r="I329" s="3" t="s">
        <v>1554</v>
      </c>
      <c r="J329" s="3">
        <v>15</v>
      </c>
      <c r="K329" s="3">
        <v>15</v>
      </c>
      <c r="L329" s="3">
        <v>0</v>
      </c>
      <c r="M329" s="3">
        <v>0</v>
      </c>
      <c r="N329" s="3">
        <v>15</v>
      </c>
      <c r="O329" s="3">
        <v>0.18</v>
      </c>
      <c r="P329" s="3">
        <v>0</v>
      </c>
      <c r="Q329" s="3">
        <v>0</v>
      </c>
      <c r="R329" s="3">
        <v>0</v>
      </c>
    </row>
    <row r="330" spans="1:18">
      <c r="A330" s="3" t="s">
        <v>899</v>
      </c>
      <c r="B330" s="3" t="s">
        <v>900</v>
      </c>
      <c r="C330" s="3" t="s">
        <v>901</v>
      </c>
      <c r="D330" s="3" t="s">
        <v>902</v>
      </c>
      <c r="E330" s="3" t="s">
        <v>84</v>
      </c>
      <c r="F330" s="3">
        <v>35.99</v>
      </c>
      <c r="G330" s="3" t="s">
        <v>1553</v>
      </c>
      <c r="H330" s="3"/>
      <c r="I330" s="3" t="s">
        <v>1554</v>
      </c>
      <c r="J330" s="3">
        <v>28</v>
      </c>
      <c r="K330" s="3">
        <v>28</v>
      </c>
      <c r="L330" s="3">
        <v>0</v>
      </c>
      <c r="M330" s="3">
        <v>0</v>
      </c>
      <c r="N330" s="3">
        <v>28</v>
      </c>
      <c r="O330" s="3">
        <v>0.18</v>
      </c>
      <c r="P330" s="3">
        <v>0</v>
      </c>
      <c r="Q330" s="3">
        <v>0</v>
      </c>
      <c r="R330" s="3">
        <v>0</v>
      </c>
    </row>
    <row r="331" spans="1:18">
      <c r="A331" s="3" t="s">
        <v>947</v>
      </c>
      <c r="B331" s="3" t="s">
        <v>948</v>
      </c>
      <c r="C331" s="3" t="s">
        <v>949</v>
      </c>
      <c r="D331" s="3" t="s">
        <v>950</v>
      </c>
      <c r="E331" s="3" t="s">
        <v>84</v>
      </c>
      <c r="F331" s="3">
        <v>35.99</v>
      </c>
      <c r="G331" s="3" t="s">
        <v>1553</v>
      </c>
      <c r="H331" s="3"/>
      <c r="I331" s="3" t="s">
        <v>1554</v>
      </c>
      <c r="J331" s="3">
        <v>30</v>
      </c>
      <c r="K331" s="3">
        <v>30</v>
      </c>
      <c r="L331" s="3">
        <v>0</v>
      </c>
      <c r="M331" s="3">
        <v>0</v>
      </c>
      <c r="N331" s="3">
        <v>30</v>
      </c>
      <c r="O331" s="3">
        <v>0.18</v>
      </c>
      <c r="P331" s="3">
        <v>0</v>
      </c>
      <c r="Q331" s="3">
        <v>0</v>
      </c>
      <c r="R331" s="3">
        <v>0</v>
      </c>
    </row>
    <row r="332" spans="1:18">
      <c r="A332" s="3" t="s">
        <v>1290</v>
      </c>
      <c r="B332" s="3" t="s">
        <v>1291</v>
      </c>
      <c r="C332" s="3" t="s">
        <v>1292</v>
      </c>
      <c r="D332" s="3" t="s">
        <v>732</v>
      </c>
      <c r="E332" s="3" t="s">
        <v>84</v>
      </c>
      <c r="F332" s="3">
        <v>35.99</v>
      </c>
      <c r="G332" s="3" t="s">
        <v>1553</v>
      </c>
      <c r="H332" s="3"/>
      <c r="I332" s="3" t="s">
        <v>1554</v>
      </c>
      <c r="J332" s="3">
        <v>13</v>
      </c>
      <c r="K332" s="3">
        <v>13</v>
      </c>
      <c r="L332" s="3">
        <v>0</v>
      </c>
      <c r="M332" s="3">
        <v>0</v>
      </c>
      <c r="N332" s="3">
        <v>13</v>
      </c>
      <c r="O332" s="3">
        <v>0.18</v>
      </c>
      <c r="P332" s="3">
        <v>0</v>
      </c>
      <c r="Q332" s="3">
        <v>0</v>
      </c>
      <c r="R332" s="3">
        <v>0</v>
      </c>
    </row>
    <row r="333" spans="1:18">
      <c r="A333" s="3" t="s">
        <v>875</v>
      </c>
      <c r="B333" s="3" t="s">
        <v>876</v>
      </c>
      <c r="C333" s="3" t="s">
        <v>877</v>
      </c>
      <c r="D333" s="3" t="s">
        <v>878</v>
      </c>
      <c r="E333" s="3" t="s">
        <v>84</v>
      </c>
      <c r="F333" s="3">
        <v>35.99</v>
      </c>
      <c r="G333" s="3" t="s">
        <v>1553</v>
      </c>
      <c r="H333" s="3"/>
      <c r="I333" s="3" t="s">
        <v>1554</v>
      </c>
      <c r="J333" s="3">
        <v>9</v>
      </c>
      <c r="K333" s="3">
        <v>9</v>
      </c>
      <c r="L333" s="3">
        <v>0</v>
      </c>
      <c r="M333" s="3">
        <v>0</v>
      </c>
      <c r="N333" s="3">
        <v>9</v>
      </c>
      <c r="O333" s="3">
        <v>0.18</v>
      </c>
      <c r="P333" s="3">
        <v>0</v>
      </c>
      <c r="Q333" s="3">
        <v>0</v>
      </c>
      <c r="R333" s="3">
        <v>0</v>
      </c>
    </row>
    <row r="334" spans="1:18">
      <c r="A334" s="3" t="s">
        <v>32</v>
      </c>
      <c r="B334" s="3" t="s">
        <v>33</v>
      </c>
      <c r="C334" s="3" t="s">
        <v>34</v>
      </c>
      <c r="D334" s="3" t="s">
        <v>35</v>
      </c>
      <c r="E334" s="3" t="s">
        <v>84</v>
      </c>
      <c r="F334" s="3">
        <v>30.9</v>
      </c>
      <c r="G334" s="3" t="s">
        <v>1553</v>
      </c>
      <c r="H334" s="3"/>
      <c r="I334" s="3" t="s">
        <v>1554</v>
      </c>
      <c r="J334" s="3">
        <v>31</v>
      </c>
      <c r="K334" s="3">
        <v>30</v>
      </c>
      <c r="L334" s="3">
        <v>0</v>
      </c>
      <c r="M334" s="3">
        <v>1</v>
      </c>
      <c r="N334" s="3">
        <v>31</v>
      </c>
      <c r="O334" s="3">
        <v>0.18</v>
      </c>
      <c r="P334" s="3">
        <v>0</v>
      </c>
      <c r="Q334" s="3">
        <v>0</v>
      </c>
      <c r="R334" s="3">
        <v>0</v>
      </c>
    </row>
    <row r="335" spans="1:18">
      <c r="A335" s="3" t="s">
        <v>40</v>
      </c>
      <c r="B335" s="3" t="s">
        <v>41</v>
      </c>
      <c r="C335" s="3" t="s">
        <v>42</v>
      </c>
      <c r="D335" s="3" t="s">
        <v>43</v>
      </c>
      <c r="E335" s="3" t="s">
        <v>84</v>
      </c>
      <c r="F335" s="3">
        <v>30.9</v>
      </c>
      <c r="G335" s="3" t="s">
        <v>1553</v>
      </c>
      <c r="H335" s="3"/>
      <c r="I335" s="3" t="s">
        <v>1554</v>
      </c>
      <c r="J335" s="3">
        <v>16</v>
      </c>
      <c r="K335" s="3">
        <v>15</v>
      </c>
      <c r="L335" s="3">
        <v>0</v>
      </c>
      <c r="M335" s="3">
        <v>1</v>
      </c>
      <c r="N335" s="3">
        <v>16</v>
      </c>
      <c r="O335" s="3">
        <v>0.04</v>
      </c>
      <c r="P335" s="3">
        <v>0</v>
      </c>
      <c r="Q335" s="3">
        <v>0</v>
      </c>
      <c r="R335" s="3">
        <v>0</v>
      </c>
    </row>
    <row r="336" spans="1:18">
      <c r="A336" s="3" t="s">
        <v>1397</v>
      </c>
      <c r="B336" s="3" t="s">
        <v>1398</v>
      </c>
      <c r="C336" s="3" t="s">
        <v>1399</v>
      </c>
      <c r="D336" s="3" t="s">
        <v>1400</v>
      </c>
      <c r="E336" s="3" t="s">
        <v>84</v>
      </c>
      <c r="F336" s="3">
        <v>30.9</v>
      </c>
      <c r="G336" s="3" t="s">
        <v>1553</v>
      </c>
      <c r="H336" s="3"/>
      <c r="I336" s="3" t="s">
        <v>1554</v>
      </c>
      <c r="J336" s="3">
        <v>3</v>
      </c>
      <c r="K336" s="3">
        <v>3</v>
      </c>
      <c r="L336" s="3">
        <v>0</v>
      </c>
      <c r="M336" s="3">
        <v>0</v>
      </c>
      <c r="N336" s="3">
        <v>3</v>
      </c>
      <c r="O336" s="3">
        <v>0.18</v>
      </c>
      <c r="P336" s="3">
        <v>0</v>
      </c>
      <c r="Q336" s="3">
        <v>0</v>
      </c>
      <c r="R336" s="3">
        <v>0</v>
      </c>
    </row>
    <row r="337" spans="1:18">
      <c r="A337" s="3" t="s">
        <v>1478</v>
      </c>
      <c r="B337" s="3" t="s">
        <v>1479</v>
      </c>
      <c r="C337" s="3" t="s">
        <v>1480</v>
      </c>
      <c r="D337" s="3" t="s">
        <v>1481</v>
      </c>
      <c r="E337" s="3" t="s">
        <v>84</v>
      </c>
      <c r="F337" s="3">
        <v>30.9</v>
      </c>
      <c r="G337" s="3" t="s">
        <v>1553</v>
      </c>
      <c r="H337" s="3"/>
      <c r="I337" s="3" t="s">
        <v>1554</v>
      </c>
      <c r="J337" s="3">
        <v>16</v>
      </c>
      <c r="K337" s="3">
        <v>16</v>
      </c>
      <c r="L337" s="3">
        <v>0</v>
      </c>
      <c r="M337" s="3">
        <v>0</v>
      </c>
      <c r="N337" s="3">
        <v>16</v>
      </c>
      <c r="O337" s="3">
        <v>0.05</v>
      </c>
      <c r="P337" s="3">
        <v>0</v>
      </c>
      <c r="Q337" s="3">
        <v>0</v>
      </c>
      <c r="R337" s="3">
        <v>0</v>
      </c>
    </row>
    <row r="338" spans="1:18">
      <c r="A338" s="3" t="s">
        <v>36</v>
      </c>
      <c r="B338" s="3" t="s">
        <v>37</v>
      </c>
      <c r="C338" s="3" t="s">
        <v>38</v>
      </c>
      <c r="D338" s="3" t="s">
        <v>39</v>
      </c>
      <c r="E338" s="3" t="s">
        <v>84</v>
      </c>
      <c r="F338" s="3">
        <v>30.9</v>
      </c>
      <c r="G338" s="3" t="s">
        <v>1553</v>
      </c>
      <c r="H338" s="3"/>
      <c r="I338" s="3" t="s">
        <v>1554</v>
      </c>
      <c r="J338" s="3">
        <v>5</v>
      </c>
      <c r="K338" s="3">
        <v>4</v>
      </c>
      <c r="L338" s="3">
        <v>0</v>
      </c>
      <c r="M338" s="3">
        <v>1</v>
      </c>
      <c r="N338" s="3">
        <v>5</v>
      </c>
      <c r="O338" s="3">
        <v>0.08</v>
      </c>
      <c r="P338" s="3">
        <v>0</v>
      </c>
      <c r="Q338" s="3">
        <v>0</v>
      </c>
      <c r="R338" s="3">
        <v>0</v>
      </c>
    </row>
    <row r="339" spans="1:18">
      <c r="A339" s="3" t="s">
        <v>112</v>
      </c>
      <c r="B339" s="3" t="s">
        <v>113</v>
      </c>
      <c r="C339" s="3" t="s">
        <v>114</v>
      </c>
      <c r="D339" s="3" t="s">
        <v>115</v>
      </c>
      <c r="E339" s="3" t="s">
        <v>84</v>
      </c>
      <c r="F339" s="3">
        <v>30.9</v>
      </c>
      <c r="G339" s="3" t="s">
        <v>1553</v>
      </c>
      <c r="H339" s="3"/>
      <c r="I339" s="3" t="s">
        <v>1554</v>
      </c>
      <c r="J339" s="3">
        <v>3</v>
      </c>
      <c r="K339" s="3">
        <v>3</v>
      </c>
      <c r="L339" s="3">
        <v>0</v>
      </c>
      <c r="M339" s="3">
        <v>0</v>
      </c>
      <c r="N339" s="3">
        <v>3</v>
      </c>
      <c r="O339" s="3">
        <v>0.18</v>
      </c>
      <c r="P339" s="3">
        <v>0</v>
      </c>
      <c r="Q339" s="3">
        <v>0</v>
      </c>
      <c r="R339" s="3">
        <v>0</v>
      </c>
    </row>
    <row r="340" spans="1:18">
      <c r="A340" s="3" t="s">
        <v>249</v>
      </c>
      <c r="B340" s="3" t="s">
        <v>250</v>
      </c>
      <c r="C340" s="3" t="s">
        <v>251</v>
      </c>
      <c r="D340" s="3" t="s">
        <v>252</v>
      </c>
      <c r="E340" s="3" t="s">
        <v>84</v>
      </c>
      <c r="F340" s="3">
        <v>30.9</v>
      </c>
      <c r="G340" s="3" t="s">
        <v>1553</v>
      </c>
      <c r="H340" s="3"/>
      <c r="I340" s="3" t="s">
        <v>1554</v>
      </c>
      <c r="J340" s="3">
        <v>27</v>
      </c>
      <c r="K340" s="3">
        <v>27</v>
      </c>
      <c r="L340" s="3">
        <v>0</v>
      </c>
      <c r="M340" s="3">
        <v>0</v>
      </c>
      <c r="N340" s="3">
        <v>27</v>
      </c>
      <c r="O340" s="3">
        <v>0.04</v>
      </c>
      <c r="P340" s="3">
        <v>0</v>
      </c>
      <c r="Q340" s="3">
        <v>0</v>
      </c>
      <c r="R340" s="3">
        <v>0</v>
      </c>
    </row>
    <row r="341" spans="1:18">
      <c r="A341" s="3" t="s">
        <v>1137</v>
      </c>
      <c r="B341" s="3" t="s">
        <v>1138</v>
      </c>
      <c r="C341" s="3" t="s">
        <v>1139</v>
      </c>
      <c r="D341" s="3" t="s">
        <v>1140</v>
      </c>
      <c r="E341" s="3" t="s">
        <v>84</v>
      </c>
      <c r="F341" s="3">
        <v>30.9</v>
      </c>
      <c r="G341" s="3" t="s">
        <v>1553</v>
      </c>
      <c r="H341" s="3"/>
      <c r="I341" s="3" t="s">
        <v>1554</v>
      </c>
      <c r="J341" s="3">
        <v>11</v>
      </c>
      <c r="K341" s="3">
        <v>11</v>
      </c>
      <c r="L341" s="3">
        <v>0</v>
      </c>
      <c r="M341" s="3">
        <v>0</v>
      </c>
      <c r="N341" s="3">
        <v>11</v>
      </c>
      <c r="O341" s="3">
        <v>0.04</v>
      </c>
      <c r="P341" s="3">
        <v>0</v>
      </c>
      <c r="Q341" s="3">
        <v>0</v>
      </c>
      <c r="R341" s="3">
        <v>0</v>
      </c>
    </row>
    <row r="342" spans="1:18">
      <c r="A342" s="3" t="s">
        <v>1010</v>
      </c>
      <c r="B342" s="3" t="s">
        <v>1011</v>
      </c>
      <c r="C342" s="3" t="s">
        <v>1012</v>
      </c>
      <c r="D342" s="3" t="s">
        <v>1013</v>
      </c>
      <c r="E342" s="3" t="s">
        <v>84</v>
      </c>
      <c r="F342" s="3">
        <v>30.9</v>
      </c>
      <c r="G342" s="3" t="s">
        <v>1553</v>
      </c>
      <c r="H342" s="3"/>
      <c r="I342" s="3" t="s">
        <v>1554</v>
      </c>
      <c r="J342" s="3">
        <v>2</v>
      </c>
      <c r="K342" s="3">
        <v>2</v>
      </c>
      <c r="L342" s="3">
        <v>0</v>
      </c>
      <c r="M342" s="3">
        <v>0</v>
      </c>
      <c r="N342" s="3">
        <v>2</v>
      </c>
      <c r="O342" s="3">
        <v>0.04</v>
      </c>
      <c r="P342" s="3">
        <v>0</v>
      </c>
      <c r="Q342" s="3">
        <v>0</v>
      </c>
      <c r="R342" s="3">
        <v>0</v>
      </c>
    </row>
    <row r="343" spans="1:18">
      <c r="A343" s="3" t="s">
        <v>235</v>
      </c>
      <c r="B343" s="3" t="s">
        <v>236</v>
      </c>
      <c r="C343" s="3" t="s">
        <v>237</v>
      </c>
      <c r="D343" s="3" t="s">
        <v>238</v>
      </c>
      <c r="E343" s="3" t="s">
        <v>84</v>
      </c>
      <c r="F343" s="3">
        <v>30.9</v>
      </c>
      <c r="G343" s="3" t="s">
        <v>1553</v>
      </c>
      <c r="H343" s="3"/>
      <c r="I343" s="3" t="s">
        <v>1554</v>
      </c>
      <c r="J343" s="3">
        <v>23</v>
      </c>
      <c r="K343" s="3">
        <v>23</v>
      </c>
      <c r="L343" s="3">
        <v>0</v>
      </c>
      <c r="M343" s="3">
        <v>0</v>
      </c>
      <c r="N343" s="3">
        <v>23</v>
      </c>
      <c r="O343" s="3">
        <v>0.04</v>
      </c>
      <c r="P343" s="3">
        <v>0</v>
      </c>
      <c r="Q343" s="3">
        <v>0</v>
      </c>
      <c r="R343" s="3">
        <v>0</v>
      </c>
    </row>
    <row r="344" spans="1:18">
      <c r="A344" s="3" t="s">
        <v>471</v>
      </c>
      <c r="B344" s="3" t="s">
        <v>472</v>
      </c>
      <c r="C344" s="3" t="s">
        <v>473</v>
      </c>
      <c r="D344" s="3" t="s">
        <v>474</v>
      </c>
      <c r="E344" s="3" t="s">
        <v>84</v>
      </c>
      <c r="F344" s="3">
        <v>30.9</v>
      </c>
      <c r="G344" s="3" t="s">
        <v>1553</v>
      </c>
      <c r="H344" s="3"/>
      <c r="I344" s="3" t="s">
        <v>1554</v>
      </c>
      <c r="J344" s="3">
        <v>10</v>
      </c>
      <c r="K344" s="3">
        <v>10</v>
      </c>
      <c r="L344" s="3">
        <v>0</v>
      </c>
      <c r="M344" s="3">
        <v>0</v>
      </c>
      <c r="N344" s="3">
        <v>10</v>
      </c>
      <c r="O344" s="3">
        <v>0.04</v>
      </c>
      <c r="P344" s="3">
        <v>0</v>
      </c>
      <c r="Q344" s="3">
        <v>0</v>
      </c>
      <c r="R344" s="3">
        <v>0</v>
      </c>
    </row>
    <row r="345" spans="1:18">
      <c r="A345" s="3" t="s">
        <v>1692</v>
      </c>
      <c r="B345" s="3" t="s">
        <v>1693</v>
      </c>
      <c r="C345" s="3" t="s">
        <v>1694</v>
      </c>
      <c r="D345" s="3" t="s">
        <v>1695</v>
      </c>
      <c r="E345" s="3" t="s">
        <v>84</v>
      </c>
      <c r="F345" s="3">
        <v>30.9</v>
      </c>
      <c r="G345" s="3" t="s">
        <v>1553</v>
      </c>
      <c r="H345" s="3"/>
      <c r="I345" s="3" t="s">
        <v>1554</v>
      </c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>
        <v>0.04</v>
      </c>
      <c r="P345" s="3">
        <v>0</v>
      </c>
      <c r="Q345" s="3">
        <v>0</v>
      </c>
      <c r="R345" s="3">
        <v>0</v>
      </c>
    </row>
    <row r="346" spans="1:18">
      <c r="A346" s="3" t="s">
        <v>786</v>
      </c>
      <c r="B346" s="3" t="s">
        <v>787</v>
      </c>
      <c r="C346" s="3" t="s">
        <v>788</v>
      </c>
      <c r="D346" s="3" t="s">
        <v>789</v>
      </c>
      <c r="E346" s="3" t="s">
        <v>84</v>
      </c>
      <c r="F346" s="3">
        <v>35.99</v>
      </c>
      <c r="G346" s="3" t="s">
        <v>1553</v>
      </c>
      <c r="H346" s="3"/>
      <c r="I346" s="3" t="s">
        <v>1554</v>
      </c>
      <c r="J346" s="3">
        <v>14</v>
      </c>
      <c r="K346" s="3">
        <v>14</v>
      </c>
      <c r="L346" s="3">
        <v>0</v>
      </c>
      <c r="M346" s="3">
        <v>0</v>
      </c>
      <c r="N346" s="3">
        <v>14</v>
      </c>
      <c r="O346" s="3">
        <v>0.18</v>
      </c>
      <c r="P346" s="3">
        <v>0</v>
      </c>
      <c r="Q346" s="3">
        <v>0</v>
      </c>
      <c r="R346" s="3">
        <v>0</v>
      </c>
    </row>
    <row r="347" spans="1:18">
      <c r="A347" s="3" t="s">
        <v>972</v>
      </c>
      <c r="B347" s="3" t="s">
        <v>973</v>
      </c>
      <c r="C347" s="3" t="s">
        <v>974</v>
      </c>
      <c r="D347" s="3" t="s">
        <v>975</v>
      </c>
      <c r="E347" s="3" t="s">
        <v>84</v>
      </c>
      <c r="F347" s="3">
        <v>35.99</v>
      </c>
      <c r="G347" s="3" t="s">
        <v>1553</v>
      </c>
      <c r="H347" s="3"/>
      <c r="I347" s="3" t="s">
        <v>1554</v>
      </c>
      <c r="J347" s="3">
        <v>29</v>
      </c>
      <c r="K347" s="3">
        <v>29</v>
      </c>
      <c r="L347" s="3">
        <v>0</v>
      </c>
      <c r="M347" s="3">
        <v>0</v>
      </c>
      <c r="N347" s="3">
        <v>29</v>
      </c>
      <c r="O347" s="3">
        <v>0.18</v>
      </c>
      <c r="P347" s="3">
        <v>0</v>
      </c>
      <c r="Q347" s="3">
        <v>0</v>
      </c>
      <c r="R347" s="3">
        <v>0</v>
      </c>
    </row>
    <row r="348" spans="1:18">
      <c r="A348" s="3" t="s">
        <v>891</v>
      </c>
      <c r="B348" s="3" t="s">
        <v>892</v>
      </c>
      <c r="C348" s="3" t="s">
        <v>893</v>
      </c>
      <c r="D348" s="3" t="s">
        <v>894</v>
      </c>
      <c r="E348" s="3" t="s">
        <v>84</v>
      </c>
      <c r="F348" s="3">
        <v>35.99</v>
      </c>
      <c r="G348" s="3" t="s">
        <v>1553</v>
      </c>
      <c r="H348" s="3"/>
      <c r="I348" s="3" t="s">
        <v>1554</v>
      </c>
      <c r="J348" s="3">
        <v>27</v>
      </c>
      <c r="K348" s="3">
        <v>27</v>
      </c>
      <c r="L348" s="3">
        <v>0</v>
      </c>
      <c r="M348" s="3">
        <v>0</v>
      </c>
      <c r="N348" s="3">
        <v>27</v>
      </c>
      <c r="O348" s="3">
        <v>0.18</v>
      </c>
      <c r="P348" s="3">
        <v>0</v>
      </c>
      <c r="Q348" s="3">
        <v>0</v>
      </c>
      <c r="R348" s="3">
        <v>0</v>
      </c>
    </row>
    <row r="349" spans="1:18">
      <c r="A349" s="3" t="s">
        <v>729</v>
      </c>
      <c r="B349" s="3" t="s">
        <v>730</v>
      </c>
      <c r="C349" s="3" t="s">
        <v>731</v>
      </c>
      <c r="D349" s="3" t="s">
        <v>732</v>
      </c>
      <c r="E349" s="3" t="s">
        <v>84</v>
      </c>
      <c r="F349" s="3">
        <v>35.99</v>
      </c>
      <c r="G349" s="3" t="s">
        <v>1553</v>
      </c>
      <c r="H349" s="3"/>
      <c r="I349" s="3" t="s">
        <v>1554</v>
      </c>
      <c r="J349" s="3">
        <v>14</v>
      </c>
      <c r="K349" s="3">
        <v>14</v>
      </c>
      <c r="L349" s="3">
        <v>0</v>
      </c>
      <c r="M349" s="3">
        <v>0</v>
      </c>
      <c r="N349" s="3">
        <v>14</v>
      </c>
      <c r="O349" s="3">
        <v>0.18</v>
      </c>
      <c r="P349" s="3">
        <v>0</v>
      </c>
      <c r="Q349" s="3">
        <v>0</v>
      </c>
      <c r="R349" s="3">
        <v>0</v>
      </c>
    </row>
    <row r="350" spans="1:18">
      <c r="A350" s="3" t="s">
        <v>676</v>
      </c>
      <c r="B350" s="3" t="s">
        <v>677</v>
      </c>
      <c r="C350" s="3" t="s">
        <v>678</v>
      </c>
      <c r="D350" s="3" t="s">
        <v>679</v>
      </c>
      <c r="E350" s="3" t="s">
        <v>84</v>
      </c>
      <c r="F350" s="3">
        <v>35.99</v>
      </c>
      <c r="G350" s="3" t="s">
        <v>1553</v>
      </c>
      <c r="H350" s="3"/>
      <c r="I350" s="3" t="s">
        <v>1554</v>
      </c>
      <c r="J350" s="3">
        <v>10</v>
      </c>
      <c r="K350" s="3">
        <v>10</v>
      </c>
      <c r="L350" s="3">
        <v>0</v>
      </c>
      <c r="M350" s="3">
        <v>0</v>
      </c>
      <c r="N350" s="3">
        <v>10</v>
      </c>
      <c r="O350" s="3">
        <v>0.18</v>
      </c>
      <c r="P350" s="3">
        <v>0</v>
      </c>
      <c r="Q350" s="3">
        <v>0</v>
      </c>
      <c r="R350" s="3">
        <v>0</v>
      </c>
    </row>
    <row r="351" spans="1:18">
      <c r="A351" s="3" t="s">
        <v>44</v>
      </c>
      <c r="B351" s="3" t="s">
        <v>45</v>
      </c>
      <c r="C351" s="3" t="s">
        <v>46</v>
      </c>
      <c r="D351" s="3" t="s">
        <v>47</v>
      </c>
      <c r="E351" s="3" t="s">
        <v>84</v>
      </c>
      <c r="F351" s="3">
        <v>30.99</v>
      </c>
      <c r="G351" s="3" t="s">
        <v>1553</v>
      </c>
      <c r="H351" s="3"/>
      <c r="I351" s="3" t="s">
        <v>1554</v>
      </c>
      <c r="J351" s="3">
        <v>27</v>
      </c>
      <c r="K351" s="3">
        <v>24</v>
      </c>
      <c r="L351" s="3">
        <v>0</v>
      </c>
      <c r="M351" s="3">
        <v>3</v>
      </c>
      <c r="N351" s="3">
        <v>57</v>
      </c>
      <c r="O351" s="3">
        <v>0</v>
      </c>
      <c r="P351" s="3">
        <v>30</v>
      </c>
      <c r="Q351" s="3">
        <v>0</v>
      </c>
      <c r="R351" s="3">
        <v>0</v>
      </c>
    </row>
    <row r="352" spans="1:18">
      <c r="A352" s="3" t="s">
        <v>437</v>
      </c>
      <c r="B352" s="3" t="s">
        <v>438</v>
      </c>
      <c r="C352" s="3" t="s">
        <v>439</v>
      </c>
      <c r="D352" s="3" t="s">
        <v>440</v>
      </c>
      <c r="E352" s="3" t="s">
        <v>84</v>
      </c>
      <c r="F352" s="3">
        <v>30.99</v>
      </c>
      <c r="G352" s="3" t="s">
        <v>1553</v>
      </c>
      <c r="H352" s="3"/>
      <c r="I352" s="3" t="s">
        <v>1554</v>
      </c>
      <c r="J352" s="3">
        <v>46</v>
      </c>
      <c r="K352" s="3">
        <v>46</v>
      </c>
      <c r="L352" s="3">
        <v>0</v>
      </c>
      <c r="M352" s="3">
        <v>0</v>
      </c>
      <c r="N352" s="3">
        <v>106</v>
      </c>
      <c r="O352" s="3">
        <v>0</v>
      </c>
      <c r="P352" s="3">
        <v>60</v>
      </c>
      <c r="Q352" s="3">
        <v>0</v>
      </c>
      <c r="R352" s="3">
        <v>0</v>
      </c>
    </row>
    <row r="353" spans="1:18">
      <c r="A353" s="3" t="s">
        <v>1233</v>
      </c>
      <c r="B353" s="3" t="s">
        <v>1234</v>
      </c>
      <c r="C353" s="3" t="s">
        <v>1235</v>
      </c>
      <c r="D353" s="3" t="s">
        <v>1236</v>
      </c>
      <c r="E353" s="3" t="s">
        <v>84</v>
      </c>
      <c r="F353" s="3">
        <v>30.99</v>
      </c>
      <c r="G353" s="3" t="s">
        <v>1553</v>
      </c>
      <c r="H353" s="3"/>
      <c r="I353" s="3" t="s">
        <v>1554</v>
      </c>
      <c r="J353" s="3">
        <v>18</v>
      </c>
      <c r="K353" s="3">
        <v>18</v>
      </c>
      <c r="L353" s="3">
        <v>0</v>
      </c>
      <c r="M353" s="3">
        <v>0</v>
      </c>
      <c r="N353" s="3">
        <v>18</v>
      </c>
      <c r="O353" s="3">
        <v>0</v>
      </c>
      <c r="P353" s="3">
        <v>0</v>
      </c>
      <c r="Q353" s="3">
        <v>0</v>
      </c>
      <c r="R353" s="3">
        <v>0</v>
      </c>
    </row>
    <row r="354" spans="1:18">
      <c r="A354" s="3" t="s">
        <v>421</v>
      </c>
      <c r="B354" s="3" t="s">
        <v>422</v>
      </c>
      <c r="C354" s="3" t="s">
        <v>423</v>
      </c>
      <c r="D354" s="3" t="s">
        <v>424</v>
      </c>
      <c r="E354" s="3" t="s">
        <v>84</v>
      </c>
      <c r="F354" s="3">
        <v>30.99</v>
      </c>
      <c r="G354" s="3" t="s">
        <v>1553</v>
      </c>
      <c r="H354" s="3"/>
      <c r="I354" s="3" t="s">
        <v>1554</v>
      </c>
      <c r="J354" s="3">
        <v>18</v>
      </c>
      <c r="K354" s="3">
        <v>18</v>
      </c>
      <c r="L354" s="3">
        <v>0</v>
      </c>
      <c r="M354" s="3">
        <v>0</v>
      </c>
      <c r="N354" s="3">
        <v>18</v>
      </c>
      <c r="O354" s="3">
        <v>0</v>
      </c>
      <c r="P354" s="3">
        <v>0</v>
      </c>
      <c r="Q354" s="3">
        <v>0</v>
      </c>
      <c r="R354" s="3">
        <v>0</v>
      </c>
    </row>
    <row r="355" spans="1:18">
      <c r="A355" s="3" t="s">
        <v>425</v>
      </c>
      <c r="B355" s="3" t="s">
        <v>426</v>
      </c>
      <c r="C355" s="3" t="s">
        <v>427</v>
      </c>
      <c r="D355" s="3" t="s">
        <v>428</v>
      </c>
      <c r="E355" s="3" t="s">
        <v>84</v>
      </c>
      <c r="F355" s="3">
        <v>30.99</v>
      </c>
      <c r="G355" s="3" t="s">
        <v>1553</v>
      </c>
      <c r="H355" s="3"/>
      <c r="I355" s="3" t="s">
        <v>1554</v>
      </c>
      <c r="J355" s="3">
        <v>20</v>
      </c>
      <c r="K355" s="3">
        <v>20</v>
      </c>
      <c r="L355" s="3">
        <v>0</v>
      </c>
      <c r="M355" s="3">
        <v>0</v>
      </c>
      <c r="N355" s="3">
        <v>20</v>
      </c>
      <c r="O355" s="3">
        <v>0</v>
      </c>
      <c r="P355" s="3">
        <v>0</v>
      </c>
      <c r="Q355" s="3">
        <v>0</v>
      </c>
      <c r="R355" s="3">
        <v>0</v>
      </c>
    </row>
    <row r="356" spans="1:18">
      <c r="A356" s="3" t="s">
        <v>794</v>
      </c>
      <c r="B356" s="3" t="s">
        <v>795</v>
      </c>
      <c r="C356" s="3" t="s">
        <v>796</v>
      </c>
      <c r="D356" s="3" t="s">
        <v>299</v>
      </c>
      <c r="E356" s="3" t="s">
        <v>84</v>
      </c>
      <c r="F356" s="3">
        <v>30.9</v>
      </c>
      <c r="G356" s="3" t="s">
        <v>1553</v>
      </c>
      <c r="H356" s="3"/>
      <c r="I356" s="3" t="s">
        <v>1554</v>
      </c>
      <c r="J356" s="3">
        <v>15</v>
      </c>
      <c r="K356" s="3">
        <v>15</v>
      </c>
      <c r="L356" s="3">
        <v>0</v>
      </c>
      <c r="M356" s="3">
        <v>0</v>
      </c>
      <c r="N356" s="3">
        <v>15</v>
      </c>
      <c r="O356" s="3">
        <v>0.15</v>
      </c>
      <c r="P356" s="3">
        <v>0</v>
      </c>
      <c r="Q356" s="3">
        <v>0</v>
      </c>
      <c r="R356" s="3">
        <v>0</v>
      </c>
    </row>
    <row r="357" spans="1:18">
      <c r="A357" s="3" t="s">
        <v>1014</v>
      </c>
      <c r="B357" s="3" t="s">
        <v>1015</v>
      </c>
      <c r="C357" s="3" t="s">
        <v>1016</v>
      </c>
      <c r="D357" s="3" t="s">
        <v>1017</v>
      </c>
      <c r="E357" s="3" t="s">
        <v>84</v>
      </c>
      <c r="F357" s="3">
        <v>30.9</v>
      </c>
      <c r="G357" s="3" t="s">
        <v>1553</v>
      </c>
      <c r="H357" s="3"/>
      <c r="I357" s="3" t="s">
        <v>1554</v>
      </c>
      <c r="J357" s="3">
        <v>9</v>
      </c>
      <c r="K357" s="3">
        <v>9</v>
      </c>
      <c r="L357" s="3">
        <v>0</v>
      </c>
      <c r="M357" s="3">
        <v>0</v>
      </c>
      <c r="N357" s="3">
        <v>9</v>
      </c>
      <c r="O357" s="3">
        <v>0.15</v>
      </c>
      <c r="P357" s="3">
        <v>0</v>
      </c>
      <c r="Q357" s="3">
        <v>0</v>
      </c>
      <c r="R357" s="3">
        <v>0</v>
      </c>
    </row>
    <row r="358" spans="1:18">
      <c r="A358" s="3" t="s">
        <v>357</v>
      </c>
      <c r="B358" s="3" t="s">
        <v>358</v>
      </c>
      <c r="C358" s="3" t="s">
        <v>359</v>
      </c>
      <c r="D358" s="3" t="s">
        <v>360</v>
      </c>
      <c r="E358" s="3" t="s">
        <v>84</v>
      </c>
      <c r="F358" s="3">
        <v>30.9</v>
      </c>
      <c r="G358" s="3" t="s">
        <v>1553</v>
      </c>
      <c r="H358" s="3"/>
      <c r="I358" s="3" t="s">
        <v>1554</v>
      </c>
      <c r="J358" s="3">
        <v>5</v>
      </c>
      <c r="K358" s="3">
        <v>5</v>
      </c>
      <c r="L358" s="3">
        <v>0</v>
      </c>
      <c r="M358" s="3">
        <v>0</v>
      </c>
      <c r="N358" s="3">
        <v>5</v>
      </c>
      <c r="O358" s="3">
        <v>0.15</v>
      </c>
      <c r="P358" s="3">
        <v>0</v>
      </c>
      <c r="Q358" s="3">
        <v>0</v>
      </c>
      <c r="R358" s="3">
        <v>0</v>
      </c>
    </row>
    <row r="359" spans="1:18">
      <c r="A359" s="3" t="s">
        <v>453</v>
      </c>
      <c r="B359" s="3" t="s">
        <v>454</v>
      </c>
      <c r="C359" s="3" t="s">
        <v>455</v>
      </c>
      <c r="D359" s="3" t="s">
        <v>456</v>
      </c>
      <c r="E359" s="3" t="s">
        <v>84</v>
      </c>
      <c r="F359" s="3">
        <v>30.9</v>
      </c>
      <c r="G359" s="3" t="s">
        <v>1553</v>
      </c>
      <c r="H359" s="3"/>
      <c r="I359" s="3" t="s">
        <v>1554</v>
      </c>
      <c r="J359" s="3">
        <v>19</v>
      </c>
      <c r="K359" s="3">
        <v>19</v>
      </c>
      <c r="L359" s="3">
        <v>0</v>
      </c>
      <c r="M359" s="3">
        <v>0</v>
      </c>
      <c r="N359" s="3">
        <v>19</v>
      </c>
      <c r="O359" s="3">
        <v>0.11</v>
      </c>
      <c r="P359" s="3">
        <v>0</v>
      </c>
      <c r="Q359" s="3">
        <v>0</v>
      </c>
      <c r="R359" s="3">
        <v>0</v>
      </c>
    </row>
    <row r="360" spans="1:18">
      <c r="A360" s="3" t="s">
        <v>1212</v>
      </c>
      <c r="B360" s="3" t="s">
        <v>1213</v>
      </c>
      <c r="C360" s="3" t="s">
        <v>1214</v>
      </c>
      <c r="D360" s="3" t="s">
        <v>1215</v>
      </c>
      <c r="E360" s="3" t="s">
        <v>84</v>
      </c>
      <c r="F360" s="3">
        <v>30.9</v>
      </c>
      <c r="G360" s="3" t="s">
        <v>1553</v>
      </c>
      <c r="H360" s="3"/>
      <c r="I360" s="3" t="s">
        <v>1554</v>
      </c>
      <c r="J360" s="3">
        <v>14</v>
      </c>
      <c r="K360" s="3">
        <v>14</v>
      </c>
      <c r="L360" s="3">
        <v>0</v>
      </c>
      <c r="M360" s="3">
        <v>0</v>
      </c>
      <c r="N360" s="3">
        <v>14</v>
      </c>
      <c r="O360" s="3">
        <v>0.12</v>
      </c>
      <c r="P360" s="3">
        <v>0</v>
      </c>
      <c r="Q360" s="3">
        <v>0</v>
      </c>
      <c r="R360" s="3">
        <v>0</v>
      </c>
    </row>
    <row r="361" spans="1:18">
      <c r="A361" s="3" t="s">
        <v>774</v>
      </c>
      <c r="B361" s="3" t="s">
        <v>775</v>
      </c>
      <c r="C361" s="3" t="s">
        <v>776</v>
      </c>
      <c r="D361" s="3" t="s">
        <v>777</v>
      </c>
      <c r="E361" s="3" t="s">
        <v>84</v>
      </c>
      <c r="F361" s="3">
        <v>30.9</v>
      </c>
      <c r="G361" s="3" t="s">
        <v>1553</v>
      </c>
      <c r="H361" s="3"/>
      <c r="I361" s="3" t="s">
        <v>1554</v>
      </c>
      <c r="J361" s="3">
        <v>9</v>
      </c>
      <c r="K361" s="3">
        <v>9</v>
      </c>
      <c r="L361" s="3">
        <v>0</v>
      </c>
      <c r="M361" s="3">
        <v>0</v>
      </c>
      <c r="N361" s="3">
        <v>9</v>
      </c>
      <c r="O361" s="3">
        <v>0.15</v>
      </c>
      <c r="P361" s="3">
        <v>0</v>
      </c>
      <c r="Q361" s="3">
        <v>0</v>
      </c>
      <c r="R361" s="3">
        <v>0</v>
      </c>
    </row>
    <row r="362" spans="1:18">
      <c r="A362" s="3" t="s">
        <v>1401</v>
      </c>
      <c r="B362" s="3" t="s">
        <v>1402</v>
      </c>
      <c r="C362" s="3" t="s">
        <v>1403</v>
      </c>
      <c r="D362" s="3" t="s">
        <v>1404</v>
      </c>
      <c r="E362" s="3" t="s">
        <v>84</v>
      </c>
      <c r="F362" s="3">
        <v>30.9</v>
      </c>
      <c r="G362" s="3" t="s">
        <v>1553</v>
      </c>
      <c r="H362" s="3"/>
      <c r="I362" s="3" t="s">
        <v>1554</v>
      </c>
      <c r="J362" s="3">
        <v>4</v>
      </c>
      <c r="K362" s="3">
        <v>4</v>
      </c>
      <c r="L362" s="3">
        <v>0</v>
      </c>
      <c r="M362" s="3">
        <v>0</v>
      </c>
      <c r="N362" s="3">
        <v>4</v>
      </c>
      <c r="O362" s="3">
        <v>0.15</v>
      </c>
      <c r="P362" s="3">
        <v>0</v>
      </c>
      <c r="Q362" s="3">
        <v>0</v>
      </c>
      <c r="R362" s="3">
        <v>0</v>
      </c>
    </row>
    <row r="363" spans="1:18">
      <c r="A363" s="3" t="s">
        <v>809</v>
      </c>
      <c r="B363" s="3" t="s">
        <v>810</v>
      </c>
      <c r="C363" s="3" t="s">
        <v>811</v>
      </c>
      <c r="D363" s="3" t="s">
        <v>812</v>
      </c>
      <c r="E363" s="3" t="s">
        <v>84</v>
      </c>
      <c r="F363" s="3">
        <v>30.9</v>
      </c>
      <c r="G363" s="3" t="s">
        <v>1553</v>
      </c>
      <c r="H363" s="3"/>
      <c r="I363" s="3" t="s">
        <v>1554</v>
      </c>
      <c r="J363" s="3">
        <v>17</v>
      </c>
      <c r="K363" s="3">
        <v>17</v>
      </c>
      <c r="L363" s="3">
        <v>0</v>
      </c>
      <c r="M363" s="3">
        <v>0</v>
      </c>
      <c r="N363" s="3">
        <v>17</v>
      </c>
      <c r="O363" s="3">
        <v>0.15</v>
      </c>
      <c r="P363" s="3">
        <v>0</v>
      </c>
      <c r="Q363" s="3">
        <v>0</v>
      </c>
      <c r="R363" s="3">
        <v>0</v>
      </c>
    </row>
    <row r="364" spans="1:18">
      <c r="A364" s="3" t="s">
        <v>155</v>
      </c>
      <c r="B364" s="3" t="s">
        <v>156</v>
      </c>
      <c r="C364" s="3" t="s">
        <v>157</v>
      </c>
      <c r="D364" s="3" t="s">
        <v>158</v>
      </c>
      <c r="E364" s="3" t="s">
        <v>84</v>
      </c>
      <c r="F364" s="3">
        <v>66.9</v>
      </c>
      <c r="G364" s="3" t="s">
        <v>1553</v>
      </c>
      <c r="H364" s="3"/>
      <c r="I364" s="3" t="s">
        <v>1554</v>
      </c>
      <c r="J364" s="3">
        <v>1</v>
      </c>
      <c r="K364" s="3">
        <v>1</v>
      </c>
      <c r="L364" s="3">
        <v>0</v>
      </c>
      <c r="M364" s="3">
        <v>0</v>
      </c>
      <c r="N364" s="3">
        <v>1</v>
      </c>
      <c r="O364" s="3">
        <v>0.82</v>
      </c>
      <c r="P364" s="3">
        <v>0</v>
      </c>
      <c r="Q364" s="3">
        <v>0</v>
      </c>
      <c r="R364" s="3">
        <v>0</v>
      </c>
    </row>
    <row r="365" spans="1:18">
      <c r="A365" s="3" t="s">
        <v>911</v>
      </c>
      <c r="B365" s="3" t="s">
        <v>912</v>
      </c>
      <c r="C365" s="3" t="s">
        <v>913</v>
      </c>
      <c r="D365" s="3" t="s">
        <v>914</v>
      </c>
      <c r="E365" s="3" t="s">
        <v>84</v>
      </c>
      <c r="F365" s="3">
        <v>110.9</v>
      </c>
      <c r="G365" s="3" t="s">
        <v>1553</v>
      </c>
      <c r="H365" s="3"/>
      <c r="I365" s="3" t="s">
        <v>1554</v>
      </c>
      <c r="J365" s="3">
        <v>1</v>
      </c>
      <c r="K365" s="3">
        <v>1</v>
      </c>
      <c r="L365" s="3">
        <v>0</v>
      </c>
      <c r="M365" s="3">
        <v>0</v>
      </c>
      <c r="N365" s="3">
        <v>1</v>
      </c>
      <c r="O365" s="3">
        <v>0.82</v>
      </c>
      <c r="P365" s="3">
        <v>0</v>
      </c>
      <c r="Q365" s="3">
        <v>0</v>
      </c>
      <c r="R365" s="3">
        <v>0</v>
      </c>
    </row>
    <row r="366" spans="1:18">
      <c r="A366" s="3" t="s">
        <v>988</v>
      </c>
      <c r="B366" s="3" t="s">
        <v>989</v>
      </c>
      <c r="C366" s="3" t="s">
        <v>990</v>
      </c>
      <c r="D366" s="3" t="s">
        <v>991</v>
      </c>
      <c r="E366" s="3" t="s">
        <v>84</v>
      </c>
      <c r="F366" s="3">
        <v>66.9</v>
      </c>
      <c r="G366" s="3" t="s">
        <v>1553</v>
      </c>
      <c r="H366" s="3"/>
      <c r="I366" s="3" t="s">
        <v>1554</v>
      </c>
      <c r="J366" s="3">
        <v>1</v>
      </c>
      <c r="K366" s="3">
        <v>1</v>
      </c>
      <c r="L366" s="3">
        <v>0</v>
      </c>
      <c r="M366" s="3">
        <v>0</v>
      </c>
      <c r="N366" s="3">
        <v>1</v>
      </c>
      <c r="O366" s="3">
        <v>0.82</v>
      </c>
      <c r="P366" s="3">
        <v>0</v>
      </c>
      <c r="Q366" s="3">
        <v>0</v>
      </c>
      <c r="R366" s="3">
        <v>0</v>
      </c>
    </row>
    <row r="367" spans="1:18">
      <c r="A367" s="3" t="s">
        <v>1446</v>
      </c>
      <c r="B367" s="3" t="s">
        <v>1447</v>
      </c>
      <c r="C367" s="3" t="s">
        <v>1448</v>
      </c>
      <c r="D367" s="3" t="s">
        <v>1449</v>
      </c>
      <c r="E367" s="3" t="s">
        <v>84</v>
      </c>
      <c r="F367" s="3">
        <v>66.9</v>
      </c>
      <c r="G367" s="3" t="s">
        <v>1553</v>
      </c>
      <c r="H367" s="3"/>
      <c r="I367" s="3" t="s">
        <v>1554</v>
      </c>
      <c r="J367" s="3">
        <v>1</v>
      </c>
      <c r="K367" s="3">
        <v>1</v>
      </c>
      <c r="L367" s="3">
        <v>0</v>
      </c>
      <c r="M367" s="3">
        <v>0</v>
      </c>
      <c r="N367" s="3">
        <v>1</v>
      </c>
      <c r="O367" s="3">
        <v>0.82</v>
      </c>
      <c r="P367" s="3">
        <v>0</v>
      </c>
      <c r="Q367" s="3">
        <v>0</v>
      </c>
      <c r="R367" s="3">
        <v>0</v>
      </c>
    </row>
    <row r="368" spans="1:18">
      <c r="A368" s="3" t="s">
        <v>1066</v>
      </c>
      <c r="B368" s="3" t="s">
        <v>1067</v>
      </c>
      <c r="C368" s="3" t="s">
        <v>1068</v>
      </c>
      <c r="D368" s="3" t="s">
        <v>1069</v>
      </c>
      <c r="E368" s="3" t="s">
        <v>84</v>
      </c>
      <c r="F368" s="3">
        <v>66.9</v>
      </c>
      <c r="G368" s="3" t="s">
        <v>1553</v>
      </c>
      <c r="H368" s="3"/>
      <c r="I368" s="3" t="s">
        <v>1554</v>
      </c>
      <c r="J368" s="3">
        <v>1</v>
      </c>
      <c r="K368" s="3">
        <v>1</v>
      </c>
      <c r="L368" s="3">
        <v>0</v>
      </c>
      <c r="M368" s="3">
        <v>0</v>
      </c>
      <c r="N368" s="3">
        <v>1</v>
      </c>
      <c r="O368" s="3">
        <v>1.06</v>
      </c>
      <c r="P368" s="3">
        <v>0</v>
      </c>
      <c r="Q368" s="3">
        <v>0</v>
      </c>
      <c r="R368" s="3">
        <v>0</v>
      </c>
    </row>
    <row r="369" spans="1:18">
      <c r="A369" s="3" t="s">
        <v>1503</v>
      </c>
      <c r="B369" s="3" t="s">
        <v>1504</v>
      </c>
      <c r="C369" s="3" t="s">
        <v>1505</v>
      </c>
      <c r="D369" s="3" t="s">
        <v>1506</v>
      </c>
      <c r="E369" s="3" t="s">
        <v>84</v>
      </c>
      <c r="F369" s="3">
        <v>66.9</v>
      </c>
      <c r="G369" s="3" t="s">
        <v>1553</v>
      </c>
      <c r="H369" s="3"/>
      <c r="I369" s="3" t="s">
        <v>1554</v>
      </c>
      <c r="J369" s="3">
        <v>4</v>
      </c>
      <c r="K369" s="3">
        <v>4</v>
      </c>
      <c r="L369" s="3">
        <v>0</v>
      </c>
      <c r="M369" s="3">
        <v>0</v>
      </c>
      <c r="N369" s="3">
        <v>4</v>
      </c>
      <c r="O369" s="3">
        <v>0</v>
      </c>
      <c r="P369" s="3">
        <v>0</v>
      </c>
      <c r="Q369" s="3">
        <v>0</v>
      </c>
      <c r="R369" s="3">
        <v>0</v>
      </c>
    </row>
    <row r="370" spans="1:18">
      <c r="A370" s="3" t="s">
        <v>89</v>
      </c>
      <c r="B370" s="3" t="s">
        <v>90</v>
      </c>
      <c r="C370" s="3" t="s">
        <v>91</v>
      </c>
      <c r="D370" s="3" t="s">
        <v>92</v>
      </c>
      <c r="E370" s="3" t="s">
        <v>84</v>
      </c>
      <c r="F370" s="3">
        <v>66.9</v>
      </c>
      <c r="G370" s="3" t="s">
        <v>1553</v>
      </c>
      <c r="H370" s="3"/>
      <c r="I370" s="3" t="s">
        <v>1554</v>
      </c>
      <c r="J370" s="3">
        <v>2</v>
      </c>
      <c r="K370" s="3">
        <v>2</v>
      </c>
      <c r="L370" s="3">
        <v>0</v>
      </c>
      <c r="M370" s="3">
        <v>0</v>
      </c>
      <c r="N370" s="3">
        <v>2</v>
      </c>
      <c r="O370" s="3">
        <v>0</v>
      </c>
      <c r="P370" s="3">
        <v>0</v>
      </c>
      <c r="Q370" s="3">
        <v>0</v>
      </c>
      <c r="R370" s="3">
        <v>0</v>
      </c>
    </row>
    <row r="371" spans="1:18">
      <c r="A371" s="3" t="s">
        <v>1298</v>
      </c>
      <c r="B371" s="3" t="s">
        <v>1299</v>
      </c>
      <c r="C371" s="3" t="s">
        <v>1300</v>
      </c>
      <c r="D371" s="3" t="s">
        <v>1301</v>
      </c>
      <c r="E371" s="3" t="s">
        <v>84</v>
      </c>
      <c r="F371" s="3">
        <v>66.9</v>
      </c>
      <c r="G371" s="3" t="s">
        <v>1553</v>
      </c>
      <c r="H371" s="3"/>
      <c r="I371" s="3" t="s">
        <v>1554</v>
      </c>
      <c r="J371" s="3">
        <v>4</v>
      </c>
      <c r="K371" s="3">
        <v>4</v>
      </c>
      <c r="L371" s="3">
        <v>0</v>
      </c>
      <c r="M371" s="3">
        <v>0</v>
      </c>
      <c r="N371" s="3">
        <v>4</v>
      </c>
      <c r="O371" s="3">
        <v>0</v>
      </c>
      <c r="P371" s="3">
        <v>0</v>
      </c>
      <c r="Q371" s="3">
        <v>0</v>
      </c>
      <c r="R371" s="3">
        <v>0</v>
      </c>
    </row>
    <row r="372" spans="1:18">
      <c r="A372" s="3" t="s">
        <v>935</v>
      </c>
      <c r="B372" s="3" t="s">
        <v>936</v>
      </c>
      <c r="C372" s="3" t="s">
        <v>937</v>
      </c>
      <c r="D372" s="3" t="s">
        <v>938</v>
      </c>
      <c r="E372" s="3" t="s">
        <v>84</v>
      </c>
      <c r="F372" s="3">
        <v>66.9</v>
      </c>
      <c r="G372" s="3" t="s">
        <v>1553</v>
      </c>
      <c r="H372" s="3"/>
      <c r="I372" s="3" t="s">
        <v>1554</v>
      </c>
      <c r="J372" s="3">
        <v>5</v>
      </c>
      <c r="K372" s="3">
        <v>5</v>
      </c>
      <c r="L372" s="3">
        <v>0</v>
      </c>
      <c r="M372" s="3">
        <v>0</v>
      </c>
      <c r="N372" s="3">
        <v>5</v>
      </c>
      <c r="O372" s="3">
        <v>0</v>
      </c>
      <c r="P372" s="3">
        <v>0</v>
      </c>
      <c r="Q372" s="3">
        <v>0</v>
      </c>
      <c r="R372" s="3">
        <v>0</v>
      </c>
    </row>
    <row r="373" spans="1:18">
      <c r="A373" s="3" t="s">
        <v>553</v>
      </c>
      <c r="B373" s="3" t="s">
        <v>554</v>
      </c>
      <c r="C373" s="3" t="s">
        <v>555</v>
      </c>
      <c r="D373" s="3" t="s">
        <v>556</v>
      </c>
      <c r="E373" s="3" t="s">
        <v>84</v>
      </c>
      <c r="F373" s="3">
        <v>66.9</v>
      </c>
      <c r="G373" s="3" t="s">
        <v>1553</v>
      </c>
      <c r="H373" s="3"/>
      <c r="I373" s="3" t="s">
        <v>1554</v>
      </c>
      <c r="J373" s="3">
        <v>1</v>
      </c>
      <c r="K373" s="3">
        <v>1</v>
      </c>
      <c r="L373" s="3">
        <v>0</v>
      </c>
      <c r="M373" s="3">
        <v>0</v>
      </c>
      <c r="N373" s="3">
        <v>1</v>
      </c>
      <c r="O373" s="3">
        <v>1.06</v>
      </c>
      <c r="P373" s="3">
        <v>0</v>
      </c>
      <c r="Q373" s="3">
        <v>0</v>
      </c>
      <c r="R373" s="3">
        <v>0</v>
      </c>
    </row>
    <row r="374" spans="1:18">
      <c r="A374" s="3" t="s">
        <v>643</v>
      </c>
      <c r="B374" s="3" t="s">
        <v>644</v>
      </c>
      <c r="C374" s="3" t="s">
        <v>645</v>
      </c>
      <c r="D374" s="3" t="s">
        <v>646</v>
      </c>
      <c r="E374" s="3" t="s">
        <v>84</v>
      </c>
      <c r="F374" s="3">
        <v>66.9</v>
      </c>
      <c r="G374" s="3" t="s">
        <v>1553</v>
      </c>
      <c r="H374" s="3"/>
      <c r="I374" s="3" t="s">
        <v>1554</v>
      </c>
      <c r="J374" s="3">
        <v>3</v>
      </c>
      <c r="K374" s="3">
        <v>3</v>
      </c>
      <c r="L374" s="3">
        <v>0</v>
      </c>
      <c r="M374" s="3">
        <v>0</v>
      </c>
      <c r="N374" s="3">
        <v>3</v>
      </c>
      <c r="O374" s="3">
        <v>0</v>
      </c>
      <c r="P374" s="3">
        <v>0</v>
      </c>
      <c r="Q374" s="3">
        <v>0</v>
      </c>
      <c r="R374" s="3">
        <v>0</v>
      </c>
    </row>
    <row r="375" spans="1:18">
      <c r="A375" s="3" t="s">
        <v>1409</v>
      </c>
      <c r="B375" s="3" t="s">
        <v>1410</v>
      </c>
      <c r="C375" s="3" t="s">
        <v>1411</v>
      </c>
      <c r="D375" s="3" t="s">
        <v>1412</v>
      </c>
      <c r="E375" s="3" t="s">
        <v>84</v>
      </c>
      <c r="F375" s="3">
        <v>66.9</v>
      </c>
      <c r="G375" s="3" t="s">
        <v>1553</v>
      </c>
      <c r="H375" s="3"/>
      <c r="I375" s="3" t="s">
        <v>1554</v>
      </c>
      <c r="J375" s="3">
        <v>4</v>
      </c>
      <c r="K375" s="3">
        <v>4</v>
      </c>
      <c r="L375" s="3">
        <v>0</v>
      </c>
      <c r="M375" s="3">
        <v>0</v>
      </c>
      <c r="N375" s="3">
        <v>4</v>
      </c>
      <c r="O375" s="3">
        <v>0.78</v>
      </c>
      <c r="P375" s="3">
        <v>0</v>
      </c>
      <c r="Q375" s="3">
        <v>0</v>
      </c>
      <c r="R375" s="3">
        <v>0</v>
      </c>
    </row>
    <row r="376" spans="1:18">
      <c r="A376" s="3" t="s">
        <v>1124</v>
      </c>
      <c r="B376" s="3" t="s">
        <v>1125</v>
      </c>
      <c r="C376" s="3" t="s">
        <v>1126</v>
      </c>
      <c r="D376" s="3" t="s">
        <v>1127</v>
      </c>
      <c r="E376" s="3" t="s">
        <v>84</v>
      </c>
      <c r="F376" s="3">
        <v>66.9</v>
      </c>
      <c r="G376" s="3" t="s">
        <v>1553</v>
      </c>
      <c r="H376" s="3"/>
      <c r="I376" s="3" t="s">
        <v>1554</v>
      </c>
      <c r="J376" s="3">
        <v>2</v>
      </c>
      <c r="K376" s="3">
        <v>2</v>
      </c>
      <c r="L376" s="3">
        <v>0</v>
      </c>
      <c r="M376" s="3">
        <v>0</v>
      </c>
      <c r="N376" s="3">
        <v>2</v>
      </c>
      <c r="O376" s="3">
        <v>0</v>
      </c>
      <c r="P376" s="3">
        <v>0</v>
      </c>
      <c r="Q376" s="3">
        <v>0</v>
      </c>
      <c r="R376" s="3">
        <v>0</v>
      </c>
    </row>
    <row r="377" spans="1:18">
      <c r="A377" s="3" t="s">
        <v>622</v>
      </c>
      <c r="B377" s="3" t="s">
        <v>623</v>
      </c>
      <c r="C377" s="3" t="s">
        <v>624</v>
      </c>
      <c r="D377" s="3" t="s">
        <v>625</v>
      </c>
      <c r="E377" s="3" t="s">
        <v>84</v>
      </c>
      <c r="F377" s="3">
        <v>66.9</v>
      </c>
      <c r="G377" s="3" t="s">
        <v>1553</v>
      </c>
      <c r="H377" s="3"/>
      <c r="I377" s="3" t="s">
        <v>1554</v>
      </c>
      <c r="J377" s="3">
        <v>1</v>
      </c>
      <c r="K377" s="3">
        <v>1</v>
      </c>
      <c r="L377" s="3">
        <v>0</v>
      </c>
      <c r="M377" s="3">
        <v>0</v>
      </c>
      <c r="N377" s="3">
        <v>1</v>
      </c>
      <c r="O377" s="3">
        <v>0</v>
      </c>
      <c r="P377" s="3">
        <v>0</v>
      </c>
      <c r="Q377" s="3">
        <v>0</v>
      </c>
      <c r="R377" s="3">
        <v>0</v>
      </c>
    </row>
    <row r="378" spans="1:18">
      <c r="A378" s="3" t="s">
        <v>174</v>
      </c>
      <c r="B378" s="3" t="s">
        <v>175</v>
      </c>
      <c r="C378" s="3" t="s">
        <v>176</v>
      </c>
      <c r="D378" s="3" t="s">
        <v>177</v>
      </c>
      <c r="E378" s="3" t="s">
        <v>84</v>
      </c>
      <c r="F378" s="3">
        <v>66.9</v>
      </c>
      <c r="G378" s="3" t="s">
        <v>1553</v>
      </c>
      <c r="H378" s="3"/>
      <c r="I378" s="3" t="s">
        <v>1554</v>
      </c>
      <c r="J378" s="3">
        <v>2</v>
      </c>
      <c r="K378" s="3">
        <v>2</v>
      </c>
      <c r="L378" s="3">
        <v>0</v>
      </c>
      <c r="M378" s="3">
        <v>0</v>
      </c>
      <c r="N378" s="3">
        <v>2</v>
      </c>
      <c r="O378" s="3">
        <v>0</v>
      </c>
      <c r="P378" s="3">
        <v>0</v>
      </c>
      <c r="Q378" s="3">
        <v>0</v>
      </c>
      <c r="R378" s="3">
        <v>0</v>
      </c>
    </row>
    <row r="379" spans="1:18">
      <c r="A379" s="3" t="s">
        <v>1005</v>
      </c>
      <c r="B379" s="3" t="s">
        <v>1006</v>
      </c>
      <c r="C379" s="3" t="s">
        <v>1007</v>
      </c>
      <c r="D379" s="3" t="s">
        <v>1008</v>
      </c>
      <c r="E379" s="3" t="s">
        <v>84</v>
      </c>
      <c r="F379" s="3">
        <v>15.99</v>
      </c>
      <c r="G379" s="3" t="s">
        <v>1553</v>
      </c>
      <c r="H379" s="3"/>
      <c r="I379" s="3" t="s">
        <v>1554</v>
      </c>
      <c r="J379" s="3">
        <v>8</v>
      </c>
      <c r="K379" s="3">
        <v>8</v>
      </c>
      <c r="L379" s="3">
        <v>0</v>
      </c>
      <c r="M379" s="3">
        <v>0</v>
      </c>
      <c r="N379" s="3">
        <v>8</v>
      </c>
      <c r="O379" s="3">
        <v>0.04</v>
      </c>
      <c r="P379" s="3">
        <v>0</v>
      </c>
      <c r="Q379" s="3">
        <v>0</v>
      </c>
      <c r="R379" s="3">
        <v>0</v>
      </c>
    </row>
    <row r="380" spans="1:18">
      <c r="A380" s="3" t="s">
        <v>1331</v>
      </c>
      <c r="B380" s="3" t="s">
        <v>1332</v>
      </c>
      <c r="C380" s="3" t="s">
        <v>1333</v>
      </c>
      <c r="D380" s="3" t="s">
        <v>1334</v>
      </c>
      <c r="E380" s="3" t="s">
        <v>84</v>
      </c>
      <c r="F380" s="3">
        <v>16.9</v>
      </c>
      <c r="G380" s="3" t="s">
        <v>1553</v>
      </c>
      <c r="H380" s="3"/>
      <c r="I380" s="3" t="s">
        <v>1554</v>
      </c>
      <c r="J380" s="3">
        <v>1</v>
      </c>
      <c r="K380" s="3">
        <v>1</v>
      </c>
      <c r="L380" s="3">
        <v>0</v>
      </c>
      <c r="M380" s="3">
        <v>0</v>
      </c>
      <c r="N380" s="3">
        <v>1</v>
      </c>
      <c r="O380" s="3">
        <v>0</v>
      </c>
      <c r="P380" s="3">
        <v>0</v>
      </c>
      <c r="Q380" s="3">
        <v>0</v>
      </c>
      <c r="R380" s="3">
        <v>0</v>
      </c>
    </row>
    <row r="381" spans="1:18">
      <c r="A381" s="3" t="s">
        <v>967</v>
      </c>
      <c r="B381" s="3" t="s">
        <v>968</v>
      </c>
      <c r="C381" s="3" t="s">
        <v>969</v>
      </c>
      <c r="D381" s="3" t="s">
        <v>970</v>
      </c>
      <c r="E381" s="3" t="s">
        <v>84</v>
      </c>
      <c r="F381" s="3">
        <v>25.9</v>
      </c>
      <c r="G381" s="3" t="s">
        <v>1553</v>
      </c>
      <c r="H381" s="3"/>
      <c r="I381" s="3" t="s">
        <v>1554</v>
      </c>
      <c r="J381" s="3">
        <v>5</v>
      </c>
      <c r="K381" s="3">
        <v>5</v>
      </c>
      <c r="L381" s="3">
        <v>0</v>
      </c>
      <c r="M381" s="3">
        <v>0</v>
      </c>
      <c r="N381" s="3">
        <v>5</v>
      </c>
      <c r="O381" s="3">
        <v>0.09</v>
      </c>
      <c r="P381" s="3">
        <v>0</v>
      </c>
      <c r="Q381" s="3">
        <v>0</v>
      </c>
      <c r="R381" s="3">
        <v>0</v>
      </c>
    </row>
    <row r="382" spans="1:18">
      <c r="A382" s="3" t="s">
        <v>1042</v>
      </c>
      <c r="B382" s="3" t="s">
        <v>1043</v>
      </c>
      <c r="C382" s="3" t="s">
        <v>1044</v>
      </c>
      <c r="D382" s="3" t="s">
        <v>1045</v>
      </c>
      <c r="E382" s="3" t="s">
        <v>84</v>
      </c>
      <c r="F382" s="3">
        <v>25.9</v>
      </c>
      <c r="G382" s="3" t="s">
        <v>1553</v>
      </c>
      <c r="H382" s="3"/>
      <c r="I382" s="3" t="s">
        <v>1554</v>
      </c>
      <c r="J382" s="3">
        <v>5</v>
      </c>
      <c r="K382" s="3">
        <v>5</v>
      </c>
      <c r="L382" s="3">
        <v>0</v>
      </c>
      <c r="M382" s="3">
        <v>0</v>
      </c>
      <c r="N382" s="3">
        <v>5</v>
      </c>
      <c r="O382" s="3">
        <v>0.09</v>
      </c>
      <c r="P382" s="3">
        <v>0</v>
      </c>
      <c r="Q382" s="3">
        <v>0</v>
      </c>
      <c r="R382" s="3">
        <v>0</v>
      </c>
    </row>
    <row r="383" spans="1:18">
      <c r="A383" s="3" t="s">
        <v>1426</v>
      </c>
      <c r="B383" s="3" t="s">
        <v>1427</v>
      </c>
      <c r="C383" s="3" t="s">
        <v>1428</v>
      </c>
      <c r="D383" s="3" t="s">
        <v>1429</v>
      </c>
      <c r="E383" s="3" t="s">
        <v>84</v>
      </c>
      <c r="F383" s="3">
        <v>25.9</v>
      </c>
      <c r="G383" s="3" t="s">
        <v>1553</v>
      </c>
      <c r="H383" s="3"/>
      <c r="I383" s="3" t="s">
        <v>1554</v>
      </c>
      <c r="J383" s="3">
        <v>10</v>
      </c>
      <c r="K383" s="3">
        <v>10</v>
      </c>
      <c r="L383" s="3">
        <v>0</v>
      </c>
      <c r="M383" s="3">
        <v>0</v>
      </c>
      <c r="N383" s="3">
        <v>10</v>
      </c>
      <c r="O383" s="3">
        <v>0.09</v>
      </c>
      <c r="P383" s="3">
        <v>0</v>
      </c>
      <c r="Q383" s="3">
        <v>0</v>
      </c>
      <c r="R383" s="3">
        <v>0</v>
      </c>
    </row>
    <row r="384" spans="1:18">
      <c r="A384" s="3" t="s">
        <v>600</v>
      </c>
      <c r="B384" s="3" t="s">
        <v>601</v>
      </c>
      <c r="C384" s="3" t="s">
        <v>602</v>
      </c>
      <c r="D384" s="3" t="s">
        <v>603</v>
      </c>
      <c r="E384" s="3" t="s">
        <v>84</v>
      </c>
      <c r="F384" s="3">
        <v>16.9</v>
      </c>
      <c r="G384" s="3" t="s">
        <v>1553</v>
      </c>
      <c r="H384" s="3"/>
      <c r="I384" s="3" t="s">
        <v>1554</v>
      </c>
      <c r="J384" s="3">
        <v>2</v>
      </c>
      <c r="K384" s="3">
        <v>2</v>
      </c>
      <c r="L384" s="3">
        <v>0</v>
      </c>
      <c r="M384" s="3">
        <v>0</v>
      </c>
      <c r="N384" s="3">
        <v>2</v>
      </c>
      <c r="O384" s="3">
        <v>0</v>
      </c>
      <c r="P384" s="3">
        <v>0</v>
      </c>
      <c r="Q384" s="3">
        <v>0</v>
      </c>
      <c r="R384" s="3">
        <v>0</v>
      </c>
    </row>
    <row r="385" spans="1:18">
      <c r="A385" s="3" t="s">
        <v>931</v>
      </c>
      <c r="B385" s="3" t="s">
        <v>932</v>
      </c>
      <c r="C385" s="3" t="s">
        <v>933</v>
      </c>
      <c r="D385" s="3" t="s">
        <v>934</v>
      </c>
      <c r="E385" s="3" t="s">
        <v>84</v>
      </c>
      <c r="F385" s="3">
        <v>32.99</v>
      </c>
      <c r="G385" s="3" t="s">
        <v>1553</v>
      </c>
      <c r="H385" s="3"/>
      <c r="I385" s="3" t="s">
        <v>1554</v>
      </c>
      <c r="J385" s="3">
        <v>38</v>
      </c>
      <c r="K385" s="3">
        <v>38</v>
      </c>
      <c r="L385" s="3">
        <v>0</v>
      </c>
      <c r="M385" s="3">
        <v>0</v>
      </c>
      <c r="N385" s="3">
        <v>38</v>
      </c>
      <c r="O385" s="3">
        <v>0.03</v>
      </c>
      <c r="P385" s="3">
        <v>0</v>
      </c>
      <c r="Q385" s="3">
        <v>0</v>
      </c>
      <c r="R385" s="3">
        <v>0</v>
      </c>
    </row>
    <row r="386" spans="1:18">
      <c r="A386" s="3" t="s">
        <v>963</v>
      </c>
      <c r="B386" s="3" t="s">
        <v>964</v>
      </c>
      <c r="C386" s="3" t="s">
        <v>965</v>
      </c>
      <c r="D386" s="3" t="s">
        <v>966</v>
      </c>
      <c r="E386" s="3" t="s">
        <v>84</v>
      </c>
      <c r="F386" s="3">
        <v>32.99</v>
      </c>
      <c r="G386" s="3" t="s">
        <v>1553</v>
      </c>
      <c r="H386" s="3"/>
      <c r="I386" s="3" t="s">
        <v>1554</v>
      </c>
      <c r="J386" s="3">
        <v>44</v>
      </c>
      <c r="K386" s="3">
        <v>44</v>
      </c>
      <c r="L386" s="3">
        <v>0</v>
      </c>
      <c r="M386" s="3">
        <v>0</v>
      </c>
      <c r="N386" s="3">
        <v>44</v>
      </c>
      <c r="O386" s="3">
        <v>0.03</v>
      </c>
      <c r="P386" s="3">
        <v>0</v>
      </c>
      <c r="Q386" s="3">
        <v>0</v>
      </c>
      <c r="R386" s="3">
        <v>0</v>
      </c>
    </row>
    <row r="387" spans="1:18">
      <c r="A387" s="3" t="s">
        <v>867</v>
      </c>
      <c r="B387" s="3" t="s">
        <v>868</v>
      </c>
      <c r="C387" s="3" t="s">
        <v>869</v>
      </c>
      <c r="D387" s="3" t="s">
        <v>870</v>
      </c>
      <c r="E387" s="3" t="s">
        <v>84</v>
      </c>
      <c r="F387" s="3">
        <v>32.99</v>
      </c>
      <c r="G387" s="3" t="s">
        <v>1553</v>
      </c>
      <c r="H387" s="3"/>
      <c r="I387" s="3" t="s">
        <v>1554</v>
      </c>
      <c r="J387" s="3">
        <v>116</v>
      </c>
      <c r="K387" s="3">
        <v>116</v>
      </c>
      <c r="L387" s="3">
        <v>0</v>
      </c>
      <c r="M387" s="3">
        <v>0</v>
      </c>
      <c r="N387" s="3">
        <v>116</v>
      </c>
      <c r="O387" s="3">
        <v>0.03</v>
      </c>
      <c r="P387" s="3">
        <v>0</v>
      </c>
      <c r="Q387" s="3">
        <v>0</v>
      </c>
      <c r="R387" s="3">
        <v>0</v>
      </c>
    </row>
    <row r="388" spans="1:18">
      <c r="A388" s="3" t="s">
        <v>915</v>
      </c>
      <c r="B388" s="3" t="s">
        <v>916</v>
      </c>
      <c r="C388" s="3" t="s">
        <v>917</v>
      </c>
      <c r="D388" s="3" t="s">
        <v>918</v>
      </c>
      <c r="E388" s="3" t="s">
        <v>84</v>
      </c>
      <c r="F388" s="3">
        <v>32.99</v>
      </c>
      <c r="G388" s="3" t="s">
        <v>1553</v>
      </c>
      <c r="H388" s="3"/>
      <c r="I388" s="3" t="s">
        <v>1554</v>
      </c>
      <c r="J388" s="3">
        <v>10</v>
      </c>
      <c r="K388" s="3">
        <v>10</v>
      </c>
      <c r="L388" s="3">
        <v>0</v>
      </c>
      <c r="M388" s="3">
        <v>0</v>
      </c>
      <c r="N388" s="3">
        <v>10</v>
      </c>
      <c r="O388" s="3">
        <v>0.03</v>
      </c>
      <c r="P388" s="3">
        <v>0</v>
      </c>
      <c r="Q388" s="3">
        <v>0</v>
      </c>
      <c r="R388" s="3">
        <v>0</v>
      </c>
    </row>
    <row r="389" spans="1:18">
      <c r="A389" s="3" t="s">
        <v>596</v>
      </c>
      <c r="B389" s="3" t="s">
        <v>597</v>
      </c>
      <c r="C389" s="3" t="s">
        <v>598</v>
      </c>
      <c r="D389" s="3" t="s">
        <v>599</v>
      </c>
      <c r="E389" s="3" t="s">
        <v>84</v>
      </c>
      <c r="F389" s="3">
        <v>32.99</v>
      </c>
      <c r="G389" s="3" t="s">
        <v>1553</v>
      </c>
      <c r="H389" s="3"/>
      <c r="I389" s="3" t="s">
        <v>1554</v>
      </c>
      <c r="J389" s="3">
        <v>4</v>
      </c>
      <c r="K389" s="3">
        <v>4</v>
      </c>
      <c r="L389" s="3">
        <v>0</v>
      </c>
      <c r="M389" s="3">
        <v>0</v>
      </c>
      <c r="N389" s="3">
        <v>4</v>
      </c>
      <c r="O389" s="3">
        <v>0.03</v>
      </c>
      <c r="P389" s="3">
        <v>0</v>
      </c>
      <c r="Q389" s="3">
        <v>0</v>
      </c>
      <c r="R389" s="3">
        <v>0</v>
      </c>
    </row>
    <row r="390" spans="1:18">
      <c r="A390" s="3" t="s">
        <v>462</v>
      </c>
      <c r="B390" s="3" t="s">
        <v>463</v>
      </c>
      <c r="C390" s="3" t="s">
        <v>464</v>
      </c>
      <c r="D390" s="3" t="s">
        <v>465</v>
      </c>
      <c r="E390" s="3" t="s">
        <v>84</v>
      </c>
      <c r="F390" s="3">
        <v>32.99</v>
      </c>
      <c r="G390" s="3" t="s">
        <v>1553</v>
      </c>
      <c r="H390" s="3"/>
      <c r="I390" s="3" t="s">
        <v>1554</v>
      </c>
      <c r="J390" s="3">
        <v>9</v>
      </c>
      <c r="K390" s="3">
        <v>9</v>
      </c>
      <c r="L390" s="3">
        <v>0</v>
      </c>
      <c r="M390" s="3">
        <v>0</v>
      </c>
      <c r="N390" s="3">
        <v>9</v>
      </c>
      <c r="O390" s="3">
        <v>0.03</v>
      </c>
      <c r="P390" s="3">
        <v>0</v>
      </c>
      <c r="Q390" s="3">
        <v>0</v>
      </c>
      <c r="R390" s="3">
        <v>0</v>
      </c>
    </row>
    <row r="391" spans="1:18">
      <c r="A391" s="3" t="s">
        <v>483</v>
      </c>
      <c r="B391" s="3" t="s">
        <v>484</v>
      </c>
      <c r="C391" s="3" t="s">
        <v>485</v>
      </c>
      <c r="D391" s="3" t="s">
        <v>486</v>
      </c>
      <c r="E391" s="3" t="s">
        <v>84</v>
      </c>
      <c r="F391" s="3">
        <v>32.99</v>
      </c>
      <c r="G391" s="3" t="s">
        <v>1553</v>
      </c>
      <c r="H391" s="3"/>
      <c r="I391" s="3" t="s">
        <v>1554</v>
      </c>
      <c r="J391" s="3">
        <v>33</v>
      </c>
      <c r="K391" s="3">
        <v>33</v>
      </c>
      <c r="L391" s="3">
        <v>0</v>
      </c>
      <c r="M391" s="3">
        <v>0</v>
      </c>
      <c r="N391" s="3">
        <v>33</v>
      </c>
      <c r="O391" s="3">
        <v>0.06</v>
      </c>
      <c r="P391" s="3">
        <v>0</v>
      </c>
      <c r="Q391" s="3">
        <v>0</v>
      </c>
      <c r="R391" s="3">
        <v>0</v>
      </c>
    </row>
    <row r="392" spans="1:18">
      <c r="A392" s="3" t="s">
        <v>1499</v>
      </c>
      <c r="B392" s="3" t="s">
        <v>1500</v>
      </c>
      <c r="C392" s="3" t="s">
        <v>1501</v>
      </c>
      <c r="D392" s="3" t="s">
        <v>1502</v>
      </c>
      <c r="E392" s="3" t="s">
        <v>84</v>
      </c>
      <c r="F392" s="3">
        <v>32.99</v>
      </c>
      <c r="G392" s="3" t="s">
        <v>1553</v>
      </c>
      <c r="H392" s="3"/>
      <c r="I392" s="3" t="s">
        <v>1554</v>
      </c>
      <c r="J392" s="3">
        <v>9</v>
      </c>
      <c r="K392" s="3">
        <v>9</v>
      </c>
      <c r="L392" s="3">
        <v>0</v>
      </c>
      <c r="M392" s="3">
        <v>0</v>
      </c>
      <c r="N392" s="3">
        <v>9</v>
      </c>
      <c r="O392" s="3">
        <v>0.03</v>
      </c>
      <c r="P392" s="3">
        <v>0</v>
      </c>
      <c r="Q392" s="3">
        <v>0</v>
      </c>
      <c r="R392" s="3">
        <v>0</v>
      </c>
    </row>
    <row r="393" spans="1:18">
      <c r="A393" s="3" t="s">
        <v>1418</v>
      </c>
      <c r="B393" s="3" t="s">
        <v>1419</v>
      </c>
      <c r="C393" s="3" t="s">
        <v>1420</v>
      </c>
      <c r="D393" s="3" t="s">
        <v>1421</v>
      </c>
      <c r="E393" s="3" t="s">
        <v>84</v>
      </c>
      <c r="F393" s="3">
        <v>32.99</v>
      </c>
      <c r="G393" s="3" t="s">
        <v>1553</v>
      </c>
      <c r="H393" s="3"/>
      <c r="I393" s="3" t="s">
        <v>1554</v>
      </c>
      <c r="J393" s="3">
        <v>37</v>
      </c>
      <c r="K393" s="3">
        <v>37</v>
      </c>
      <c r="L393" s="3">
        <v>0</v>
      </c>
      <c r="M393" s="3">
        <v>0</v>
      </c>
      <c r="N393" s="3">
        <v>37</v>
      </c>
      <c r="O393" s="3">
        <v>0.03</v>
      </c>
      <c r="P393" s="3">
        <v>0</v>
      </c>
      <c r="Q393" s="3">
        <v>0</v>
      </c>
      <c r="R393" s="3">
        <v>0</v>
      </c>
    </row>
    <row r="394" spans="1:18">
      <c r="A394" s="3" t="s">
        <v>757</v>
      </c>
      <c r="B394" s="3" t="s">
        <v>758</v>
      </c>
      <c r="C394" s="3" t="s">
        <v>759</v>
      </c>
      <c r="D394" s="3" t="s">
        <v>760</v>
      </c>
      <c r="E394" s="3" t="s">
        <v>84</v>
      </c>
      <c r="F394" s="3">
        <v>32.99</v>
      </c>
      <c r="G394" s="3" t="s">
        <v>1553</v>
      </c>
      <c r="H394" s="3"/>
      <c r="I394" s="3" t="s">
        <v>1554</v>
      </c>
      <c r="J394" s="3">
        <v>40</v>
      </c>
      <c r="K394" s="3">
        <v>40</v>
      </c>
      <c r="L394" s="3">
        <v>0</v>
      </c>
      <c r="M394" s="3">
        <v>0</v>
      </c>
      <c r="N394" s="3">
        <v>40</v>
      </c>
      <c r="O394" s="3">
        <v>0.03</v>
      </c>
      <c r="P394" s="3">
        <v>0</v>
      </c>
      <c r="Q394" s="3">
        <v>0</v>
      </c>
      <c r="R394" s="3">
        <v>0</v>
      </c>
    </row>
    <row r="395" spans="1:18">
      <c r="A395" s="3" t="s">
        <v>267</v>
      </c>
      <c r="B395" s="3" t="s">
        <v>268</v>
      </c>
      <c r="C395" s="3" t="s">
        <v>269</v>
      </c>
      <c r="D395" s="3" t="s">
        <v>270</v>
      </c>
      <c r="E395" s="3" t="s">
        <v>84</v>
      </c>
      <c r="F395" s="3">
        <v>32.99</v>
      </c>
      <c r="G395" s="3" t="s">
        <v>1553</v>
      </c>
      <c r="H395" s="3"/>
      <c r="I395" s="3" t="s">
        <v>1554</v>
      </c>
      <c r="J395" s="3">
        <v>25</v>
      </c>
      <c r="K395" s="3">
        <v>25</v>
      </c>
      <c r="L395" s="3">
        <v>0</v>
      </c>
      <c r="M395" s="3">
        <v>0</v>
      </c>
      <c r="N395" s="3">
        <v>25</v>
      </c>
      <c r="O395" s="3">
        <v>0.08</v>
      </c>
      <c r="P395" s="3">
        <v>0</v>
      </c>
      <c r="Q395" s="3">
        <v>0</v>
      </c>
      <c r="R395" s="3">
        <v>0</v>
      </c>
    </row>
    <row r="396" spans="1:18">
      <c r="A396" s="3" t="s">
        <v>574</v>
      </c>
      <c r="B396" s="3" t="s">
        <v>575</v>
      </c>
      <c r="C396" s="3" t="s">
        <v>576</v>
      </c>
      <c r="D396" s="3" t="s">
        <v>577</v>
      </c>
      <c r="E396" s="3" t="s">
        <v>84</v>
      </c>
      <c r="F396" s="3">
        <v>9.99</v>
      </c>
      <c r="G396" s="3" t="s">
        <v>1553</v>
      </c>
      <c r="H396" s="3"/>
      <c r="I396" s="3" t="s">
        <v>1554</v>
      </c>
      <c r="J396" s="3">
        <v>3</v>
      </c>
      <c r="K396" s="3">
        <v>3</v>
      </c>
      <c r="L396" s="3">
        <v>0</v>
      </c>
      <c r="M396" s="3">
        <v>0</v>
      </c>
      <c r="N396" s="3">
        <v>3</v>
      </c>
      <c r="O396" s="3">
        <v>0.14</v>
      </c>
      <c r="P396" s="3">
        <v>0</v>
      </c>
      <c r="Q396" s="3">
        <v>0</v>
      </c>
      <c r="R396" s="3">
        <v>0</v>
      </c>
    </row>
    <row r="397" spans="1:18">
      <c r="A397" s="3" t="s">
        <v>1470</v>
      </c>
      <c r="B397" s="3" t="s">
        <v>1471</v>
      </c>
      <c r="C397" s="3" t="s">
        <v>1472</v>
      </c>
      <c r="D397" s="3" t="s">
        <v>1473</v>
      </c>
      <c r="E397" s="3" t="s">
        <v>84</v>
      </c>
      <c r="F397" s="3">
        <v>9.99</v>
      </c>
      <c r="G397" s="3" t="s">
        <v>1553</v>
      </c>
      <c r="H397" s="3"/>
      <c r="I397" s="3" t="s">
        <v>1554</v>
      </c>
      <c r="J397" s="3">
        <v>3</v>
      </c>
      <c r="K397" s="3">
        <v>3</v>
      </c>
      <c r="L397" s="3">
        <v>0</v>
      </c>
      <c r="M397" s="3">
        <v>0</v>
      </c>
      <c r="N397" s="3">
        <v>3</v>
      </c>
      <c r="O397" s="3">
        <v>0.14</v>
      </c>
      <c r="P397" s="3">
        <v>0</v>
      </c>
      <c r="Q397" s="3">
        <v>0</v>
      </c>
      <c r="R397" s="3">
        <v>0</v>
      </c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  <row r="413" spans="1:6">
      <c r="A413" s="4"/>
      <c r="B413" s="4"/>
      <c r="C413" s="4"/>
      <c r="D413" s="4"/>
      <c r="E413" s="4"/>
      <c r="F413" s="4"/>
    </row>
    <row r="414" spans="1:6">
      <c r="A414" s="4"/>
      <c r="B414" s="4"/>
      <c r="C414" s="4"/>
      <c r="D414" s="4"/>
      <c r="E414" s="4"/>
      <c r="F414" s="4"/>
    </row>
    <row r="415" spans="1:6">
      <c r="A415" s="4"/>
      <c r="B415" s="4"/>
      <c r="C415" s="4"/>
      <c r="D415" s="4"/>
      <c r="E415" s="4"/>
      <c r="F415" s="4"/>
    </row>
    <row r="416" spans="1:6">
      <c r="A416" s="4"/>
      <c r="B416" s="4"/>
      <c r="C416" s="4"/>
      <c r="D416" s="4"/>
      <c r="E416" s="4"/>
      <c r="F416" s="4"/>
    </row>
    <row r="417" spans="1:6">
      <c r="A417" s="4"/>
      <c r="B417" s="4"/>
      <c r="C417" s="4"/>
      <c r="D417" s="4"/>
      <c r="E417" s="4"/>
      <c r="F417" s="4"/>
    </row>
    <row r="418" spans="1:6">
      <c r="A418" s="4"/>
      <c r="B418" s="4"/>
      <c r="C418" s="4"/>
      <c r="D418" s="4"/>
      <c r="E418" s="4"/>
      <c r="F418" s="4"/>
    </row>
    <row r="419" spans="1:6">
      <c r="A419" s="4"/>
      <c r="B419" s="4"/>
      <c r="C419" s="4"/>
      <c r="D419" s="4"/>
      <c r="E419" s="4"/>
      <c r="F419" s="4"/>
    </row>
    <row r="420" spans="1:6">
      <c r="A420" s="4"/>
      <c r="B420" s="4"/>
      <c r="C420" s="4"/>
      <c r="D420" s="4"/>
      <c r="E420" s="4"/>
      <c r="F420" s="4"/>
    </row>
    <row r="421" spans="1:6">
      <c r="A421" s="4"/>
      <c r="B421" s="4"/>
      <c r="C421" s="4"/>
      <c r="D421" s="4"/>
      <c r="E421" s="4"/>
      <c r="F421" s="4"/>
    </row>
    <row r="422" spans="1:6">
      <c r="A422" s="4"/>
      <c r="B422" s="4"/>
      <c r="C422" s="4"/>
      <c r="D422" s="4"/>
      <c r="E422" s="4"/>
      <c r="F422" s="4"/>
    </row>
    <row r="423" spans="1:6">
      <c r="A423" s="4"/>
      <c r="B423" s="4"/>
      <c r="C423" s="4"/>
      <c r="D423" s="4"/>
      <c r="E423" s="4"/>
      <c r="F423" s="4"/>
    </row>
    <row r="424" spans="1:6">
      <c r="A424" s="4"/>
      <c r="B424" s="4"/>
      <c r="C424" s="4"/>
      <c r="D424" s="4"/>
      <c r="E424" s="4"/>
      <c r="F424" s="4"/>
    </row>
    <row r="425" spans="1:6">
      <c r="A425" s="4"/>
      <c r="B425" s="4"/>
      <c r="C425" s="4"/>
      <c r="D425" s="4"/>
      <c r="E425" s="4"/>
      <c r="F425" s="4"/>
    </row>
    <row r="426" spans="1:6">
      <c r="A426" s="4"/>
      <c r="B426" s="4"/>
      <c r="C426" s="4"/>
      <c r="D426" s="4"/>
      <c r="E426" s="4"/>
      <c r="F426" s="4"/>
    </row>
    <row r="427" spans="1:6">
      <c r="A427" s="4"/>
      <c r="B427" s="4"/>
      <c r="C427" s="4"/>
      <c r="D427" s="4"/>
      <c r="E427" s="4"/>
      <c r="F427" s="4"/>
    </row>
    <row r="428" spans="1:6">
      <c r="A428" s="4"/>
      <c r="B428" s="4"/>
      <c r="C428" s="4"/>
      <c r="D428" s="4"/>
      <c r="E428" s="4"/>
      <c r="F428" s="4"/>
    </row>
    <row r="429" spans="1:6">
      <c r="A429" s="4"/>
      <c r="B429" s="4"/>
      <c r="C429" s="4"/>
      <c r="D429" s="4"/>
      <c r="E429" s="4"/>
      <c r="F429" s="4"/>
    </row>
    <row r="430" spans="1:6">
      <c r="A430" s="4"/>
      <c r="B430" s="4"/>
      <c r="C430" s="4"/>
      <c r="D430" s="4"/>
      <c r="E430" s="4"/>
      <c r="F430" s="4"/>
    </row>
    <row r="431" spans="1:6">
      <c r="A431" s="4"/>
      <c r="B431" s="4"/>
      <c r="C431" s="4"/>
      <c r="D431" s="4"/>
      <c r="E431" s="4"/>
      <c r="F431" s="4"/>
    </row>
    <row r="432" spans="1:6">
      <c r="A432" s="4"/>
      <c r="B432" s="4"/>
      <c r="C432" s="4"/>
      <c r="D432" s="4"/>
      <c r="E432" s="4"/>
      <c r="F432" s="4"/>
    </row>
    <row r="433" spans="1:6">
      <c r="A433" s="4"/>
      <c r="B433" s="4"/>
      <c r="C433" s="4"/>
      <c r="D433" s="4"/>
      <c r="E433" s="4"/>
      <c r="F433" s="4"/>
    </row>
    <row r="434" spans="1:6">
      <c r="A434" s="4"/>
      <c r="B434" s="4"/>
      <c r="C434" s="4"/>
      <c r="D434" s="4"/>
      <c r="E434" s="4"/>
      <c r="F434" s="4"/>
    </row>
    <row r="435" spans="1:6">
      <c r="A435" s="4"/>
      <c r="B435" s="4"/>
      <c r="C435" s="4"/>
      <c r="D435" s="4"/>
      <c r="E435" s="4"/>
      <c r="F435" s="4"/>
    </row>
    <row r="436" spans="1:6">
      <c r="A436" s="4"/>
      <c r="B436" s="4"/>
      <c r="C436" s="4"/>
      <c r="D436" s="4"/>
      <c r="E436" s="4"/>
      <c r="F436" s="4"/>
    </row>
    <row r="437" spans="1:6">
      <c r="A437" s="4"/>
      <c r="B437" s="4"/>
      <c r="C437" s="4"/>
      <c r="D437" s="4"/>
      <c r="E437" s="4"/>
      <c r="F437" s="4"/>
    </row>
    <row r="438" spans="1:6">
      <c r="A438" s="4"/>
      <c r="B438" s="4"/>
      <c r="C438" s="4"/>
      <c r="D438" s="4"/>
      <c r="E438" s="4"/>
      <c r="F438" s="4"/>
    </row>
    <row r="439" spans="1:6">
      <c r="A439" s="4"/>
      <c r="B439" s="4"/>
      <c r="C439" s="4"/>
      <c r="D439" s="4"/>
      <c r="E439" s="4"/>
      <c r="F439" s="4"/>
    </row>
    <row r="440" spans="1:6">
      <c r="A440" s="4"/>
      <c r="B440" s="4"/>
      <c r="C440" s="4"/>
      <c r="D440" s="4"/>
      <c r="E440" s="4"/>
      <c r="F440" s="4"/>
    </row>
    <row r="441" spans="1:6">
      <c r="A441" s="4"/>
      <c r="B441" s="4"/>
      <c r="C441" s="4"/>
      <c r="D441" s="4"/>
      <c r="E441" s="4"/>
      <c r="F441" s="4"/>
    </row>
    <row r="442" spans="1:6">
      <c r="A442" s="4"/>
      <c r="B442" s="4"/>
      <c r="C442" s="4"/>
      <c r="D442" s="4"/>
      <c r="E442" s="4"/>
      <c r="F442" s="4"/>
    </row>
    <row r="443" spans="1:6">
      <c r="A443" s="4"/>
      <c r="B443" s="4"/>
      <c r="C443" s="4"/>
      <c r="D443" s="4"/>
      <c r="E443" s="4"/>
      <c r="F443" s="4"/>
    </row>
    <row r="444" spans="1:6">
      <c r="A444" s="4"/>
      <c r="B444" s="4"/>
      <c r="C444" s="4"/>
      <c r="D444" s="4"/>
      <c r="E444" s="4"/>
      <c r="F444" s="4"/>
    </row>
    <row r="445" spans="1:6">
      <c r="A445" s="4"/>
      <c r="B445" s="4"/>
      <c r="C445" s="4"/>
      <c r="D445" s="4"/>
      <c r="E445" s="4"/>
      <c r="F445" s="4"/>
    </row>
    <row r="446" spans="1:6">
      <c r="A446" s="4"/>
      <c r="B446" s="4"/>
      <c r="C446" s="4"/>
      <c r="D446" s="4"/>
      <c r="E446" s="4"/>
      <c r="F446" s="4"/>
    </row>
    <row r="447" spans="1:6">
      <c r="A447" s="4"/>
      <c r="B447" s="4"/>
      <c r="C447" s="4"/>
      <c r="D447" s="4"/>
      <c r="E447" s="4"/>
      <c r="F447" s="4"/>
    </row>
    <row r="448" spans="1:6">
      <c r="A448" s="4"/>
      <c r="B448" s="4"/>
      <c r="C448" s="4"/>
      <c r="D448" s="4"/>
      <c r="E448" s="4"/>
      <c r="F448" s="4"/>
    </row>
    <row r="449" spans="1:6">
      <c r="A449" s="4"/>
      <c r="B449" s="4"/>
      <c r="C449" s="4"/>
      <c r="D449" s="4"/>
      <c r="E449" s="4"/>
      <c r="F449" s="4"/>
    </row>
    <row r="450" spans="1:6">
      <c r="A450" s="4"/>
      <c r="B450" s="4"/>
      <c r="C450" s="4"/>
      <c r="D450" s="4"/>
      <c r="E450" s="4"/>
      <c r="F450" s="4"/>
    </row>
    <row r="451" spans="1:6">
      <c r="A451" s="4"/>
      <c r="B451" s="4"/>
      <c r="C451" s="4"/>
      <c r="D451" s="4"/>
      <c r="E451" s="4"/>
      <c r="F451" s="4"/>
    </row>
    <row r="452" spans="1:6">
      <c r="A452" s="4"/>
      <c r="B452" s="4"/>
      <c r="C452" s="4"/>
      <c r="D452" s="4"/>
      <c r="E452" s="4"/>
      <c r="F452" s="4"/>
    </row>
    <row r="453" spans="1:6">
      <c r="A453" s="4"/>
      <c r="B453" s="4"/>
      <c r="C453" s="4"/>
      <c r="D453" s="4"/>
      <c r="E453" s="4"/>
      <c r="F453" s="4"/>
    </row>
    <row r="454" spans="1:6">
      <c r="A454" s="4"/>
      <c r="B454" s="4"/>
      <c r="C454" s="4"/>
      <c r="D454" s="4"/>
      <c r="E454" s="4"/>
      <c r="F454" s="4"/>
    </row>
    <row r="455" spans="1:6">
      <c r="A455" s="4"/>
      <c r="B455" s="4"/>
      <c r="C455" s="4"/>
      <c r="D455" s="4"/>
      <c r="E455" s="4"/>
      <c r="F455" s="4"/>
    </row>
    <row r="456" spans="1:6">
      <c r="A456" s="4"/>
      <c r="B456" s="4"/>
      <c r="C456" s="4"/>
      <c r="D456" s="4"/>
      <c r="E456" s="4"/>
      <c r="F456" s="4"/>
    </row>
    <row r="457" spans="1:6">
      <c r="A457" s="4"/>
      <c r="B457" s="4"/>
      <c r="C457" s="4"/>
      <c r="D457" s="4"/>
      <c r="E457" s="4"/>
      <c r="F457" s="4"/>
    </row>
    <row r="458" spans="1:6">
      <c r="A458" s="4"/>
      <c r="B458" s="4"/>
      <c r="C458" s="4"/>
      <c r="D458" s="4"/>
      <c r="E458" s="4"/>
      <c r="F458" s="4"/>
    </row>
    <row r="459" spans="1:6">
      <c r="A459" s="4"/>
      <c r="B459" s="4"/>
      <c r="C459" s="4"/>
      <c r="D459" s="4"/>
      <c r="E459" s="4"/>
      <c r="F459" s="4"/>
    </row>
    <row r="460" spans="1:6">
      <c r="A460" s="4"/>
      <c r="B460" s="4"/>
      <c r="C460" s="4"/>
      <c r="D460" s="4"/>
      <c r="E460" s="4"/>
      <c r="F460" s="4"/>
    </row>
    <row r="461" spans="1:6">
      <c r="A461" s="4"/>
      <c r="B461" s="4"/>
      <c r="C461" s="4"/>
      <c r="D461" s="4"/>
      <c r="E461" s="4"/>
      <c r="F461" s="4"/>
    </row>
    <row r="462" spans="1:6">
      <c r="A462" s="4"/>
      <c r="B462" s="4"/>
      <c r="C462" s="4"/>
      <c r="D462" s="4"/>
      <c r="E462" s="4"/>
      <c r="F462" s="4"/>
    </row>
    <row r="463" spans="1:6">
      <c r="A463" s="4"/>
      <c r="B463" s="4"/>
      <c r="C463" s="4"/>
      <c r="D463" s="4"/>
      <c r="E463" s="4"/>
      <c r="F463" s="4"/>
    </row>
    <row r="464" spans="1:6">
      <c r="A464" s="4"/>
      <c r="B464" s="4"/>
      <c r="C464" s="4"/>
      <c r="D464" s="4"/>
      <c r="E464" s="4"/>
      <c r="F464" s="4"/>
    </row>
    <row r="465" spans="1:6">
      <c r="A465" s="4"/>
      <c r="B465" s="4"/>
      <c r="C465" s="4"/>
      <c r="D465" s="4"/>
      <c r="E465" s="4"/>
      <c r="F465" s="4"/>
    </row>
    <row r="466" spans="1:6">
      <c r="A466" s="4"/>
      <c r="B466" s="4"/>
      <c r="C466" s="4"/>
      <c r="D466" s="4"/>
      <c r="E466" s="4"/>
      <c r="F466" s="4"/>
    </row>
    <row r="467" spans="1:6">
      <c r="A467" s="4"/>
      <c r="B467" s="4"/>
      <c r="C467" s="4"/>
      <c r="D467" s="4"/>
      <c r="E467" s="4"/>
      <c r="F467" s="4"/>
    </row>
    <row r="468" spans="1:6">
      <c r="A468" s="4"/>
      <c r="B468" s="4"/>
      <c r="C468" s="4"/>
      <c r="D468" s="4"/>
      <c r="E468" s="4"/>
      <c r="F468" s="4"/>
    </row>
    <row r="469" spans="1:6">
      <c r="A469" s="4"/>
      <c r="B469" s="4"/>
      <c r="C469" s="4"/>
      <c r="D469" s="4"/>
      <c r="E469" s="4"/>
      <c r="F469" s="4"/>
    </row>
    <row r="470" spans="1:6">
      <c r="A470" s="4"/>
      <c r="B470" s="4"/>
      <c r="C470" s="4"/>
      <c r="D470" s="4"/>
      <c r="E470" s="4"/>
      <c r="F470" s="4"/>
    </row>
    <row r="471" spans="1:6">
      <c r="A471" s="4"/>
      <c r="B471" s="4"/>
      <c r="C471" s="4"/>
      <c r="D471" s="4"/>
      <c r="E471" s="4"/>
      <c r="F471" s="4"/>
    </row>
    <row r="472" spans="1:6">
      <c r="A472" s="4"/>
      <c r="B472" s="4"/>
      <c r="C472" s="4"/>
      <c r="D472" s="4"/>
      <c r="E472" s="4"/>
      <c r="F472" s="4"/>
    </row>
    <row r="473" spans="1:6">
      <c r="A473" s="4"/>
      <c r="B473" s="4"/>
      <c r="C473" s="4"/>
      <c r="D473" s="4"/>
      <c r="E473" s="4"/>
      <c r="F473" s="4"/>
    </row>
    <row r="474" spans="1:6">
      <c r="A474" s="4"/>
      <c r="B474" s="4"/>
      <c r="C474" s="4"/>
      <c r="D474" s="4"/>
      <c r="E474" s="4"/>
      <c r="F474" s="4"/>
    </row>
    <row r="475" spans="1:6">
      <c r="A475" s="4"/>
      <c r="B475" s="4"/>
      <c r="C475" s="4"/>
      <c r="D475" s="4"/>
      <c r="E475" s="4"/>
      <c r="F475" s="4"/>
    </row>
    <row r="476" spans="1:6">
      <c r="A476" s="4"/>
      <c r="B476" s="4"/>
      <c r="C476" s="4"/>
      <c r="D476" s="4"/>
      <c r="E476" s="4"/>
      <c r="F476" s="4"/>
    </row>
    <row r="477" spans="1:6">
      <c r="A477" s="4"/>
      <c r="B477" s="4"/>
      <c r="C477" s="4"/>
      <c r="D477" s="4"/>
      <c r="E477" s="4"/>
      <c r="F477" s="4"/>
    </row>
    <row r="478" spans="1:6">
      <c r="A478" s="4"/>
      <c r="B478" s="4"/>
      <c r="C478" s="4"/>
      <c r="D478" s="4"/>
      <c r="E478" s="4"/>
      <c r="F478" s="4"/>
    </row>
    <row r="479" spans="1:6">
      <c r="A479" s="4"/>
      <c r="B479" s="4"/>
      <c r="C479" s="4"/>
      <c r="D479" s="4"/>
      <c r="E479" s="4"/>
      <c r="F479" s="4"/>
    </row>
    <row r="480" spans="1:6">
      <c r="A480" s="4"/>
      <c r="B480" s="4"/>
      <c r="C480" s="4"/>
      <c r="D480" s="4"/>
      <c r="E480" s="4"/>
      <c r="F480" s="4"/>
    </row>
    <row r="481" spans="1:6">
      <c r="A481" s="4"/>
      <c r="B481" s="4"/>
      <c r="C481" s="4"/>
      <c r="D481" s="4"/>
      <c r="E481" s="4"/>
      <c r="F481" s="4"/>
    </row>
    <row r="482" spans="1:6">
      <c r="A482" s="4"/>
      <c r="B482" s="4"/>
      <c r="C482" s="4"/>
      <c r="D482" s="4"/>
      <c r="E482" s="4"/>
      <c r="F482" s="4"/>
    </row>
    <row r="483" spans="1:6">
      <c r="A483" s="4"/>
      <c r="B483" s="4"/>
      <c r="C483" s="4"/>
      <c r="D483" s="4"/>
      <c r="E483" s="4"/>
      <c r="F483" s="4"/>
    </row>
    <row r="484" spans="1:6">
      <c r="A484" s="4"/>
      <c r="B484" s="4"/>
      <c r="C484" s="4"/>
      <c r="D484" s="4"/>
      <c r="E484" s="4"/>
      <c r="F484" s="4"/>
    </row>
    <row r="485" spans="1:6">
      <c r="A485" s="4"/>
      <c r="B485" s="4"/>
      <c r="C485" s="4"/>
      <c r="D485" s="4"/>
      <c r="E485" s="4"/>
      <c r="F485" s="4"/>
    </row>
    <row r="486" spans="1:6">
      <c r="A486" s="4"/>
      <c r="B486" s="4"/>
      <c r="C486" s="4"/>
      <c r="D486" s="4"/>
      <c r="E486" s="4"/>
      <c r="F486" s="4"/>
    </row>
    <row r="487" spans="1:6">
      <c r="A487" s="4"/>
      <c r="B487" s="4"/>
      <c r="C487" s="4"/>
      <c r="D487" s="4"/>
      <c r="E487" s="4"/>
      <c r="F487" s="4"/>
    </row>
    <row r="488" spans="1:6">
      <c r="A488" s="4"/>
      <c r="B488" s="4"/>
      <c r="C488" s="4"/>
      <c r="D488" s="4"/>
      <c r="E488" s="4"/>
      <c r="F488" s="4"/>
    </row>
    <row r="489" spans="1:6">
      <c r="A489" s="4"/>
      <c r="B489" s="4"/>
      <c r="C489" s="4"/>
      <c r="D489" s="4"/>
      <c r="E489" s="4"/>
      <c r="F489" s="4"/>
    </row>
    <row r="490" spans="1:6">
      <c r="A490" s="4"/>
      <c r="B490" s="4"/>
      <c r="C490" s="4"/>
      <c r="D490" s="4"/>
      <c r="E490" s="4"/>
      <c r="F490" s="4"/>
    </row>
    <row r="491" spans="1:6">
      <c r="A491" s="4"/>
      <c r="B491" s="4"/>
      <c r="C491" s="4"/>
      <c r="D491" s="4"/>
      <c r="E491" s="4"/>
      <c r="F491" s="4"/>
    </row>
    <row r="492" spans="1:6">
      <c r="A492" s="4"/>
      <c r="B492" s="4"/>
      <c r="C492" s="4"/>
      <c r="D492" s="4"/>
      <c r="E492" s="4"/>
      <c r="F492" s="4"/>
    </row>
    <row r="493" spans="1:6">
      <c r="A493" s="4"/>
      <c r="B493" s="4"/>
      <c r="C493" s="4"/>
      <c r="D493" s="4"/>
      <c r="E493" s="4"/>
      <c r="F493" s="4"/>
    </row>
    <row r="494" spans="1:6">
      <c r="A494" s="4"/>
      <c r="B494" s="4"/>
      <c r="C494" s="4"/>
      <c r="D494" s="4"/>
      <c r="E494" s="4"/>
      <c r="F494" s="4"/>
    </row>
    <row r="495" spans="1:6">
      <c r="A495" s="4"/>
      <c r="B495" s="4"/>
      <c r="C495" s="4"/>
      <c r="D495" s="4"/>
      <c r="E495" s="4"/>
      <c r="F495" s="4"/>
    </row>
    <row r="496" spans="1:6">
      <c r="A496" s="4"/>
      <c r="B496" s="4"/>
      <c r="C496" s="4"/>
      <c r="D496" s="4"/>
      <c r="E496" s="4"/>
      <c r="F496" s="4"/>
    </row>
    <row r="497" spans="1:6">
      <c r="A497" s="4"/>
      <c r="B497" s="4"/>
      <c r="C497" s="4"/>
      <c r="D497" s="4"/>
      <c r="E497" s="4"/>
      <c r="F497" s="4"/>
    </row>
    <row r="498" spans="1:6">
      <c r="A498" s="4"/>
      <c r="B498" s="4"/>
      <c r="C498" s="4"/>
      <c r="D498" s="4"/>
      <c r="E498" s="4"/>
      <c r="F498" s="4"/>
    </row>
    <row r="499" spans="1:6">
      <c r="A499" s="4"/>
      <c r="B499" s="4"/>
      <c r="C499" s="4"/>
      <c r="D499" s="4"/>
      <c r="E499" s="4"/>
      <c r="F499" s="4"/>
    </row>
    <row r="500" spans="1:6">
      <c r="A500" s="4"/>
      <c r="B500" s="4"/>
      <c r="C500" s="4"/>
      <c r="D500" s="4"/>
      <c r="E500" s="4"/>
      <c r="F500" s="4"/>
    </row>
    <row r="501" spans="1:6">
      <c r="A501" s="4"/>
      <c r="B501" s="4"/>
      <c r="C501" s="4"/>
      <c r="D501" s="4"/>
      <c r="E501" s="4"/>
      <c r="F501" s="4"/>
    </row>
    <row r="502" spans="1:6">
      <c r="A502" s="4"/>
      <c r="B502" s="4"/>
      <c r="C502" s="4"/>
      <c r="D502" s="4"/>
      <c r="E502" s="4"/>
      <c r="F502" s="4"/>
    </row>
    <row r="503" spans="1:6">
      <c r="A503" s="4"/>
      <c r="B503" s="4"/>
      <c r="C503" s="4"/>
      <c r="D503" s="4"/>
      <c r="E503" s="4"/>
      <c r="F503" s="4"/>
    </row>
    <row r="504" spans="1:6">
      <c r="A504" s="4"/>
      <c r="B504" s="4"/>
      <c r="C504" s="4"/>
      <c r="D504" s="4"/>
      <c r="E504" s="4"/>
      <c r="F504" s="4"/>
    </row>
    <row r="505" spans="1:6">
      <c r="A505" s="4"/>
      <c r="B505" s="4"/>
      <c r="C505" s="4"/>
      <c r="D505" s="4"/>
      <c r="E505" s="4"/>
      <c r="F505" s="4"/>
    </row>
    <row r="506" spans="1:6">
      <c r="A506" s="4"/>
      <c r="B506" s="4"/>
      <c r="C506" s="4"/>
      <c r="D506" s="4"/>
      <c r="E506" s="4"/>
      <c r="F506" s="4"/>
    </row>
    <row r="507" spans="1:6">
      <c r="A507" s="4"/>
      <c r="B507" s="4"/>
      <c r="C507" s="4"/>
      <c r="D507" s="4"/>
      <c r="E507" s="4"/>
      <c r="F507" s="4"/>
    </row>
    <row r="508" spans="1:6">
      <c r="A508" s="4"/>
      <c r="B508" s="4"/>
      <c r="C508" s="4"/>
      <c r="D508" s="4"/>
      <c r="E508" s="4"/>
      <c r="F508" s="4"/>
    </row>
    <row r="509" spans="1:6">
      <c r="A509" s="4"/>
      <c r="B509" s="4"/>
      <c r="C509" s="4"/>
      <c r="D509" s="4"/>
      <c r="E509" s="4"/>
      <c r="F509" s="4"/>
    </row>
    <row r="510" spans="1:6">
      <c r="A510" s="4"/>
      <c r="B510" s="4"/>
      <c r="C510" s="4"/>
      <c r="D510" s="4"/>
      <c r="E510" s="4"/>
      <c r="F510" s="4"/>
    </row>
    <row r="511" spans="1:6">
      <c r="A511" s="4"/>
      <c r="B511" s="4"/>
      <c r="C511" s="4"/>
      <c r="D511" s="4"/>
      <c r="E511" s="4"/>
      <c r="F511" s="4"/>
    </row>
    <row r="512" spans="1:6">
      <c r="A512" s="4"/>
      <c r="B512" s="4"/>
      <c r="C512" s="4"/>
      <c r="D512" s="4"/>
      <c r="E512" s="4"/>
      <c r="F512" s="4"/>
    </row>
    <row r="513" spans="1:6">
      <c r="A513" s="4"/>
      <c r="B513" s="4"/>
      <c r="C513" s="4"/>
      <c r="D513" s="4"/>
      <c r="E513" s="4"/>
      <c r="F513" s="4"/>
    </row>
    <row r="514" spans="1:6">
      <c r="A514" s="4"/>
      <c r="B514" s="4"/>
      <c r="C514" s="4"/>
      <c r="D514" s="4"/>
      <c r="E514" s="4"/>
      <c r="F514" s="4"/>
    </row>
    <row r="515" spans="1:6">
      <c r="A515" s="4"/>
      <c r="B515" s="4"/>
      <c r="C515" s="4"/>
      <c r="D515" s="4"/>
      <c r="E515" s="4"/>
      <c r="F515" s="4"/>
    </row>
    <row r="516" spans="1:6">
      <c r="A516" s="4"/>
      <c r="B516" s="4"/>
      <c r="C516" s="4"/>
      <c r="D516" s="4"/>
      <c r="E516" s="4"/>
      <c r="F516" s="4"/>
    </row>
    <row r="517" spans="1:6">
      <c r="A517" s="4"/>
      <c r="B517" s="4"/>
      <c r="C517" s="4"/>
      <c r="D517" s="4"/>
      <c r="E517" s="4"/>
      <c r="F517" s="4"/>
    </row>
    <row r="518" spans="1:6">
      <c r="A518" s="4"/>
      <c r="B518" s="4"/>
      <c r="C518" s="4"/>
      <c r="D518" s="4"/>
      <c r="E518" s="4"/>
      <c r="F518" s="4"/>
    </row>
    <row r="519" spans="1:6">
      <c r="A519" s="4"/>
      <c r="B519" s="4"/>
      <c r="C519" s="4"/>
      <c r="D519" s="4"/>
      <c r="E519" s="4"/>
      <c r="F519" s="4"/>
    </row>
    <row r="520" spans="1:6">
      <c r="A520" s="4"/>
      <c r="B520" s="4"/>
      <c r="C520" s="4"/>
      <c r="D520" s="4"/>
      <c r="E520" s="4"/>
      <c r="F520" s="4"/>
    </row>
    <row r="521" spans="1:6">
      <c r="A521" s="4"/>
      <c r="B521" s="4"/>
      <c r="C521" s="4"/>
      <c r="D521" s="4"/>
      <c r="E521" s="4"/>
      <c r="F521" s="4"/>
    </row>
    <row r="522" spans="1:6">
      <c r="A522" s="4"/>
      <c r="B522" s="4"/>
      <c r="C522" s="4"/>
      <c r="D522" s="4"/>
      <c r="E522" s="4"/>
      <c r="F522" s="4"/>
    </row>
    <row r="523" spans="1:6">
      <c r="A523" s="4"/>
      <c r="B523" s="4"/>
      <c r="C523" s="4"/>
      <c r="D523" s="4"/>
      <c r="E523" s="4"/>
      <c r="F523" s="4"/>
    </row>
    <row r="524" spans="1:6">
      <c r="A524" s="4"/>
      <c r="B524" s="4"/>
      <c r="C524" s="4"/>
      <c r="D524" s="4"/>
      <c r="E524" s="4"/>
      <c r="F524" s="4"/>
    </row>
    <row r="525" spans="1:6">
      <c r="A525" s="4"/>
      <c r="B525" s="4"/>
      <c r="C525" s="4"/>
      <c r="D525" s="4"/>
      <c r="E525" s="4"/>
      <c r="F525" s="4"/>
    </row>
    <row r="526" spans="1:6">
      <c r="A526" s="4"/>
      <c r="B526" s="4"/>
      <c r="C526" s="4"/>
      <c r="D526" s="4"/>
      <c r="E526" s="4"/>
      <c r="F526" s="4"/>
    </row>
    <row r="527" spans="1:6">
      <c r="A527" s="4"/>
      <c r="B527" s="4"/>
      <c r="C527" s="4"/>
      <c r="D527" s="4"/>
      <c r="E527" s="4"/>
      <c r="F527" s="4"/>
    </row>
    <row r="528" spans="1:6">
      <c r="A528" s="4"/>
      <c r="B528" s="4"/>
      <c r="C528" s="4"/>
      <c r="D528" s="4"/>
      <c r="E528" s="4"/>
      <c r="F528" s="4"/>
    </row>
    <row r="529" spans="1:6">
      <c r="A529" s="4"/>
      <c r="B529" s="4"/>
      <c r="C529" s="4"/>
      <c r="D529" s="4"/>
      <c r="E529" s="4"/>
      <c r="F529" s="4"/>
    </row>
    <row r="530" spans="1:6">
      <c r="A530" s="4"/>
      <c r="B530" s="4"/>
      <c r="C530" s="4"/>
      <c r="D530" s="4"/>
      <c r="E530" s="4"/>
      <c r="F530" s="4"/>
    </row>
    <row r="531" spans="1:6">
      <c r="A531" s="4"/>
      <c r="B531" s="4"/>
      <c r="C531" s="4"/>
      <c r="D531" s="4"/>
      <c r="E531" s="4"/>
      <c r="F531" s="4"/>
    </row>
    <row r="532" spans="1:6">
      <c r="A532" s="4"/>
      <c r="B532" s="4"/>
      <c r="C532" s="4"/>
      <c r="D532" s="4"/>
      <c r="E532" s="4"/>
      <c r="F532" s="4"/>
    </row>
    <row r="533" spans="1:6">
      <c r="A533" s="4"/>
      <c r="B533" s="4"/>
      <c r="C533" s="4"/>
      <c r="D533" s="4"/>
      <c r="E533" s="4"/>
      <c r="F533" s="4"/>
    </row>
    <row r="534" spans="1:6">
      <c r="A534" s="4"/>
      <c r="B534" s="4"/>
      <c r="C534" s="4"/>
      <c r="D534" s="4"/>
      <c r="E534" s="4"/>
      <c r="F534" s="4"/>
    </row>
    <row r="535" spans="1:6">
      <c r="A535" s="4"/>
      <c r="B535" s="4"/>
      <c r="C535" s="4"/>
      <c r="D535" s="4"/>
      <c r="E535" s="4"/>
      <c r="F535" s="4"/>
    </row>
    <row r="536" spans="1:6">
      <c r="A536" s="4"/>
      <c r="B536" s="4"/>
      <c r="C536" s="4"/>
      <c r="D536" s="4"/>
      <c r="E536" s="4"/>
      <c r="F536" s="4"/>
    </row>
    <row r="537" spans="1:6">
      <c r="A537" s="4"/>
      <c r="B537" s="4"/>
      <c r="C537" s="4"/>
      <c r="D537" s="4"/>
      <c r="E537" s="4"/>
      <c r="F537" s="4"/>
    </row>
    <row r="538" spans="1:6">
      <c r="A538" s="4"/>
      <c r="B538" s="4"/>
      <c r="C538" s="4"/>
      <c r="D538" s="4"/>
      <c r="E538" s="4"/>
      <c r="F538" s="4"/>
    </row>
    <row r="539" spans="1:6">
      <c r="A539" s="4"/>
      <c r="B539" s="4"/>
      <c r="C539" s="4"/>
      <c r="D539" s="4"/>
      <c r="E539" s="4"/>
      <c r="F539" s="4"/>
    </row>
    <row r="540" spans="1:6">
      <c r="A540" s="4"/>
      <c r="B540" s="4"/>
      <c r="C540" s="4"/>
      <c r="D540" s="4"/>
      <c r="E540" s="4"/>
      <c r="F540" s="4"/>
    </row>
    <row r="541" spans="1:6">
      <c r="A541" s="4"/>
      <c r="B541" s="4"/>
      <c r="C541" s="4"/>
      <c r="D541" s="4"/>
      <c r="E541" s="4"/>
      <c r="F541" s="4"/>
    </row>
    <row r="542" spans="1:6">
      <c r="A542" s="4"/>
      <c r="B542" s="4"/>
      <c r="C542" s="4"/>
      <c r="D542" s="4"/>
      <c r="E542" s="4"/>
      <c r="F542" s="4"/>
    </row>
    <row r="543" spans="1:6">
      <c r="A543" s="4"/>
      <c r="B543" s="4"/>
      <c r="C543" s="4"/>
      <c r="D543" s="4"/>
      <c r="E543" s="4"/>
      <c r="F543" s="4"/>
    </row>
    <row r="544" spans="1:6">
      <c r="A544" s="4"/>
      <c r="B544" s="4"/>
      <c r="C544" s="4"/>
      <c r="D544" s="4"/>
      <c r="E544" s="4"/>
      <c r="F544" s="4"/>
    </row>
    <row r="545" spans="1:6">
      <c r="A545" s="4"/>
      <c r="B545" s="4"/>
      <c r="C545" s="4"/>
      <c r="D545" s="4"/>
      <c r="E545" s="4"/>
      <c r="F545" s="4"/>
    </row>
    <row r="546" spans="1:6">
      <c r="A546" s="4"/>
      <c r="B546" s="4"/>
      <c r="C546" s="4"/>
      <c r="D546" s="4"/>
      <c r="E546" s="4"/>
      <c r="F546" s="4"/>
    </row>
    <row r="547" spans="1:6">
      <c r="A547" s="4"/>
      <c r="B547" s="4"/>
      <c r="C547" s="4"/>
      <c r="D547" s="4"/>
      <c r="E547" s="4"/>
      <c r="F547" s="4"/>
    </row>
    <row r="548" spans="1:6">
      <c r="A548" s="4"/>
      <c r="B548" s="4"/>
      <c r="C548" s="4"/>
      <c r="D548" s="4"/>
      <c r="E548" s="4"/>
      <c r="F548" s="4"/>
    </row>
    <row r="549" spans="1:6">
      <c r="A549" s="4"/>
      <c r="B549" s="4"/>
      <c r="C549" s="4"/>
      <c r="D549" s="4"/>
      <c r="E549" s="4"/>
      <c r="F549" s="4"/>
    </row>
    <row r="550" spans="1:6">
      <c r="A550" s="4"/>
      <c r="B550" s="4"/>
      <c r="C550" s="4"/>
      <c r="D550" s="4"/>
      <c r="E550" s="4"/>
      <c r="F550" s="4"/>
    </row>
    <row r="551" spans="1:6">
      <c r="A551" s="4"/>
      <c r="B551" s="4"/>
      <c r="C551" s="4"/>
      <c r="D551" s="4"/>
      <c r="E551" s="4"/>
      <c r="F551" s="4"/>
    </row>
    <row r="552" spans="1:6">
      <c r="A552" s="4"/>
      <c r="B552" s="4"/>
      <c r="C552" s="4"/>
      <c r="D552" s="4"/>
      <c r="E552" s="4"/>
      <c r="F552" s="4"/>
    </row>
    <row r="553" spans="1:6">
      <c r="A553" s="4"/>
      <c r="B553" s="4"/>
      <c r="C553" s="4"/>
      <c r="D553" s="4"/>
      <c r="E553" s="4"/>
      <c r="F553" s="4"/>
    </row>
    <row r="554" spans="1:6">
      <c r="A554" s="4"/>
      <c r="B554" s="4"/>
      <c r="C554" s="4"/>
      <c r="D554" s="4"/>
      <c r="E554" s="4"/>
      <c r="F554" s="4"/>
    </row>
    <row r="555" spans="1:6">
      <c r="A555" s="4"/>
      <c r="B555" s="4"/>
      <c r="C555" s="4"/>
      <c r="D555" s="4"/>
      <c r="E555" s="4"/>
      <c r="F555" s="4"/>
    </row>
    <row r="556" spans="1:6">
      <c r="A556" s="4"/>
      <c r="B556" s="4"/>
      <c r="C556" s="4"/>
      <c r="D556" s="4"/>
      <c r="E556" s="4"/>
      <c r="F556" s="4"/>
    </row>
    <row r="557" spans="1:6">
      <c r="A557" s="4"/>
      <c r="B557" s="4"/>
      <c r="C557" s="4"/>
      <c r="D557" s="4"/>
      <c r="E557" s="4"/>
      <c r="F557" s="4"/>
    </row>
    <row r="558" spans="1:6">
      <c r="A558" s="4"/>
      <c r="B558" s="4"/>
      <c r="C558" s="4"/>
      <c r="D558" s="4"/>
      <c r="E558" s="4"/>
      <c r="F558" s="4"/>
    </row>
    <row r="559" spans="1:6">
      <c r="A559" s="4"/>
      <c r="B559" s="4"/>
      <c r="C559" s="4"/>
      <c r="D559" s="4"/>
      <c r="E559" s="4"/>
      <c r="F559" s="4"/>
    </row>
    <row r="560" spans="1:6">
      <c r="A560" s="4"/>
      <c r="B560" s="4"/>
      <c r="C560" s="4"/>
      <c r="D560" s="4"/>
      <c r="E560" s="4"/>
      <c r="F560" s="4"/>
    </row>
    <row r="561" spans="1:6">
      <c r="A561" s="4"/>
      <c r="B561" s="4"/>
      <c r="C561" s="4"/>
      <c r="D561" s="4"/>
      <c r="E561" s="4"/>
      <c r="F561" s="4"/>
    </row>
    <row r="562" spans="1:6">
      <c r="A562" s="4"/>
      <c r="B562" s="4"/>
      <c r="C562" s="4"/>
      <c r="D562" s="4"/>
      <c r="E562" s="4"/>
      <c r="F562" s="4"/>
    </row>
    <row r="563" spans="1:6">
      <c r="A563" s="4"/>
      <c r="B563" s="4"/>
      <c r="C563" s="4"/>
      <c r="D563" s="4"/>
      <c r="E563" s="4"/>
      <c r="F563" s="4"/>
    </row>
    <row r="564" spans="1:6">
      <c r="A564" s="4"/>
      <c r="B564" s="4"/>
      <c r="C564" s="4"/>
      <c r="D564" s="4"/>
      <c r="E564" s="4"/>
      <c r="F564" s="4"/>
    </row>
    <row r="565" spans="1:6">
      <c r="A565" s="4"/>
      <c r="B565" s="4"/>
      <c r="C565" s="4"/>
      <c r="D565" s="4"/>
      <c r="E565" s="4"/>
      <c r="F565" s="4"/>
    </row>
    <row r="566" spans="1:6">
      <c r="A566" s="4"/>
      <c r="B566" s="4"/>
      <c r="C566" s="4"/>
      <c r="D566" s="4"/>
      <c r="E566" s="4"/>
      <c r="F566" s="4"/>
    </row>
    <row r="567" spans="1:6">
      <c r="A567" s="4"/>
      <c r="B567" s="4"/>
      <c r="C567" s="4"/>
      <c r="D567" s="4"/>
      <c r="E567" s="4"/>
      <c r="F567" s="4"/>
    </row>
    <row r="568" spans="1:6">
      <c r="A568" s="4"/>
      <c r="B568" s="4"/>
      <c r="C568" s="4"/>
      <c r="D568" s="4"/>
      <c r="E568" s="4"/>
      <c r="F568" s="4"/>
    </row>
    <row r="569" spans="1:6">
      <c r="A569" s="4"/>
      <c r="B569" s="4"/>
      <c r="C569" s="4"/>
      <c r="D569" s="4"/>
      <c r="E569" s="4"/>
      <c r="F569" s="4"/>
    </row>
    <row r="570" spans="1:6">
      <c r="A570" s="4"/>
      <c r="B570" s="4"/>
      <c r="C570" s="4"/>
      <c r="D570" s="4"/>
      <c r="E570" s="4"/>
      <c r="F570" s="4"/>
    </row>
    <row r="571" spans="1:6">
      <c r="A571" s="4"/>
      <c r="B571" s="4"/>
      <c r="C571" s="4"/>
      <c r="D571" s="4"/>
      <c r="E571" s="4"/>
      <c r="F571" s="4"/>
    </row>
    <row r="572" spans="1:6">
      <c r="A572" s="4"/>
      <c r="B572" s="4"/>
      <c r="C572" s="4"/>
      <c r="D572" s="4"/>
      <c r="E572" s="4"/>
      <c r="F572" s="4"/>
    </row>
    <row r="573" spans="1:6">
      <c r="A573" s="4"/>
      <c r="B573" s="4"/>
      <c r="C573" s="4"/>
      <c r="D573" s="4"/>
      <c r="E573" s="4"/>
      <c r="F573" s="4"/>
    </row>
    <row r="574" spans="1:6">
      <c r="A574" s="4"/>
      <c r="B574" s="4"/>
      <c r="C574" s="4"/>
      <c r="D574" s="4"/>
      <c r="E574" s="4"/>
      <c r="F574" s="4"/>
    </row>
    <row r="575" spans="1:6">
      <c r="A575" s="4"/>
      <c r="B575" s="4"/>
      <c r="C575" s="4"/>
      <c r="D575" s="4"/>
      <c r="E575" s="4"/>
      <c r="F575" s="4"/>
    </row>
    <row r="576" spans="1:6">
      <c r="A576" s="4"/>
      <c r="B576" s="4"/>
      <c r="C576" s="4"/>
      <c r="D576" s="4"/>
      <c r="E576" s="4"/>
      <c r="F576" s="4"/>
    </row>
    <row r="577" spans="1:6">
      <c r="A577" s="4"/>
      <c r="B577" s="4"/>
      <c r="C577" s="4"/>
      <c r="D577" s="4"/>
      <c r="E577" s="4"/>
      <c r="F577" s="4"/>
    </row>
    <row r="578" spans="1:6">
      <c r="A578" s="4"/>
      <c r="B578" s="4"/>
      <c r="C578" s="4"/>
      <c r="D578" s="4"/>
      <c r="E578" s="4"/>
      <c r="F578" s="4"/>
    </row>
    <row r="579" spans="1:6">
      <c r="A579" s="4"/>
      <c r="B579" s="4"/>
      <c r="C579" s="4"/>
      <c r="D579" s="4"/>
      <c r="E579" s="4"/>
      <c r="F579" s="4"/>
    </row>
    <row r="580" spans="1:6">
      <c r="A580" s="4"/>
      <c r="B580" s="4"/>
      <c r="C580" s="4"/>
      <c r="D580" s="4"/>
      <c r="E580" s="4"/>
      <c r="F580" s="4"/>
    </row>
    <row r="581" spans="1:6">
      <c r="A581" s="4"/>
      <c r="B581" s="4"/>
      <c r="C581" s="4"/>
      <c r="D581" s="4"/>
      <c r="E581" s="4"/>
      <c r="F581" s="4"/>
    </row>
    <row r="582" spans="1:6">
      <c r="A582" s="4"/>
      <c r="B582" s="4"/>
      <c r="C582" s="4"/>
      <c r="D582" s="4"/>
      <c r="E582" s="4"/>
      <c r="F582" s="4"/>
    </row>
    <row r="583" spans="1:6">
      <c r="A583" s="4"/>
      <c r="B583" s="4"/>
      <c r="C583" s="4"/>
      <c r="D583" s="4"/>
      <c r="E583" s="4"/>
      <c r="F583" s="4"/>
    </row>
    <row r="584" spans="1:6">
      <c r="A584" s="4"/>
      <c r="B584" s="4"/>
      <c r="C584" s="4"/>
      <c r="D584" s="4"/>
      <c r="E584" s="4"/>
      <c r="F584" s="4"/>
    </row>
    <row r="585" spans="1:6">
      <c r="A585" s="4"/>
      <c r="B585" s="4"/>
      <c r="C585" s="4"/>
      <c r="D585" s="4"/>
      <c r="E585" s="4"/>
      <c r="F585" s="4"/>
    </row>
    <row r="586" spans="1:6">
      <c r="A586" s="4"/>
      <c r="B586" s="4"/>
      <c r="C586" s="4"/>
      <c r="D586" s="4"/>
      <c r="E586" s="4"/>
      <c r="F586" s="4"/>
    </row>
    <row r="587" spans="1:6">
      <c r="A587" s="4"/>
      <c r="B587" s="4"/>
      <c r="C587" s="4"/>
      <c r="D587" s="4"/>
      <c r="E587" s="4"/>
      <c r="F587" s="4"/>
    </row>
    <row r="588" spans="1:6">
      <c r="A588" s="4"/>
      <c r="B588" s="4"/>
      <c r="C588" s="4"/>
      <c r="D588" s="4"/>
      <c r="E588" s="4"/>
      <c r="F588" s="4"/>
    </row>
    <row r="589" spans="1:6">
      <c r="A589" s="4"/>
      <c r="B589" s="4"/>
      <c r="C589" s="4"/>
      <c r="D589" s="4"/>
      <c r="E589" s="4"/>
      <c r="F589" s="4"/>
    </row>
    <row r="590" spans="1:6">
      <c r="A590" s="4"/>
      <c r="B590" s="4"/>
      <c r="C590" s="4"/>
      <c r="D590" s="4"/>
      <c r="E590" s="4"/>
      <c r="F590" s="4"/>
    </row>
    <row r="591" spans="1:6">
      <c r="A591" s="4"/>
      <c r="B591" s="4"/>
      <c r="C591" s="4"/>
      <c r="D591" s="4"/>
      <c r="E591" s="4"/>
      <c r="F591" s="4"/>
    </row>
    <row r="592" spans="1:6">
      <c r="A592" s="4"/>
      <c r="B592" s="4"/>
      <c r="C592" s="4"/>
      <c r="D592" s="4"/>
      <c r="E592" s="4"/>
      <c r="F592" s="4"/>
    </row>
    <row r="593" spans="1:6">
      <c r="A593" s="4"/>
      <c r="B593" s="4"/>
      <c r="C593" s="4"/>
      <c r="D593" s="4"/>
      <c r="E593" s="4"/>
      <c r="F593" s="4"/>
    </row>
    <row r="594" spans="1:6">
      <c r="A594" s="4"/>
      <c r="B594" s="4"/>
      <c r="C594" s="4"/>
      <c r="D594" s="4"/>
      <c r="E594" s="4"/>
      <c r="F594" s="4"/>
    </row>
    <row r="595" spans="1:6">
      <c r="A595" s="4"/>
      <c r="B595" s="4"/>
      <c r="C595" s="4"/>
      <c r="D595" s="4"/>
      <c r="E595" s="4"/>
      <c r="F595" s="4"/>
    </row>
    <row r="596" spans="1:6">
      <c r="A596" s="4"/>
      <c r="B596" s="4"/>
      <c r="C596" s="4"/>
      <c r="D596" s="4"/>
      <c r="E596" s="4"/>
      <c r="F596" s="4"/>
    </row>
    <row r="597" spans="1:6">
      <c r="A597" s="4"/>
      <c r="B597" s="4"/>
      <c r="C597" s="4"/>
      <c r="D597" s="4"/>
      <c r="E597" s="4"/>
      <c r="F597" s="4"/>
    </row>
    <row r="598" spans="1:6">
      <c r="A598" s="4"/>
      <c r="B598" s="4"/>
      <c r="C598" s="4"/>
      <c r="D598" s="4"/>
      <c r="E598" s="4"/>
      <c r="F598" s="4"/>
    </row>
    <row r="599" spans="1:6">
      <c r="A599" s="4"/>
      <c r="B599" s="4"/>
      <c r="C599" s="4"/>
      <c r="D599" s="4"/>
      <c r="E599" s="4"/>
      <c r="F599" s="4"/>
    </row>
    <row r="600" spans="1:6">
      <c r="A600" s="4"/>
      <c r="B600" s="4"/>
      <c r="C600" s="4"/>
      <c r="D600" s="4"/>
      <c r="E600" s="4"/>
      <c r="F600" s="4"/>
    </row>
    <row r="601" spans="1:6">
      <c r="A601" s="4"/>
      <c r="B601" s="4"/>
      <c r="C601" s="4"/>
      <c r="D601" s="4"/>
      <c r="E601" s="4"/>
      <c r="F601" s="4"/>
    </row>
    <row r="602" spans="1:6">
      <c r="A602" s="4"/>
      <c r="B602" s="4"/>
      <c r="C602" s="4"/>
      <c r="D602" s="4"/>
      <c r="E602" s="4"/>
      <c r="F602" s="4"/>
    </row>
    <row r="603" spans="1:6">
      <c r="A603" s="4"/>
      <c r="B603" s="4"/>
      <c r="C603" s="4"/>
      <c r="D603" s="4"/>
      <c r="E603" s="4"/>
      <c r="F603" s="4"/>
    </row>
    <row r="604" spans="1:6">
      <c r="A604" s="4"/>
      <c r="B604" s="4"/>
      <c r="C604" s="4"/>
      <c r="D604" s="4"/>
      <c r="E604" s="4"/>
      <c r="F604" s="4"/>
    </row>
    <row r="605" spans="1:6">
      <c r="A605" s="4"/>
      <c r="B605" s="4"/>
      <c r="C605" s="4"/>
      <c r="D605" s="4"/>
      <c r="E605" s="4"/>
      <c r="F605" s="4"/>
    </row>
    <row r="606" spans="1:6">
      <c r="A606" s="4"/>
      <c r="B606" s="4"/>
      <c r="C606" s="4"/>
      <c r="D606" s="4"/>
      <c r="E606" s="4"/>
      <c r="F606" s="4"/>
    </row>
    <row r="607" spans="1:6">
      <c r="A607" s="4"/>
      <c r="B607" s="4"/>
      <c r="C607" s="4"/>
      <c r="D607" s="4"/>
      <c r="E607" s="4"/>
      <c r="F607" s="4"/>
    </row>
    <row r="608" spans="1:6">
      <c r="A608" s="4"/>
      <c r="B608" s="4"/>
      <c r="C608" s="4"/>
      <c r="D608" s="4"/>
      <c r="E608" s="4"/>
      <c r="F608" s="4"/>
    </row>
    <row r="609" spans="1:6">
      <c r="A609" s="4"/>
      <c r="B609" s="4"/>
      <c r="C609" s="4"/>
      <c r="D609" s="4"/>
      <c r="E609" s="4"/>
      <c r="F609" s="4"/>
    </row>
    <row r="610" spans="1:6">
      <c r="A610" s="4"/>
      <c r="B610" s="4"/>
      <c r="C610" s="4"/>
      <c r="D610" s="4"/>
      <c r="E610" s="4"/>
      <c r="F610" s="4"/>
    </row>
    <row r="611" spans="1:6">
      <c r="A611" s="4"/>
      <c r="B611" s="4"/>
      <c r="C611" s="4"/>
      <c r="D611" s="4"/>
      <c r="E611" s="4"/>
      <c r="F611" s="4"/>
    </row>
    <row r="612" spans="1:6">
      <c r="A612" s="4"/>
      <c r="B612" s="4"/>
      <c r="C612" s="4"/>
      <c r="D612" s="4"/>
      <c r="E612" s="4"/>
      <c r="F612" s="4"/>
    </row>
    <row r="613" spans="1:6">
      <c r="A613" s="4"/>
      <c r="B613" s="4"/>
      <c r="C613" s="4"/>
      <c r="D613" s="4"/>
      <c r="E613" s="4"/>
      <c r="F613" s="4"/>
    </row>
    <row r="614" spans="1:6">
      <c r="A614" s="4"/>
      <c r="B614" s="4"/>
      <c r="C614" s="4"/>
      <c r="D614" s="4"/>
      <c r="E614" s="4"/>
      <c r="F614" s="4"/>
    </row>
    <row r="615" spans="1:6">
      <c r="A615" s="4"/>
      <c r="B615" s="4"/>
      <c r="C615" s="4"/>
      <c r="D615" s="4"/>
      <c r="E615" s="4"/>
      <c r="F615" s="4"/>
    </row>
    <row r="616" spans="1:6">
      <c r="A616" s="4"/>
      <c r="B616" s="4"/>
      <c r="C616" s="4"/>
      <c r="D616" s="4"/>
      <c r="E616" s="4"/>
      <c r="F616" s="4"/>
    </row>
    <row r="617" spans="1:6">
      <c r="A617" s="4"/>
      <c r="B617" s="4"/>
      <c r="C617" s="4"/>
      <c r="D617" s="4"/>
      <c r="E617" s="4"/>
      <c r="F617" s="4"/>
    </row>
    <row r="618" spans="1:6">
      <c r="A618" s="4"/>
      <c r="B618" s="4"/>
      <c r="C618" s="4"/>
      <c r="D618" s="4"/>
      <c r="E618" s="4"/>
      <c r="F618" s="4"/>
    </row>
    <row r="619" spans="1:6">
      <c r="A619" s="4"/>
      <c r="B619" s="4"/>
      <c r="C619" s="4"/>
      <c r="D619" s="4"/>
      <c r="E619" s="4"/>
      <c r="F619" s="4"/>
    </row>
    <row r="620" spans="1:6">
      <c r="A620" s="4"/>
      <c r="B620" s="4"/>
      <c r="C620" s="4"/>
      <c r="D620" s="4"/>
      <c r="E620" s="4"/>
      <c r="F620" s="4"/>
    </row>
    <row r="621" spans="1:6">
      <c r="A621" s="4"/>
      <c r="B621" s="4"/>
      <c r="C621" s="4"/>
      <c r="D621" s="4"/>
      <c r="E621" s="4"/>
      <c r="F621" s="4"/>
    </row>
    <row r="622" spans="1:6">
      <c r="A622" s="4"/>
      <c r="B622" s="4"/>
      <c r="C622" s="4"/>
      <c r="D622" s="4"/>
      <c r="E622" s="4"/>
      <c r="F622" s="4"/>
    </row>
    <row r="623" spans="1:6">
      <c r="A623" s="4"/>
      <c r="B623" s="4"/>
      <c r="C623" s="4"/>
      <c r="D623" s="4"/>
      <c r="E623" s="4"/>
      <c r="F623" s="4"/>
    </row>
    <row r="624" spans="1:6">
      <c r="A624" s="4"/>
      <c r="B624" s="4"/>
      <c r="C624" s="4"/>
      <c r="D624" s="4"/>
      <c r="E624" s="4"/>
      <c r="F624" s="4"/>
    </row>
    <row r="625" spans="1:6">
      <c r="A625" s="4"/>
      <c r="B625" s="4"/>
      <c r="C625" s="4"/>
      <c r="D625" s="4"/>
      <c r="E625" s="4"/>
      <c r="F625" s="4"/>
    </row>
    <row r="626" spans="1:6">
      <c r="A626" s="4"/>
      <c r="B626" s="4"/>
      <c r="C626" s="4"/>
      <c r="D626" s="4"/>
      <c r="E626" s="4"/>
      <c r="F626" s="4"/>
    </row>
    <row r="627" spans="1:6">
      <c r="A627" s="4"/>
      <c r="B627" s="4"/>
      <c r="C627" s="4"/>
      <c r="D627" s="4"/>
      <c r="E627" s="4"/>
      <c r="F627" s="4"/>
    </row>
    <row r="628" spans="1:6">
      <c r="A628" s="4"/>
      <c r="B628" s="4"/>
      <c r="C628" s="4"/>
      <c r="D628" s="4"/>
      <c r="E628" s="4"/>
      <c r="F628" s="4"/>
    </row>
    <row r="629" spans="1:6">
      <c r="A629" s="4"/>
      <c r="B629" s="4"/>
      <c r="C629" s="4"/>
      <c r="D629" s="4"/>
      <c r="E629" s="4"/>
      <c r="F629" s="4"/>
    </row>
    <row r="630" spans="1:6">
      <c r="A630" s="4"/>
      <c r="B630" s="4"/>
      <c r="C630" s="4"/>
      <c r="D630" s="4"/>
      <c r="E630" s="4"/>
      <c r="F630" s="4"/>
    </row>
    <row r="631" spans="1:6">
      <c r="A631" s="4"/>
      <c r="B631" s="4"/>
      <c r="C631" s="4"/>
      <c r="D631" s="4"/>
      <c r="E631" s="4"/>
      <c r="F631" s="4"/>
    </row>
    <row r="632" spans="1:6">
      <c r="A632" s="4"/>
      <c r="B632" s="4"/>
      <c r="C632" s="4"/>
      <c r="D632" s="4"/>
      <c r="E632" s="4"/>
      <c r="F632" s="4"/>
    </row>
    <row r="633" spans="1:6">
      <c r="A633" s="4"/>
      <c r="B633" s="4"/>
      <c r="C633" s="4"/>
      <c r="D633" s="4"/>
      <c r="E633" s="4"/>
      <c r="F633" s="4"/>
    </row>
    <row r="634" spans="1:6">
      <c r="A634" s="4"/>
      <c r="B634" s="4"/>
      <c r="C634" s="4"/>
      <c r="D634" s="4"/>
      <c r="E634" s="4"/>
      <c r="F634" s="4"/>
    </row>
    <row r="635" spans="1:6">
      <c r="A635" s="4"/>
      <c r="B635" s="4"/>
      <c r="C635" s="4"/>
      <c r="D635" s="4"/>
      <c r="E635" s="4"/>
      <c r="F635" s="4"/>
    </row>
    <row r="636" spans="1:6">
      <c r="A636" s="4"/>
      <c r="B636" s="4"/>
      <c r="C636" s="4"/>
      <c r="D636" s="4"/>
      <c r="E636" s="4"/>
      <c r="F636" s="4"/>
    </row>
    <row r="637" spans="1:6">
      <c r="A637" s="4"/>
      <c r="B637" s="4"/>
      <c r="C637" s="4"/>
      <c r="D637" s="4"/>
      <c r="E637" s="4"/>
      <c r="F637" s="4"/>
    </row>
    <row r="638" spans="1:6">
      <c r="A638" s="4"/>
      <c r="B638" s="4"/>
      <c r="C638" s="4"/>
      <c r="D638" s="4"/>
      <c r="E638" s="4"/>
      <c r="F638" s="4"/>
    </row>
    <row r="639" spans="1:6">
      <c r="A639" s="4"/>
      <c r="B639" s="4"/>
      <c r="C639" s="4"/>
      <c r="D639" s="4"/>
      <c r="E639" s="4"/>
      <c r="F639" s="4"/>
    </row>
    <row r="640" spans="1:6">
      <c r="A640" s="4"/>
      <c r="B640" s="4"/>
      <c r="C640" s="4"/>
      <c r="D640" s="4"/>
      <c r="E640" s="4"/>
      <c r="F640" s="4"/>
    </row>
    <row r="641" spans="1:6">
      <c r="A641" s="4"/>
      <c r="B641" s="4"/>
      <c r="C641" s="4"/>
      <c r="D641" s="4"/>
      <c r="E641" s="4"/>
      <c r="F641" s="4"/>
    </row>
    <row r="642" spans="1:6">
      <c r="A642" s="4"/>
      <c r="B642" s="4"/>
      <c r="C642" s="4"/>
      <c r="D642" s="4"/>
      <c r="E642" s="4"/>
      <c r="F642" s="4"/>
    </row>
    <row r="643" spans="1:6">
      <c r="A643" s="4"/>
      <c r="B643" s="4"/>
      <c r="C643" s="4"/>
      <c r="D643" s="4"/>
      <c r="E643" s="4"/>
      <c r="F643" s="4"/>
    </row>
    <row r="644" spans="1:6">
      <c r="A644" s="4"/>
      <c r="B644" s="4"/>
      <c r="C644" s="4"/>
      <c r="D644" s="4"/>
      <c r="E644" s="4"/>
      <c r="F644" s="4"/>
    </row>
    <row r="645" spans="1:6">
      <c r="A645" s="4"/>
      <c r="B645" s="4"/>
      <c r="C645" s="4"/>
      <c r="D645" s="4"/>
      <c r="E645" s="4"/>
      <c r="F645" s="4"/>
    </row>
    <row r="646" spans="1:6">
      <c r="A646" s="4"/>
      <c r="B646" s="4"/>
      <c r="C646" s="4"/>
      <c r="D646" s="4"/>
      <c r="E646" s="4"/>
      <c r="F646" s="4"/>
    </row>
    <row r="647" spans="1:6">
      <c r="A647" s="4"/>
      <c r="B647" s="4"/>
      <c r="C647" s="4"/>
      <c r="D647" s="4"/>
      <c r="E647" s="4"/>
      <c r="F647" s="4"/>
    </row>
    <row r="648" spans="1:6">
      <c r="A648" s="4"/>
      <c r="B648" s="4"/>
      <c r="C648" s="4"/>
      <c r="D648" s="4"/>
      <c r="E648" s="4"/>
      <c r="F648" s="4"/>
    </row>
    <row r="649" spans="1:6">
      <c r="A649" s="4"/>
      <c r="B649" s="4"/>
      <c r="C649" s="4"/>
      <c r="D649" s="4"/>
      <c r="E649" s="4"/>
      <c r="F649" s="4"/>
    </row>
    <row r="650" spans="1:6">
      <c r="A650" s="4"/>
      <c r="B650" s="4"/>
      <c r="C650" s="4"/>
      <c r="D650" s="4"/>
      <c r="E650" s="4"/>
      <c r="F650" s="4"/>
    </row>
    <row r="651" spans="1:6">
      <c r="A651" s="4"/>
      <c r="B651" s="4"/>
      <c r="C651" s="4"/>
      <c r="D651" s="4"/>
      <c r="E651" s="4"/>
      <c r="F651" s="4"/>
    </row>
    <row r="652" spans="1:6">
      <c r="A652" s="4"/>
      <c r="B652" s="4"/>
      <c r="C652" s="4"/>
      <c r="D652" s="4"/>
      <c r="E652" s="4"/>
      <c r="F652" s="4"/>
    </row>
    <row r="653" spans="1:6">
      <c r="A653" s="4"/>
      <c r="B653" s="4"/>
      <c r="C653" s="4"/>
      <c r="D653" s="4"/>
      <c r="E653" s="4"/>
      <c r="F653" s="4"/>
    </row>
    <row r="654" spans="1:6">
      <c r="A654" s="4"/>
      <c r="B654" s="4"/>
      <c r="C654" s="4"/>
      <c r="D654" s="4"/>
      <c r="E654" s="4"/>
      <c r="F654" s="4"/>
    </row>
    <row r="655" spans="1:6">
      <c r="A655" s="4"/>
      <c r="B655" s="4"/>
      <c r="C655" s="4"/>
      <c r="D655" s="4"/>
      <c r="E655" s="4"/>
      <c r="F655" s="4"/>
    </row>
    <row r="656" spans="1:6">
      <c r="A656" s="4"/>
      <c r="B656" s="4"/>
      <c r="C656" s="4"/>
      <c r="D656" s="4"/>
      <c r="E656" s="4"/>
      <c r="F656" s="4"/>
    </row>
    <row r="657" spans="1:6">
      <c r="A657" s="4"/>
      <c r="B657" s="4"/>
      <c r="C657" s="4"/>
      <c r="D657" s="4"/>
      <c r="E657" s="4"/>
      <c r="F657" s="4"/>
    </row>
    <row r="658" spans="1:6">
      <c r="A658" s="4"/>
      <c r="B658" s="4"/>
      <c r="C658" s="4"/>
      <c r="D658" s="4"/>
      <c r="E658" s="4"/>
      <c r="F658" s="4"/>
    </row>
    <row r="659" spans="1:6">
      <c r="A659" s="4"/>
      <c r="B659" s="4"/>
      <c r="C659" s="4"/>
      <c r="D659" s="4"/>
      <c r="E659" s="4"/>
      <c r="F659" s="4"/>
    </row>
    <row r="660" spans="1:6">
      <c r="A660" s="4"/>
      <c r="B660" s="4"/>
      <c r="C660" s="4"/>
      <c r="D660" s="4"/>
      <c r="E660" s="4"/>
      <c r="F660" s="4"/>
    </row>
    <row r="661" spans="1:6">
      <c r="A661" s="4"/>
      <c r="B661" s="4"/>
      <c r="C661" s="4"/>
      <c r="D661" s="4"/>
      <c r="E661" s="4"/>
      <c r="F661" s="4"/>
    </row>
    <row r="662" spans="1:6">
      <c r="A662" s="4"/>
      <c r="B662" s="4"/>
      <c r="C662" s="4"/>
      <c r="D662" s="4"/>
      <c r="E662" s="4"/>
      <c r="F662" s="4"/>
    </row>
    <row r="663" spans="1:6">
      <c r="A663" s="4"/>
      <c r="B663" s="4"/>
      <c r="C663" s="4"/>
      <c r="D663" s="4"/>
      <c r="E663" s="4"/>
      <c r="F663" s="4"/>
    </row>
    <row r="664" spans="1:6">
      <c r="A664" s="4"/>
      <c r="B664" s="4"/>
      <c r="C664" s="4"/>
      <c r="D664" s="4"/>
      <c r="E664" s="4"/>
      <c r="F664" s="4"/>
    </row>
    <row r="665" spans="1:6">
      <c r="A665" s="4"/>
      <c r="B665" s="4"/>
      <c r="C665" s="4"/>
      <c r="D665" s="4"/>
      <c r="E665" s="4"/>
      <c r="F665" s="4"/>
    </row>
    <row r="666" spans="1:6">
      <c r="A666" s="4"/>
      <c r="B666" s="4"/>
      <c r="C666" s="4"/>
      <c r="D666" s="4"/>
      <c r="E666" s="4"/>
      <c r="F666" s="4"/>
    </row>
    <row r="667" spans="1:6">
      <c r="A667" s="4"/>
      <c r="B667" s="4"/>
      <c r="C667" s="4"/>
      <c r="D667" s="4"/>
      <c r="E667" s="4"/>
      <c r="F667" s="4"/>
    </row>
    <row r="668" spans="1:6">
      <c r="A668" s="4"/>
      <c r="B668" s="4"/>
      <c r="C668" s="4"/>
      <c r="D668" s="4"/>
      <c r="E668" s="4"/>
      <c r="F668" s="4"/>
    </row>
    <row r="669" spans="1:6">
      <c r="A669" s="4"/>
      <c r="B669" s="4"/>
      <c r="C669" s="4"/>
      <c r="D669" s="4"/>
      <c r="E669" s="4"/>
      <c r="F669" s="4"/>
    </row>
    <row r="670" spans="1:6">
      <c r="A670" s="4"/>
      <c r="B670" s="4"/>
      <c r="C670" s="4"/>
      <c r="D670" s="4"/>
      <c r="E670" s="4"/>
      <c r="F670" s="4"/>
    </row>
    <row r="671" spans="1:6">
      <c r="A671" s="4"/>
      <c r="B671" s="4"/>
      <c r="C671" s="4"/>
      <c r="D671" s="4"/>
      <c r="E671" s="4"/>
      <c r="F671" s="4"/>
    </row>
    <row r="672" spans="1:6">
      <c r="A672" s="4"/>
      <c r="B672" s="4"/>
      <c r="C672" s="4"/>
      <c r="D672" s="4"/>
      <c r="E672" s="4"/>
      <c r="F672" s="4"/>
    </row>
    <row r="673" spans="1:6">
      <c r="A673" s="4"/>
      <c r="B673" s="4"/>
      <c r="C673" s="4"/>
      <c r="D673" s="4"/>
      <c r="E673" s="4"/>
      <c r="F673" s="4"/>
    </row>
    <row r="674" spans="1:6">
      <c r="A674" s="4"/>
      <c r="B674" s="4"/>
      <c r="C674" s="4"/>
      <c r="D674" s="4"/>
      <c r="E674" s="4"/>
      <c r="F674" s="4"/>
    </row>
    <row r="675" spans="1:6">
      <c r="A675" s="4"/>
      <c r="B675" s="4"/>
      <c r="C675" s="4"/>
      <c r="D675" s="4"/>
      <c r="E675" s="4"/>
      <c r="F675" s="4"/>
    </row>
    <row r="676" spans="1:6">
      <c r="A676" s="4"/>
      <c r="B676" s="4"/>
      <c r="C676" s="4"/>
      <c r="D676" s="4"/>
      <c r="E676" s="4"/>
      <c r="F676" s="4"/>
    </row>
    <row r="677" spans="1:6">
      <c r="A677" s="4"/>
      <c r="B677" s="4"/>
      <c r="C677" s="4"/>
      <c r="D677" s="4"/>
      <c r="E677" s="4"/>
      <c r="F677" s="4"/>
    </row>
    <row r="678" spans="1:6">
      <c r="A678" s="4"/>
      <c r="B678" s="4"/>
      <c r="C678" s="4"/>
      <c r="D678" s="4"/>
      <c r="E678" s="4"/>
      <c r="F678" s="4"/>
    </row>
    <row r="679" spans="1:6">
      <c r="A679" s="4"/>
      <c r="B679" s="4"/>
      <c r="C679" s="4"/>
      <c r="D679" s="4"/>
      <c r="E679" s="4"/>
      <c r="F679" s="4"/>
    </row>
    <row r="680" spans="1:6">
      <c r="A680" s="4"/>
      <c r="B680" s="4"/>
      <c r="C680" s="4"/>
      <c r="D680" s="4"/>
      <c r="E680" s="4"/>
      <c r="F680" s="4"/>
    </row>
    <row r="681" spans="1:6">
      <c r="A681" s="4"/>
      <c r="B681" s="4"/>
      <c r="C681" s="4"/>
      <c r="D681" s="4"/>
      <c r="E681" s="4"/>
      <c r="F681" s="4"/>
    </row>
    <row r="682" spans="1:6">
      <c r="A682" s="4"/>
      <c r="B682" s="4"/>
      <c r="C682" s="4"/>
      <c r="D682" s="4"/>
      <c r="E682" s="4"/>
      <c r="F682" s="4"/>
    </row>
    <row r="683" spans="1:6">
      <c r="A683" s="4"/>
      <c r="B683" s="4"/>
      <c r="C683" s="4"/>
      <c r="D683" s="4"/>
      <c r="E683" s="4"/>
      <c r="F683" s="4"/>
    </row>
    <row r="684" spans="1:6">
      <c r="A684" s="4"/>
      <c r="B684" s="4"/>
      <c r="C684" s="4"/>
      <c r="D684" s="4"/>
      <c r="E684" s="4"/>
      <c r="F684" s="4"/>
    </row>
    <row r="685" spans="1:6">
      <c r="A685" s="4"/>
      <c r="B685" s="4"/>
      <c r="C685" s="4"/>
      <c r="D685" s="4"/>
      <c r="E685" s="4"/>
      <c r="F685" s="4"/>
    </row>
    <row r="686" spans="1:6">
      <c r="A686" s="4"/>
      <c r="B686" s="4"/>
      <c r="C686" s="4"/>
      <c r="D686" s="4"/>
      <c r="E686" s="4"/>
      <c r="F686" s="4"/>
    </row>
    <row r="687" spans="1:6">
      <c r="A687" s="4"/>
      <c r="B687" s="4"/>
      <c r="C687" s="4"/>
      <c r="D687" s="4"/>
      <c r="E687" s="4"/>
      <c r="F687" s="4"/>
    </row>
    <row r="688" spans="1:6">
      <c r="A688" s="4"/>
      <c r="B688" s="4"/>
      <c r="C688" s="4"/>
      <c r="D688" s="4"/>
      <c r="E688" s="4"/>
      <c r="F688" s="4"/>
    </row>
    <row r="689" spans="1:6">
      <c r="A689" s="4"/>
      <c r="B689" s="4"/>
      <c r="C689" s="4"/>
      <c r="D689" s="4"/>
      <c r="E689" s="4"/>
      <c r="F689" s="4"/>
    </row>
    <row r="690" spans="1:6">
      <c r="A690" s="4"/>
      <c r="B690" s="4"/>
      <c r="C690" s="4"/>
      <c r="D690" s="4"/>
      <c r="E690" s="4"/>
      <c r="F690" s="4"/>
    </row>
    <row r="691" spans="1:6">
      <c r="A691" s="4"/>
      <c r="B691" s="4"/>
      <c r="C691" s="4"/>
      <c r="D691" s="4"/>
      <c r="E691" s="4"/>
      <c r="F691" s="4"/>
    </row>
    <row r="692" spans="1:6">
      <c r="A692" s="4"/>
      <c r="B692" s="4"/>
      <c r="C692" s="4"/>
      <c r="D692" s="4"/>
      <c r="E692" s="4"/>
      <c r="F692" s="4"/>
    </row>
    <row r="693" spans="1:6">
      <c r="A693" s="4"/>
      <c r="B693" s="4"/>
      <c r="C693" s="4"/>
      <c r="D693" s="4"/>
      <c r="E693" s="4"/>
      <c r="F693" s="4"/>
    </row>
    <row r="694" spans="1:6">
      <c r="A694" s="4"/>
      <c r="B694" s="4"/>
      <c r="C694" s="4"/>
      <c r="D694" s="4"/>
      <c r="E694" s="4"/>
      <c r="F694" s="4"/>
    </row>
    <row r="695" spans="1:6">
      <c r="A695" s="4"/>
      <c r="B695" s="4"/>
      <c r="C695" s="4"/>
      <c r="D695" s="4"/>
      <c r="E695" s="4"/>
      <c r="F695" s="4"/>
    </row>
    <row r="696" spans="1:6">
      <c r="A696" s="4"/>
      <c r="B696" s="4"/>
      <c r="C696" s="4"/>
      <c r="D696" s="4"/>
      <c r="E696" s="4"/>
      <c r="F696" s="4"/>
    </row>
    <row r="697" spans="1:6">
      <c r="A697" s="4"/>
      <c r="B697" s="4"/>
      <c r="C697" s="4"/>
      <c r="D697" s="4"/>
      <c r="E697" s="4"/>
      <c r="F697" s="4"/>
    </row>
    <row r="698" spans="1:6">
      <c r="A698" s="4"/>
      <c r="B698" s="4"/>
      <c r="C698" s="4"/>
      <c r="D698" s="4"/>
      <c r="E698" s="4"/>
      <c r="F698" s="4"/>
    </row>
    <row r="699" spans="1:6">
      <c r="A699" s="4"/>
      <c r="B699" s="4"/>
      <c r="C699" s="4"/>
      <c r="D699" s="4"/>
      <c r="E699" s="4"/>
      <c r="F699" s="4"/>
    </row>
    <row r="700" spans="1:6">
      <c r="A700" s="4"/>
      <c r="B700" s="4"/>
      <c r="C700" s="4"/>
      <c r="D700" s="4"/>
      <c r="E700" s="4"/>
      <c r="F700" s="4"/>
    </row>
    <row r="701" spans="1:6">
      <c r="A701" s="4"/>
      <c r="B701" s="4"/>
      <c r="C701" s="4"/>
      <c r="D701" s="4"/>
      <c r="E701" s="4"/>
      <c r="F701" s="4"/>
    </row>
    <row r="702" spans="1:6">
      <c r="A702" s="4"/>
      <c r="B702" s="4"/>
      <c r="C702" s="4"/>
      <c r="D702" s="4"/>
      <c r="E702" s="4"/>
      <c r="F702" s="4"/>
    </row>
    <row r="703" spans="1:6">
      <c r="A703" s="4"/>
      <c r="B703" s="4"/>
      <c r="C703" s="4"/>
      <c r="D703" s="4"/>
      <c r="E703" s="4"/>
      <c r="F703" s="4"/>
    </row>
    <row r="704" spans="1:6">
      <c r="A704" s="4"/>
      <c r="B704" s="4"/>
      <c r="C704" s="4"/>
      <c r="D704" s="4"/>
      <c r="E704" s="4"/>
      <c r="F704" s="4"/>
    </row>
    <row r="705" spans="1:6">
      <c r="A705" s="4"/>
      <c r="B705" s="4"/>
      <c r="C705" s="4"/>
      <c r="D705" s="4"/>
      <c r="E705" s="4"/>
      <c r="F705" s="4"/>
    </row>
    <row r="706" spans="1:6">
      <c r="A706" s="4"/>
      <c r="B706" s="4"/>
      <c r="C706" s="4"/>
      <c r="D706" s="4"/>
      <c r="E706" s="4"/>
      <c r="F706" s="4"/>
    </row>
    <row r="707" spans="1:6">
      <c r="A707" s="4"/>
      <c r="B707" s="4"/>
      <c r="C707" s="4"/>
      <c r="D707" s="4"/>
      <c r="E707" s="4"/>
      <c r="F707" s="4"/>
    </row>
    <row r="708" spans="1:6">
      <c r="A708" s="4"/>
      <c r="B708" s="4"/>
      <c r="C708" s="4"/>
      <c r="D708" s="4"/>
      <c r="E708" s="4"/>
      <c r="F708" s="4"/>
    </row>
    <row r="709" spans="1:6">
      <c r="A709" s="4"/>
      <c r="B709" s="4"/>
      <c r="C709" s="4"/>
      <c r="D709" s="4"/>
      <c r="E709" s="4"/>
      <c r="F709" s="4"/>
    </row>
    <row r="710" spans="1:6">
      <c r="A710" s="4"/>
      <c r="B710" s="4"/>
      <c r="C710" s="4"/>
      <c r="D710" s="4"/>
      <c r="E710" s="4"/>
      <c r="F710" s="4"/>
    </row>
    <row r="711" spans="1:6">
      <c r="A711" s="4"/>
      <c r="B711" s="4"/>
      <c r="C711" s="4"/>
      <c r="D711" s="4"/>
      <c r="E711" s="4"/>
      <c r="F711" s="4"/>
    </row>
    <row r="712" spans="1:6">
      <c r="A712" s="4"/>
      <c r="B712" s="4"/>
      <c r="C712" s="4"/>
      <c r="D712" s="4"/>
      <c r="E712" s="4"/>
      <c r="F712" s="4"/>
    </row>
    <row r="713" spans="1:6">
      <c r="A713" s="4"/>
      <c r="B713" s="4"/>
      <c r="C713" s="4"/>
      <c r="D713" s="4"/>
      <c r="E713" s="4"/>
      <c r="F713" s="4"/>
    </row>
    <row r="714" spans="1:6">
      <c r="A714" s="4"/>
      <c r="B714" s="4"/>
      <c r="C714" s="4"/>
      <c r="D714" s="4"/>
      <c r="E714" s="4"/>
      <c r="F714" s="4"/>
    </row>
    <row r="715" spans="1:6">
      <c r="A715" s="4"/>
      <c r="B715" s="4"/>
      <c r="C715" s="4"/>
      <c r="D715" s="4"/>
      <c r="E715" s="4"/>
      <c r="F715" s="4"/>
    </row>
    <row r="716" spans="1:6">
      <c r="A716" s="4"/>
      <c r="B716" s="4"/>
      <c r="C716" s="4"/>
      <c r="D716" s="4"/>
      <c r="E716" s="4"/>
      <c r="F716" s="4"/>
    </row>
    <row r="717" spans="1:6">
      <c r="A717" s="4"/>
      <c r="B717" s="4"/>
      <c r="C717" s="4"/>
      <c r="D717" s="4"/>
      <c r="E717" s="4"/>
      <c r="F717" s="4"/>
    </row>
    <row r="718" spans="1:6">
      <c r="A718" s="4"/>
      <c r="B718" s="4"/>
      <c r="C718" s="4"/>
      <c r="D718" s="4"/>
      <c r="E718" s="4"/>
      <c r="F718" s="4"/>
    </row>
    <row r="719" spans="1:6">
      <c r="A719" s="4"/>
      <c r="B719" s="4"/>
      <c r="C719" s="4"/>
      <c r="D719" s="4"/>
      <c r="E719" s="4"/>
      <c r="F719" s="4"/>
    </row>
    <row r="720" spans="1:6">
      <c r="A720" s="4"/>
      <c r="B720" s="4"/>
      <c r="C720" s="4"/>
      <c r="D720" s="4"/>
      <c r="E720" s="4"/>
      <c r="F720" s="4"/>
    </row>
    <row r="721" spans="1:6">
      <c r="A721" s="4"/>
      <c r="B721" s="4"/>
      <c r="C721" s="4"/>
      <c r="D721" s="4"/>
      <c r="E721" s="4"/>
      <c r="F721" s="4"/>
    </row>
    <row r="722" spans="1:6">
      <c r="A722" s="4"/>
      <c r="B722" s="4"/>
      <c r="C722" s="4"/>
      <c r="D722" s="4"/>
      <c r="E722" s="4"/>
      <c r="F722" s="4"/>
    </row>
    <row r="723" spans="1:6">
      <c r="A723" s="4"/>
      <c r="B723" s="4"/>
      <c r="C723" s="4"/>
      <c r="D723" s="4"/>
      <c r="E723" s="4"/>
      <c r="F723" s="4"/>
    </row>
    <row r="724" spans="1:6">
      <c r="A724" s="4"/>
      <c r="B724" s="4"/>
      <c r="C724" s="4"/>
      <c r="D724" s="4"/>
      <c r="E724" s="4"/>
      <c r="F724" s="4"/>
    </row>
    <row r="725" spans="1:6">
      <c r="A725" s="4"/>
      <c r="B725" s="4"/>
      <c r="C725" s="4"/>
      <c r="D725" s="4"/>
      <c r="E725" s="4"/>
      <c r="F725" s="4"/>
    </row>
    <row r="726" spans="1:6">
      <c r="A726" s="4"/>
      <c r="B726" s="4"/>
      <c r="C726" s="4"/>
      <c r="D726" s="4"/>
      <c r="E726" s="4"/>
      <c r="F726" s="4"/>
    </row>
    <row r="727" spans="1:6">
      <c r="A727" s="4"/>
      <c r="B727" s="4"/>
      <c r="C727" s="4"/>
      <c r="D727" s="4"/>
      <c r="E727" s="4"/>
      <c r="F727" s="4"/>
    </row>
    <row r="728" spans="1:6">
      <c r="A728" s="4"/>
      <c r="B728" s="4"/>
      <c r="C728" s="4"/>
      <c r="D728" s="4"/>
      <c r="E728" s="4"/>
      <c r="F728" s="4"/>
    </row>
    <row r="729" spans="1:6">
      <c r="A729" s="4"/>
      <c r="B729" s="4"/>
      <c r="C729" s="4"/>
      <c r="D729" s="4"/>
      <c r="E729" s="4"/>
      <c r="F729" s="4"/>
    </row>
    <row r="730" spans="1:6">
      <c r="A730" s="4"/>
      <c r="B730" s="4"/>
      <c r="C730" s="4"/>
      <c r="D730" s="4"/>
      <c r="E730" s="4"/>
      <c r="F730" s="4"/>
    </row>
    <row r="731" spans="1:6">
      <c r="A731" s="4"/>
      <c r="B731" s="4"/>
      <c r="C731" s="4"/>
      <c r="D731" s="4"/>
      <c r="E731" s="4"/>
      <c r="F731" s="4"/>
    </row>
    <row r="732" spans="1:6">
      <c r="A732" s="4"/>
      <c r="B732" s="4"/>
      <c r="C732" s="4"/>
      <c r="D732" s="4"/>
      <c r="E732" s="4"/>
      <c r="F732" s="4"/>
    </row>
    <row r="733" spans="1:6">
      <c r="A733" s="4"/>
      <c r="B733" s="4"/>
      <c r="C733" s="4"/>
      <c r="D733" s="4"/>
      <c r="E733" s="4"/>
      <c r="F733" s="4"/>
    </row>
    <row r="734" spans="1:6">
      <c r="A734" s="4"/>
      <c r="B734" s="4"/>
      <c r="C734" s="4"/>
      <c r="D734" s="4"/>
      <c r="E734" s="4"/>
      <c r="F734" s="4"/>
    </row>
    <row r="735" spans="1:6">
      <c r="A735" s="4"/>
      <c r="B735" s="4"/>
      <c r="C735" s="4"/>
      <c r="D735" s="4"/>
      <c r="E735" s="4"/>
      <c r="F735" s="4"/>
    </row>
    <row r="736" spans="1:6">
      <c r="A736" s="4"/>
      <c r="B736" s="4"/>
      <c r="C736" s="4"/>
      <c r="D736" s="4"/>
      <c r="E736" s="4"/>
      <c r="F736" s="4"/>
    </row>
    <row r="737" spans="1:6">
      <c r="A737" s="4"/>
      <c r="B737" s="4"/>
      <c r="C737" s="4"/>
      <c r="D737" s="4"/>
      <c r="E737" s="4"/>
      <c r="F737" s="4"/>
    </row>
    <row r="738" spans="1:6">
      <c r="A738" s="4"/>
      <c r="B738" s="4"/>
      <c r="C738" s="4"/>
      <c r="D738" s="4"/>
      <c r="E738" s="4"/>
      <c r="F738" s="4"/>
    </row>
    <row r="739" spans="1:6">
      <c r="A739" s="4"/>
      <c r="B739" s="4"/>
      <c r="C739" s="4"/>
      <c r="D739" s="4"/>
      <c r="E739" s="4"/>
      <c r="F739" s="4"/>
    </row>
    <row r="740" spans="1:6">
      <c r="A740" s="4"/>
      <c r="B740" s="4"/>
      <c r="C740" s="4"/>
      <c r="D740" s="4"/>
      <c r="E740" s="4"/>
      <c r="F740" s="4"/>
    </row>
    <row r="741" spans="1:6">
      <c r="A741" s="4"/>
      <c r="B741" s="4"/>
      <c r="C741" s="4"/>
      <c r="D741" s="4"/>
      <c r="E741" s="4"/>
      <c r="F741" s="4"/>
    </row>
    <row r="742" spans="1:6">
      <c r="A742" s="4"/>
      <c r="B742" s="4"/>
      <c r="C742" s="4"/>
      <c r="D742" s="4"/>
      <c r="E742" s="4"/>
      <c r="F742" s="4"/>
    </row>
    <row r="743" spans="1:6">
      <c r="A743" s="4"/>
      <c r="B743" s="4"/>
      <c r="C743" s="4"/>
      <c r="D743" s="4"/>
      <c r="E743" s="4"/>
      <c r="F743" s="4"/>
    </row>
    <row r="744" spans="1:6">
      <c r="A744" s="4"/>
      <c r="B744" s="4"/>
      <c r="C744" s="4"/>
      <c r="D744" s="4"/>
      <c r="E744" s="4"/>
      <c r="F744" s="4"/>
    </row>
    <row r="745" spans="1:6">
      <c r="A745" s="4"/>
      <c r="B745" s="4"/>
      <c r="C745" s="4"/>
      <c r="D745" s="4"/>
      <c r="E745" s="4"/>
      <c r="F745" s="4"/>
    </row>
    <row r="746" spans="1:6">
      <c r="A746" s="4"/>
      <c r="B746" s="4"/>
      <c r="C746" s="4"/>
      <c r="D746" s="4"/>
      <c r="E746" s="4"/>
      <c r="F746" s="4"/>
    </row>
    <row r="747" spans="1:6">
      <c r="A747" s="4"/>
      <c r="B747" s="4"/>
      <c r="C747" s="4"/>
      <c r="D747" s="4"/>
      <c r="E747" s="4"/>
      <c r="F747" s="4"/>
    </row>
    <row r="748" spans="1:6">
      <c r="A748" s="4"/>
      <c r="B748" s="4"/>
      <c r="C748" s="4"/>
      <c r="D748" s="4"/>
      <c r="E748" s="4"/>
      <c r="F748" s="4"/>
    </row>
    <row r="749" spans="1:6">
      <c r="A749" s="4"/>
      <c r="B749" s="4"/>
      <c r="C749" s="4"/>
      <c r="D749" s="4"/>
      <c r="E749" s="4"/>
      <c r="F749" s="4"/>
    </row>
    <row r="750" spans="1:6">
      <c r="A750" s="4"/>
      <c r="B750" s="4"/>
      <c r="C750" s="4"/>
      <c r="D750" s="4"/>
      <c r="E750" s="4"/>
      <c r="F750" s="4"/>
    </row>
    <row r="751" spans="1:6">
      <c r="A751" s="4"/>
      <c r="B751" s="4"/>
      <c r="C751" s="4"/>
      <c r="D751" s="4"/>
      <c r="E751" s="4"/>
      <c r="F751" s="4"/>
    </row>
    <row r="752" spans="1:6">
      <c r="A752" s="4"/>
      <c r="B752" s="4"/>
      <c r="C752" s="4"/>
      <c r="D752" s="4"/>
      <c r="E752" s="4"/>
      <c r="F752" s="4"/>
    </row>
    <row r="753" spans="1:6">
      <c r="A753" s="4"/>
      <c r="B753" s="4"/>
      <c r="C753" s="4"/>
      <c r="D753" s="4"/>
      <c r="E753" s="4"/>
      <c r="F753" s="4"/>
    </row>
    <row r="754" spans="1:6">
      <c r="A754" s="4"/>
      <c r="B754" s="4"/>
      <c r="C754" s="4"/>
      <c r="D754" s="4"/>
      <c r="E754" s="4"/>
      <c r="F754" s="4"/>
    </row>
    <row r="755" spans="1:6">
      <c r="A755" s="4"/>
      <c r="B755" s="4"/>
      <c r="C755" s="4"/>
      <c r="D755" s="4"/>
      <c r="E755" s="4"/>
      <c r="F755" s="4"/>
    </row>
    <row r="756" spans="1:6">
      <c r="A756" s="4"/>
      <c r="B756" s="4"/>
      <c r="C756" s="4"/>
      <c r="D756" s="4"/>
      <c r="E756" s="4"/>
      <c r="F756" s="4"/>
    </row>
    <row r="757" spans="1:6">
      <c r="A757" s="4"/>
      <c r="B757" s="4"/>
      <c r="C757" s="4"/>
      <c r="D757" s="4"/>
      <c r="E757" s="4"/>
      <c r="F757" s="4"/>
    </row>
    <row r="758" spans="1:6">
      <c r="A758" s="4"/>
      <c r="B758" s="4"/>
      <c r="C758" s="4"/>
      <c r="D758" s="4"/>
      <c r="E758" s="4"/>
      <c r="F758" s="4"/>
    </row>
    <row r="759" spans="1:6">
      <c r="A759" s="4"/>
      <c r="B759" s="4"/>
      <c r="C759" s="4"/>
      <c r="D759" s="4"/>
      <c r="E759" s="4"/>
      <c r="F759" s="4"/>
    </row>
    <row r="760" spans="1:6">
      <c r="A760" s="4"/>
      <c r="B760" s="4"/>
      <c r="C760" s="4"/>
      <c r="D760" s="4"/>
      <c r="E760" s="4"/>
      <c r="F760" s="4"/>
    </row>
    <row r="761" spans="1:6">
      <c r="A761" s="4"/>
      <c r="B761" s="4"/>
      <c r="C761" s="4"/>
      <c r="D761" s="4"/>
      <c r="E761" s="4"/>
      <c r="F761" s="4"/>
    </row>
    <row r="762" spans="1:6">
      <c r="A762" s="4"/>
      <c r="B762" s="4"/>
      <c r="C762" s="4"/>
      <c r="D762" s="4"/>
      <c r="E762" s="4"/>
      <c r="F762" s="4"/>
    </row>
    <row r="763" spans="1:6">
      <c r="A763" s="4"/>
      <c r="B763" s="4"/>
      <c r="C763" s="4"/>
      <c r="D763" s="4"/>
      <c r="E763" s="4"/>
      <c r="F763" s="4"/>
    </row>
    <row r="764" spans="1:6">
      <c r="A764" s="4"/>
      <c r="B764" s="4"/>
      <c r="C764" s="4"/>
      <c r="D764" s="4"/>
      <c r="E764" s="4"/>
      <c r="F764" s="4"/>
    </row>
    <row r="765" spans="1:6">
      <c r="A765" s="4"/>
      <c r="B765" s="4"/>
      <c r="C765" s="4"/>
      <c r="D765" s="4"/>
      <c r="E765" s="4"/>
      <c r="F765" s="4"/>
    </row>
    <row r="766" spans="1:6">
      <c r="A766" s="4"/>
      <c r="B766" s="4"/>
      <c r="C766" s="4"/>
      <c r="D766" s="4"/>
      <c r="E766" s="4"/>
      <c r="F766" s="4"/>
    </row>
    <row r="767" spans="1:6">
      <c r="A767" s="4"/>
      <c r="B767" s="4"/>
      <c r="C767" s="4"/>
      <c r="D767" s="4"/>
      <c r="E767" s="4"/>
      <c r="F767" s="4"/>
    </row>
    <row r="768" spans="1:6">
      <c r="A768" s="4"/>
      <c r="B768" s="4"/>
      <c r="C768" s="4"/>
      <c r="D768" s="4"/>
      <c r="E768" s="4"/>
      <c r="F768" s="4"/>
    </row>
    <row r="769" spans="1:6">
      <c r="A769" s="4"/>
      <c r="B769" s="4"/>
      <c r="C769" s="4"/>
      <c r="D769" s="4"/>
      <c r="E769" s="4"/>
      <c r="F769" s="4"/>
    </row>
    <row r="770" spans="1:6">
      <c r="A770" s="4"/>
      <c r="B770" s="4"/>
      <c r="C770" s="4"/>
      <c r="D770" s="4"/>
      <c r="E770" s="4"/>
      <c r="F770" s="4"/>
    </row>
    <row r="771" spans="1:6">
      <c r="A771" s="4"/>
      <c r="B771" s="4"/>
      <c r="C771" s="4"/>
      <c r="D771" s="4"/>
      <c r="E771" s="4"/>
      <c r="F771" s="4"/>
    </row>
    <row r="772" spans="1:6">
      <c r="A772" s="4"/>
      <c r="B772" s="4"/>
      <c r="C772" s="4"/>
      <c r="D772" s="4"/>
      <c r="E772" s="4"/>
      <c r="F772" s="4"/>
    </row>
    <row r="773" spans="1:6">
      <c r="A773" s="4"/>
      <c r="B773" s="4"/>
      <c r="C773" s="4"/>
      <c r="D773" s="4"/>
      <c r="E773" s="4"/>
      <c r="F773" s="4"/>
    </row>
    <row r="774" spans="1:6">
      <c r="A774" s="4"/>
      <c r="B774" s="4"/>
      <c r="C774" s="4"/>
      <c r="D774" s="4"/>
      <c r="E774" s="4"/>
      <c r="F774" s="4"/>
    </row>
    <row r="775" spans="1:6">
      <c r="A775" s="4"/>
      <c r="B775" s="4"/>
      <c r="C775" s="4"/>
      <c r="D775" s="4"/>
      <c r="E775" s="4"/>
      <c r="F775" s="4"/>
    </row>
    <row r="776" spans="1:6">
      <c r="A776" s="4"/>
      <c r="B776" s="4"/>
      <c r="C776" s="4"/>
      <c r="D776" s="4"/>
      <c r="E776" s="4"/>
      <c r="F776" s="4"/>
    </row>
    <row r="777" spans="1:6">
      <c r="A777" s="4"/>
      <c r="B777" s="4"/>
      <c r="C777" s="4"/>
      <c r="D777" s="4"/>
      <c r="E777" s="4"/>
      <c r="F777" s="4"/>
    </row>
    <row r="778" spans="1:6">
      <c r="A778" s="4"/>
      <c r="B778" s="4"/>
      <c r="C778" s="4"/>
      <c r="D778" s="4"/>
      <c r="E778" s="4"/>
      <c r="F778" s="4"/>
    </row>
    <row r="779" spans="1:6">
      <c r="A779" s="4"/>
      <c r="B779" s="4"/>
      <c r="C779" s="4"/>
      <c r="D779" s="4"/>
      <c r="E779" s="4"/>
      <c r="F779" s="4"/>
    </row>
    <row r="780" spans="1:6">
      <c r="A780" s="4"/>
      <c r="B780" s="4"/>
      <c r="C780" s="4"/>
      <c r="D780" s="4"/>
      <c r="E780" s="4"/>
      <c r="F780" s="4"/>
    </row>
    <row r="781" spans="1:6">
      <c r="A781" s="4"/>
      <c r="B781" s="4"/>
      <c r="C781" s="4"/>
      <c r="D781" s="4"/>
      <c r="E781" s="4"/>
      <c r="F781" s="4"/>
    </row>
    <row r="782" spans="1:6">
      <c r="A782" s="4"/>
      <c r="B782" s="4"/>
      <c r="C782" s="4"/>
      <c r="D782" s="4"/>
      <c r="E782" s="4"/>
      <c r="F782" s="4"/>
    </row>
    <row r="783" spans="1:6">
      <c r="A783" s="4"/>
      <c r="B783" s="4"/>
      <c r="C783" s="4"/>
      <c r="D783" s="4"/>
      <c r="E783" s="4"/>
      <c r="F783" s="4"/>
    </row>
    <row r="784" spans="1:6">
      <c r="A784" s="4"/>
      <c r="B784" s="4"/>
      <c r="C784" s="4"/>
      <c r="D784" s="4"/>
      <c r="E784" s="4"/>
      <c r="F784" s="4"/>
    </row>
    <row r="785" spans="1:6">
      <c r="A785" s="4"/>
      <c r="B785" s="4"/>
      <c r="C785" s="4"/>
      <c r="D785" s="4"/>
      <c r="E785" s="4"/>
      <c r="F785" s="4"/>
    </row>
    <row r="786" spans="1:6">
      <c r="A786" s="4"/>
      <c r="B786" s="4"/>
      <c r="C786" s="4"/>
      <c r="D786" s="4"/>
      <c r="E786" s="4"/>
      <c r="F786" s="4"/>
    </row>
    <row r="787" spans="1:6">
      <c r="A787" s="4"/>
      <c r="B787" s="4"/>
      <c r="C787" s="4"/>
      <c r="D787" s="4"/>
      <c r="E787" s="4"/>
      <c r="F787" s="4"/>
    </row>
    <row r="788" spans="1:6">
      <c r="A788" s="4"/>
      <c r="B788" s="4"/>
      <c r="C788" s="4"/>
      <c r="D788" s="4"/>
      <c r="E788" s="4"/>
      <c r="F788" s="4"/>
    </row>
    <row r="789" spans="1:6">
      <c r="A789" s="4"/>
      <c r="B789" s="4"/>
      <c r="C789" s="4"/>
      <c r="D789" s="4"/>
      <c r="E789" s="4"/>
      <c r="F789" s="4"/>
    </row>
    <row r="790" spans="1:6">
      <c r="A790" s="4"/>
      <c r="B790" s="4"/>
      <c r="C790" s="4"/>
      <c r="D790" s="4"/>
      <c r="E790" s="4"/>
      <c r="F790" s="4"/>
    </row>
    <row r="791" spans="1:6">
      <c r="A791" s="4"/>
      <c r="B791" s="4"/>
      <c r="C791" s="4"/>
      <c r="D791" s="4"/>
      <c r="E791" s="4"/>
      <c r="F791" s="4"/>
    </row>
    <row r="792" spans="1:6">
      <c r="A792" s="4"/>
      <c r="B792" s="4"/>
      <c r="C792" s="4"/>
      <c r="D792" s="4"/>
      <c r="E792" s="4"/>
      <c r="F792" s="4"/>
    </row>
    <row r="793" spans="1:6">
      <c r="A793" s="4"/>
      <c r="B793" s="4"/>
      <c r="C793" s="4"/>
      <c r="D793" s="4"/>
      <c r="E793" s="4"/>
      <c r="F793" s="4"/>
    </row>
    <row r="794" spans="1:6">
      <c r="A794" s="4"/>
      <c r="B794" s="4"/>
      <c r="C794" s="4"/>
      <c r="D794" s="4"/>
      <c r="E794" s="4"/>
      <c r="F794" s="4"/>
    </row>
    <row r="795" spans="1:6">
      <c r="A795" s="4"/>
      <c r="B795" s="4"/>
      <c r="C795" s="4"/>
      <c r="D795" s="4"/>
      <c r="E795" s="4"/>
      <c r="F795" s="4"/>
    </row>
    <row r="796" spans="1:6">
      <c r="A796" s="4"/>
      <c r="B796" s="4"/>
      <c r="C796" s="4"/>
      <c r="D796" s="4"/>
      <c r="E796" s="4"/>
      <c r="F796" s="4"/>
    </row>
    <row r="797" spans="1:6">
      <c r="A797" s="4"/>
      <c r="B797" s="4"/>
      <c r="C797" s="4"/>
      <c r="D797" s="4"/>
      <c r="E797" s="4"/>
      <c r="F797" s="4"/>
    </row>
    <row r="798" spans="1:6">
      <c r="A798" s="4"/>
      <c r="B798" s="4"/>
      <c r="C798" s="4"/>
      <c r="D798" s="4"/>
      <c r="E798" s="4"/>
      <c r="F798" s="4"/>
    </row>
    <row r="799" spans="1:6">
      <c r="A799" s="4"/>
      <c r="B799" s="4"/>
      <c r="C799" s="4"/>
      <c r="D799" s="4"/>
      <c r="E799" s="4"/>
      <c r="F799" s="4"/>
    </row>
    <row r="800" spans="1:6">
      <c r="A800" s="4"/>
      <c r="B800" s="4"/>
      <c r="C800" s="4"/>
      <c r="D800" s="4"/>
      <c r="E800" s="4"/>
      <c r="F800" s="4"/>
    </row>
    <row r="801" spans="1:6">
      <c r="A801" s="4"/>
      <c r="B801" s="4"/>
      <c r="C801" s="4"/>
      <c r="D801" s="4"/>
      <c r="E801" s="4"/>
      <c r="F801" s="4"/>
    </row>
    <row r="802" spans="1:6">
      <c r="A802" s="4"/>
      <c r="B802" s="4"/>
      <c r="C802" s="4"/>
      <c r="D802" s="4"/>
      <c r="E802" s="4"/>
      <c r="F802" s="4"/>
    </row>
    <row r="803" spans="1:6">
      <c r="A803" s="4"/>
      <c r="B803" s="4"/>
      <c r="C803" s="4"/>
      <c r="D803" s="4"/>
      <c r="E803" s="4"/>
      <c r="F803" s="4"/>
    </row>
    <row r="804" spans="1:6">
      <c r="A804" s="4"/>
      <c r="B804" s="4"/>
      <c r="C804" s="4"/>
      <c r="D804" s="4"/>
      <c r="E804" s="4"/>
      <c r="F804" s="4"/>
    </row>
    <row r="805" spans="1:6">
      <c r="A805" s="4"/>
      <c r="B805" s="4"/>
      <c r="C805" s="4"/>
      <c r="D805" s="4"/>
      <c r="E805" s="4"/>
      <c r="F805" s="4"/>
    </row>
    <row r="806" spans="1:6">
      <c r="A806" s="4"/>
      <c r="B806" s="4"/>
      <c r="C806" s="4"/>
      <c r="D806" s="4"/>
      <c r="E806" s="4"/>
      <c r="F806" s="4"/>
    </row>
    <row r="807" spans="1:6">
      <c r="A807" s="4"/>
      <c r="B807" s="4"/>
      <c r="C807" s="4"/>
      <c r="D807" s="4"/>
      <c r="E807" s="4"/>
      <c r="F807" s="4"/>
    </row>
    <row r="808" spans="1:6">
      <c r="A808" s="4"/>
      <c r="B808" s="4"/>
      <c r="C808" s="4"/>
      <c r="D808" s="4"/>
      <c r="E808" s="4"/>
      <c r="F808" s="4"/>
    </row>
    <row r="809" spans="1:6">
      <c r="A809" s="4"/>
      <c r="B809" s="4"/>
      <c r="C809" s="4"/>
      <c r="D809" s="4"/>
      <c r="E809" s="4"/>
      <c r="F809" s="4"/>
    </row>
    <row r="810" spans="1:6">
      <c r="A810" s="4"/>
      <c r="B810" s="4"/>
      <c r="C810" s="4"/>
      <c r="D810" s="4"/>
      <c r="E810" s="4"/>
      <c r="F810" s="4"/>
    </row>
    <row r="811" spans="1:6">
      <c r="A811" s="4"/>
      <c r="B811" s="4"/>
      <c r="C811" s="4"/>
      <c r="D811" s="4"/>
      <c r="E811" s="4"/>
      <c r="F811" s="4"/>
    </row>
    <row r="812" spans="1:6">
      <c r="A812" s="4"/>
      <c r="B812" s="4"/>
      <c r="C812" s="4"/>
      <c r="D812" s="4"/>
      <c r="E812" s="4"/>
      <c r="F812" s="4"/>
    </row>
    <row r="813" spans="1:6">
      <c r="A813" s="4"/>
      <c r="B813" s="4"/>
      <c r="C813" s="4"/>
      <c r="D813" s="4"/>
      <c r="E813" s="4"/>
      <c r="F813" s="4"/>
    </row>
    <row r="814" spans="1:6">
      <c r="A814" s="4"/>
      <c r="B814" s="4"/>
      <c r="C814" s="4"/>
      <c r="D814" s="4"/>
      <c r="E814" s="4"/>
      <c r="F814" s="4"/>
    </row>
    <row r="815" spans="1:6">
      <c r="A815" s="4"/>
      <c r="B815" s="4"/>
      <c r="C815" s="4"/>
      <c r="D815" s="4"/>
      <c r="E815" s="4"/>
      <c r="F815" s="4"/>
    </row>
    <row r="816" spans="1:6">
      <c r="A816" s="4"/>
      <c r="B816" s="4"/>
      <c r="C816" s="4"/>
      <c r="D816" s="4"/>
      <c r="E816" s="4"/>
      <c r="F816" s="4"/>
    </row>
    <row r="817" spans="1:6">
      <c r="A817" s="4"/>
      <c r="B817" s="4"/>
      <c r="C817" s="4"/>
      <c r="D817" s="4"/>
      <c r="E817" s="4"/>
      <c r="F817" s="4"/>
    </row>
    <row r="818" spans="1:6">
      <c r="A818" s="4"/>
      <c r="B818" s="4"/>
      <c r="C818" s="4"/>
      <c r="D818" s="4"/>
      <c r="E818" s="4"/>
      <c r="F818" s="4"/>
    </row>
    <row r="819" spans="1:6">
      <c r="A819" s="4"/>
      <c r="B819" s="4"/>
      <c r="C819" s="4"/>
      <c r="D819" s="4"/>
      <c r="E819" s="4"/>
      <c r="F819" s="4"/>
    </row>
    <row r="820" spans="1:6">
      <c r="A820" s="4"/>
      <c r="B820" s="4"/>
      <c r="C820" s="4"/>
      <c r="D820" s="4"/>
      <c r="E820" s="4"/>
      <c r="F820" s="4"/>
    </row>
    <row r="821" spans="1:6">
      <c r="A821" s="4"/>
      <c r="B821" s="4"/>
      <c r="C821" s="4"/>
      <c r="D821" s="4"/>
      <c r="E821" s="4"/>
      <c r="F821" s="4"/>
    </row>
    <row r="822" spans="1:6">
      <c r="A822" s="4"/>
      <c r="B822" s="4"/>
      <c r="C822" s="4"/>
      <c r="D822" s="4"/>
      <c r="E822" s="4"/>
      <c r="F822" s="4"/>
    </row>
    <row r="823" spans="1:6">
      <c r="A823" s="4"/>
      <c r="B823" s="4"/>
      <c r="C823" s="4"/>
      <c r="D823" s="4"/>
      <c r="E823" s="4"/>
      <c r="F823" s="4"/>
    </row>
    <row r="824" spans="1:6">
      <c r="A824" s="4"/>
      <c r="B824" s="4"/>
      <c r="C824" s="4"/>
      <c r="D824" s="4"/>
      <c r="E824" s="4"/>
      <c r="F824" s="4"/>
    </row>
    <row r="825" spans="1:6">
      <c r="A825" s="4"/>
      <c r="B825" s="4"/>
      <c r="C825" s="4"/>
      <c r="D825" s="4"/>
      <c r="E825" s="4"/>
      <c r="F825" s="4"/>
    </row>
    <row r="826" spans="1:6">
      <c r="A826" s="4"/>
      <c r="B826" s="4"/>
      <c r="C826" s="4"/>
      <c r="D826" s="4"/>
      <c r="E826" s="4"/>
      <c r="F826" s="4"/>
    </row>
    <row r="827" spans="1:6">
      <c r="A827" s="4"/>
      <c r="B827" s="4"/>
      <c r="C827" s="4"/>
      <c r="D827" s="4"/>
      <c r="E827" s="4"/>
      <c r="F827" s="4"/>
    </row>
    <row r="828" spans="1:6">
      <c r="A828" s="4"/>
      <c r="B828" s="4"/>
      <c r="C828" s="4"/>
      <c r="D828" s="4"/>
      <c r="E828" s="4"/>
      <c r="F828" s="4"/>
    </row>
    <row r="829" spans="1:6">
      <c r="A829" s="4"/>
      <c r="B829" s="4"/>
      <c r="C829" s="4"/>
      <c r="D829" s="4"/>
      <c r="E829" s="4"/>
      <c r="F829" s="4"/>
    </row>
    <row r="830" spans="1:6">
      <c r="A830" s="4"/>
      <c r="B830" s="4"/>
      <c r="C830" s="4"/>
      <c r="D830" s="4"/>
      <c r="E830" s="4"/>
      <c r="F830" s="4"/>
    </row>
    <row r="831" spans="1:6">
      <c r="A831" s="4"/>
      <c r="B831" s="4"/>
      <c r="C831" s="4"/>
      <c r="D831" s="4"/>
      <c r="E831" s="4"/>
      <c r="F831" s="4"/>
    </row>
    <row r="832" spans="1:6">
      <c r="A832" s="4"/>
      <c r="B832" s="4"/>
      <c r="C832" s="4"/>
      <c r="D832" s="4"/>
      <c r="E832" s="4"/>
      <c r="F832" s="4"/>
    </row>
    <row r="833" spans="1:6">
      <c r="A833" s="4"/>
      <c r="B833" s="4"/>
      <c r="C833" s="4"/>
      <c r="D833" s="4"/>
      <c r="E833" s="4"/>
      <c r="F833" s="4"/>
    </row>
    <row r="834" spans="1:6">
      <c r="A834" s="4"/>
      <c r="B834" s="4"/>
      <c r="C834" s="4"/>
      <c r="D834" s="4"/>
      <c r="E834" s="4"/>
      <c r="F834" s="4"/>
    </row>
    <row r="835" spans="1:6">
      <c r="A835" s="4"/>
      <c r="B835" s="4"/>
      <c r="C835" s="4"/>
      <c r="D835" s="4"/>
      <c r="E835" s="4"/>
      <c r="F835" s="4"/>
    </row>
    <row r="836" spans="1:6">
      <c r="A836" s="4"/>
      <c r="B836" s="4"/>
      <c r="C836" s="4"/>
      <c r="D836" s="4"/>
      <c r="E836" s="4"/>
      <c r="F836" s="4"/>
    </row>
    <row r="837" spans="1:6">
      <c r="A837" s="4"/>
      <c r="B837" s="4"/>
      <c r="C837" s="4"/>
      <c r="D837" s="4"/>
      <c r="E837" s="4"/>
      <c r="F837" s="4"/>
    </row>
    <row r="838" spans="1:6">
      <c r="A838" s="4"/>
      <c r="B838" s="4"/>
      <c r="C838" s="4"/>
      <c r="D838" s="4"/>
      <c r="E838" s="4"/>
      <c r="F838" s="4"/>
    </row>
    <row r="839" spans="1:6">
      <c r="A839" s="4"/>
      <c r="B839" s="4"/>
      <c r="C839" s="4"/>
      <c r="D839" s="4"/>
      <c r="E839" s="4"/>
      <c r="F839" s="4"/>
    </row>
    <row r="840" spans="1:6">
      <c r="A840" s="4"/>
      <c r="B840" s="4"/>
      <c r="C840" s="4"/>
      <c r="D840" s="4"/>
      <c r="E840" s="4"/>
      <c r="F840" s="4"/>
    </row>
    <row r="841" spans="1:6">
      <c r="A841" s="4"/>
      <c r="B841" s="4"/>
      <c r="C841" s="4"/>
      <c r="D841" s="4"/>
      <c r="E841" s="4"/>
      <c r="F841" s="4"/>
    </row>
    <row r="842" spans="1:6">
      <c r="A842" s="4"/>
      <c r="B842" s="4"/>
      <c r="C842" s="4"/>
      <c r="D842" s="4"/>
      <c r="E842" s="4"/>
      <c r="F842" s="4"/>
    </row>
    <row r="843" spans="1:6">
      <c r="A843" s="4"/>
      <c r="B843" s="4"/>
      <c r="C843" s="4"/>
      <c r="D843" s="4"/>
      <c r="E843" s="4"/>
      <c r="F843" s="4"/>
    </row>
    <row r="844" spans="1:6">
      <c r="A844" s="4"/>
      <c r="B844" s="4"/>
      <c r="C844" s="4"/>
      <c r="D844" s="4"/>
      <c r="E844" s="4"/>
      <c r="F844" s="4"/>
    </row>
    <row r="845" spans="1:6">
      <c r="A845" s="4"/>
      <c r="B845" s="4"/>
      <c r="C845" s="4"/>
      <c r="D845" s="4"/>
      <c r="E845" s="4"/>
      <c r="F845" s="4"/>
    </row>
    <row r="846" spans="1:6">
      <c r="A846" s="4"/>
      <c r="B846" s="4"/>
      <c r="C846" s="4"/>
      <c r="D846" s="4"/>
      <c r="E846" s="4"/>
      <c r="F846" s="4"/>
    </row>
    <row r="847" spans="1:6">
      <c r="A847" s="4"/>
      <c r="B847" s="4"/>
      <c r="C847" s="4"/>
      <c r="D847" s="4"/>
      <c r="E847" s="4"/>
      <c r="F847" s="4"/>
    </row>
    <row r="848" spans="1:6">
      <c r="A848" s="4"/>
      <c r="B848" s="4"/>
      <c r="C848" s="4"/>
      <c r="D848" s="4"/>
      <c r="E848" s="4"/>
      <c r="F848" s="4"/>
    </row>
    <row r="849" spans="1:6">
      <c r="A849" s="4"/>
      <c r="B849" s="4"/>
      <c r="C849" s="4"/>
      <c r="D849" s="4"/>
      <c r="E849" s="4"/>
      <c r="F849" s="4"/>
    </row>
    <row r="850" spans="1:6">
      <c r="A850" s="4"/>
      <c r="B850" s="4"/>
      <c r="C850" s="4"/>
      <c r="D850" s="4"/>
      <c r="E850" s="4"/>
      <c r="F850" s="4"/>
    </row>
    <row r="851" spans="1:6">
      <c r="A851" s="4"/>
      <c r="B851" s="4"/>
      <c r="C851" s="4"/>
      <c r="D851" s="4"/>
      <c r="E851" s="4"/>
      <c r="F851" s="4"/>
    </row>
    <row r="852" spans="1:6">
      <c r="A852" s="4"/>
      <c r="B852" s="4"/>
      <c r="C852" s="4"/>
      <c r="D852" s="4"/>
      <c r="E852" s="4"/>
      <c r="F852" s="4"/>
    </row>
    <row r="853" spans="1:6">
      <c r="A853" s="4"/>
      <c r="B853" s="4"/>
      <c r="C853" s="4"/>
      <c r="D853" s="4"/>
      <c r="E853" s="4"/>
      <c r="F853" s="4"/>
    </row>
    <row r="854" spans="1:6">
      <c r="A854" s="4"/>
      <c r="B854" s="4"/>
      <c r="C854" s="4"/>
      <c r="D854" s="4"/>
      <c r="E854" s="4"/>
      <c r="F854" s="4"/>
    </row>
    <row r="855" spans="1:6">
      <c r="A855" s="4"/>
      <c r="B855" s="4"/>
      <c r="C855" s="4"/>
      <c r="D855" s="4"/>
      <c r="E855" s="4"/>
      <c r="F855" s="4"/>
    </row>
    <row r="856" spans="1:6">
      <c r="A856" s="4"/>
      <c r="B856" s="4"/>
      <c r="C856" s="4"/>
      <c r="D856" s="4"/>
      <c r="E856" s="4"/>
      <c r="F856" s="4"/>
    </row>
    <row r="857" spans="1:6">
      <c r="A857" s="4"/>
      <c r="B857" s="4"/>
      <c r="C857" s="4"/>
      <c r="D857" s="4"/>
      <c r="E857" s="4"/>
      <c r="F857" s="4"/>
    </row>
    <row r="858" spans="1:6">
      <c r="A858" s="4"/>
      <c r="B858" s="4"/>
      <c r="C858" s="4"/>
      <c r="D858" s="4"/>
      <c r="E858" s="4"/>
      <c r="F858" s="4"/>
    </row>
    <row r="859" spans="1:6">
      <c r="A859" s="4"/>
      <c r="B859" s="4"/>
      <c r="C859" s="4"/>
      <c r="D859" s="4"/>
      <c r="E859" s="4"/>
      <c r="F859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847"/>
  <sheetViews>
    <sheetView tabSelected="1" topLeftCell="B1" workbookViewId="0">
      <selection activeCell="B3" sqref="B3:N398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1696</v>
      </c>
      <c r="C1" t="s">
        <v>1697</v>
      </c>
      <c r="D1" t="s">
        <v>1698</v>
      </c>
      <c r="E1" t="s">
        <v>1699</v>
      </c>
      <c r="F1" t="s">
        <v>1700</v>
      </c>
      <c r="G1" t="s">
        <v>6</v>
      </c>
      <c r="H1" s="2" t="s">
        <v>7</v>
      </c>
      <c r="I1" t="s">
        <v>5</v>
      </c>
      <c r="J1" t="s">
        <v>53</v>
      </c>
      <c r="K1" t="s">
        <v>54</v>
      </c>
      <c r="L1" t="s">
        <v>55</v>
      </c>
      <c r="M1" t="s">
        <v>56</v>
      </c>
      <c r="N1" t="s">
        <v>1701</v>
      </c>
    </row>
    <row r="2" s="1" customFormat="1" spans="1:14">
      <c r="A2" s="1" t="s">
        <v>1702</v>
      </c>
      <c r="B2" s="1">
        <f>SUM(B3:B65534)</f>
        <v>4369</v>
      </c>
      <c r="C2" s="1">
        <f t="shared" ref="C2:N2" si="0">SUM(C3:C65534)</f>
        <v>14</v>
      </c>
      <c r="D2" s="1">
        <f t="shared" si="0"/>
        <v>0</v>
      </c>
      <c r="E2" s="1">
        <f t="shared" si="0"/>
        <v>0</v>
      </c>
      <c r="F2" s="1">
        <f t="shared" si="0"/>
        <v>0</v>
      </c>
      <c r="G2" s="1">
        <f t="shared" si="0"/>
        <v>5</v>
      </c>
      <c r="H2" s="1">
        <f t="shared" si="0"/>
        <v>5</v>
      </c>
      <c r="I2" s="1">
        <f t="shared" si="0"/>
        <v>4</v>
      </c>
      <c r="J2" s="1">
        <f t="shared" si="0"/>
        <v>1077</v>
      </c>
      <c r="K2" s="1">
        <f t="shared" si="0"/>
        <v>438</v>
      </c>
      <c r="L2" s="1">
        <f t="shared" si="0"/>
        <v>2743</v>
      </c>
      <c r="M2" s="1">
        <f t="shared" si="0"/>
        <v>0</v>
      </c>
      <c r="N2" s="1">
        <f t="shared" si="0"/>
        <v>4258</v>
      </c>
    </row>
    <row r="3" spans="1:14">
      <c r="A3" s="3" t="s">
        <v>8</v>
      </c>
      <c r="B3">
        <f>IFERROR(VLOOKUP(A3,管理亚马逊库存!A:K,11,0),"")</f>
        <v>14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1</v>
      </c>
      <c r="H3">
        <f>IFERROR(VLOOKUP(A3,预留库存!A:H,8,0),0)</f>
        <v>0</v>
      </c>
      <c r="I3">
        <f>IFERROR(VLOOKUP(A3,预留库存!A:F,6,0),0)</f>
        <v>0</v>
      </c>
      <c r="J3">
        <f>IFERROR(VLOOKUP(A3,库龄!B:K,9,0),0)</f>
        <v>8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8</v>
      </c>
    </row>
    <row r="4" spans="1:14">
      <c r="A4" s="3" t="s">
        <v>12</v>
      </c>
      <c r="B4">
        <f>IFERROR(VLOOKUP(A4,管理亚马逊库存!A:K,11,0),"")</f>
        <v>27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2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27</v>
      </c>
      <c r="M4">
        <f>IFERROR(VLOOKUP(A4,库龄!B:N,12,0),0)</f>
        <v>0</v>
      </c>
      <c r="N4">
        <f t="shared" si="2"/>
        <v>27</v>
      </c>
    </row>
    <row r="5" spans="1:14">
      <c r="A5" s="3" t="s">
        <v>16</v>
      </c>
      <c r="B5">
        <f>IFERROR(VLOOKUP(A5,管理亚马逊库存!A:K,11,0),"")</f>
        <v>10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1</v>
      </c>
      <c r="H5">
        <f>IFERROR(VLOOKUP(A5,预留库存!A:H,8,0),0)</f>
        <v>0</v>
      </c>
      <c r="I5">
        <f>IFERROR(VLOOKUP(A5,预留库存!A:F,6,0),0)</f>
        <v>0</v>
      </c>
      <c r="J5">
        <f>IFERROR(VLOOKUP(A5,库龄!B:K,9,0),0)</f>
        <v>3</v>
      </c>
      <c r="K5">
        <f>IFERROR(VLOOKUP(A5,库龄!B:L,10,0),0)</f>
        <v>5</v>
      </c>
      <c r="L5">
        <f>IFERROR(VLOOKUP(A5,库龄!B:M,11,0),0)</f>
        <v>1</v>
      </c>
      <c r="M5">
        <f>IFERROR(VLOOKUP(A5,库龄!B:N,12,0),0)</f>
        <v>0</v>
      </c>
      <c r="N5">
        <f t="shared" si="2"/>
        <v>9</v>
      </c>
    </row>
    <row r="6" spans="1:14">
      <c r="A6" s="3" t="s">
        <v>20</v>
      </c>
      <c r="B6">
        <f>IFERROR(VLOOKUP(A6,管理亚马逊库存!A:K,11,0),"")</f>
        <v>34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1</v>
      </c>
      <c r="K6">
        <f>IFERROR(VLOOKUP(A6,库龄!B:L,10,0),0)</f>
        <v>0</v>
      </c>
      <c r="L6">
        <f>IFERROR(VLOOKUP(A6,库龄!B:M,11,0),0)</f>
        <v>31</v>
      </c>
      <c r="M6">
        <f>IFERROR(VLOOKUP(A6,库龄!B:N,12,0),0)</f>
        <v>0</v>
      </c>
      <c r="N6">
        <f t="shared" si="2"/>
        <v>32</v>
      </c>
    </row>
    <row r="7" spans="1:14">
      <c r="A7" s="3" t="s">
        <v>24</v>
      </c>
      <c r="B7">
        <f>IFERROR(VLOOKUP(A7,管理亚马逊库存!A:K,11,0),"")</f>
        <v>28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3</v>
      </c>
      <c r="K7">
        <f>IFERROR(VLOOKUP(A7,库龄!B:L,10,0),0)</f>
        <v>1</v>
      </c>
      <c r="L7">
        <f>IFERROR(VLOOKUP(A7,库龄!B:M,11,0),0)</f>
        <v>22</v>
      </c>
      <c r="M7">
        <f>IFERROR(VLOOKUP(A7,库龄!B:N,12,0),0)</f>
        <v>0</v>
      </c>
      <c r="N7">
        <f t="shared" si="2"/>
        <v>26</v>
      </c>
    </row>
    <row r="8" spans="1:14">
      <c r="A8" s="3" t="s">
        <v>28</v>
      </c>
      <c r="B8">
        <f>IFERROR(VLOOKUP(A8,管理亚马逊库存!A:K,11,0),"")</f>
        <v>33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1</v>
      </c>
      <c r="I8">
        <f>IFERROR(VLOOKUP(A8,预留库存!A:F,6,0),0)</f>
        <v>0</v>
      </c>
      <c r="J8">
        <f>IFERROR(VLOOKUP(A8,库龄!B:K,9,0),0)</f>
        <v>3</v>
      </c>
      <c r="K8">
        <f>IFERROR(VLOOKUP(A8,库龄!B:L,10,0),0)</f>
        <v>0</v>
      </c>
      <c r="L8">
        <f>IFERROR(VLOOKUP(A8,库龄!B:M,11,0),0)</f>
        <v>27</v>
      </c>
      <c r="M8">
        <f>IFERROR(VLOOKUP(A8,库龄!B:N,12,0),0)</f>
        <v>0</v>
      </c>
      <c r="N8">
        <f t="shared" si="2"/>
        <v>30</v>
      </c>
    </row>
    <row r="9" spans="1:14">
      <c r="A9" s="3" t="s">
        <v>32</v>
      </c>
      <c r="B9">
        <f>IFERROR(VLOOKUP(A9,管理亚马逊库存!A:K,11,0),"")</f>
        <v>30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1</v>
      </c>
      <c r="H9">
        <f>IFERROR(VLOOKUP(A9,预留库存!A:H,8,0),0)</f>
        <v>0</v>
      </c>
      <c r="I9">
        <f>IFERROR(VLOOKUP(A9,预留库存!A:F,6,0),0)</f>
        <v>0</v>
      </c>
      <c r="J9">
        <f>IFERROR(VLOOKUP(A9,库龄!B:K,9,0),0)</f>
        <v>30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30</v>
      </c>
    </row>
    <row r="10" spans="1:14">
      <c r="A10" s="3" t="s">
        <v>36</v>
      </c>
      <c r="B10">
        <f>IFERROR(VLOOKUP(A10,管理亚马逊库存!A:K,11,0),"")</f>
        <v>4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0</v>
      </c>
      <c r="I10">
        <f>IFERROR(VLOOKUP(A10,预留库存!A:F,6,0),0)</f>
        <v>1</v>
      </c>
      <c r="J10">
        <f>IFERROR(VLOOKUP(A10,库龄!B:K,9,0),0)</f>
        <v>4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4</v>
      </c>
    </row>
    <row r="11" spans="1:14">
      <c r="A11" s="3" t="s">
        <v>40</v>
      </c>
      <c r="B11">
        <f>IFERROR(VLOOKUP(A11,管理亚马逊库存!A:K,11,0),"")</f>
        <v>15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1</v>
      </c>
      <c r="J11">
        <f>IFERROR(VLOOKUP(A11,库龄!B:K,9,0),0)</f>
        <v>16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16</v>
      </c>
    </row>
    <row r="12" spans="1:14">
      <c r="A12" s="3" t="s">
        <v>44</v>
      </c>
      <c r="B12">
        <f>IFERROR(VLOOKUP(A12,管理亚马逊库存!A:K,11,0),"")</f>
        <v>24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1</v>
      </c>
      <c r="H12">
        <f>IFERROR(VLOOKUP(A12,预留库存!A:H,8,0),0)</f>
        <v>1</v>
      </c>
      <c r="I12">
        <f>IFERROR(VLOOKUP(A12,预留库存!A:F,6,0),0)</f>
        <v>1</v>
      </c>
      <c r="J12">
        <f>IFERROR(VLOOKUP(A12,库龄!B:K,9,0),0)</f>
        <v>29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29</v>
      </c>
    </row>
    <row r="13" spans="1:14">
      <c r="A13" s="3" t="s">
        <v>80</v>
      </c>
      <c r="B13">
        <f>IFERROR(VLOOKUP(A13,管理亚马逊库存!A:K,11,0),"")</f>
        <v>33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33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33</v>
      </c>
    </row>
    <row r="14" spans="1:14">
      <c r="A14" s="3" t="s">
        <v>89</v>
      </c>
      <c r="B14">
        <f>IFERROR(VLOOKUP(A14,管理亚马逊库存!A:K,11,0),"")</f>
        <v>2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2</v>
      </c>
      <c r="M14">
        <f>IFERROR(VLOOKUP(A14,库龄!B:N,12,0),0)</f>
        <v>0</v>
      </c>
      <c r="N14">
        <f t="shared" si="2"/>
        <v>2</v>
      </c>
    </row>
    <row r="15" spans="1:14">
      <c r="A15" s="3" t="s">
        <v>96</v>
      </c>
      <c r="B15">
        <f>IFERROR(VLOOKUP(A15,管理亚马逊库存!A:K,11,0),"")</f>
        <v>30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1</v>
      </c>
      <c r="K15">
        <f>IFERROR(VLOOKUP(A15,库龄!B:L,10,0),0)</f>
        <v>0</v>
      </c>
      <c r="L15">
        <f>IFERROR(VLOOKUP(A15,库龄!B:M,11,0),0)</f>
        <v>29</v>
      </c>
      <c r="M15">
        <f>IFERROR(VLOOKUP(A15,库龄!B:N,12,0),0)</f>
        <v>0</v>
      </c>
      <c r="N15">
        <f t="shared" si="2"/>
        <v>30</v>
      </c>
    </row>
    <row r="16" spans="1:14">
      <c r="A16" s="3" t="s">
        <v>102</v>
      </c>
      <c r="B16">
        <f>IFERROR(VLOOKUP(A16,管理亚马逊库存!A:K,11,0),"")</f>
        <v>1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1</v>
      </c>
      <c r="M16">
        <f>IFERROR(VLOOKUP(A16,库龄!B:N,12,0),0)</f>
        <v>0</v>
      </c>
      <c r="N16">
        <f t="shared" si="2"/>
        <v>1</v>
      </c>
    </row>
    <row r="17" spans="1:14">
      <c r="A17" s="3" t="s">
        <v>108</v>
      </c>
      <c r="B17">
        <f>IFERROR(VLOOKUP(A17,管理亚马逊库存!A:K,11,0),"")</f>
        <v>1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112</v>
      </c>
      <c r="B18">
        <f>IFERROR(VLOOKUP(A18,管理亚马逊库存!A:K,11,0),"")</f>
        <v>3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3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3</v>
      </c>
    </row>
    <row r="19" spans="1:14">
      <c r="A19" s="3" t="s">
        <v>117</v>
      </c>
      <c r="B19">
        <f>IFERROR(VLOOKUP(A19,管理亚马逊库存!A:K,11,0),"")</f>
        <v>1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1</v>
      </c>
      <c r="M19">
        <f>IFERROR(VLOOKUP(A19,库龄!B:N,12,0),0)</f>
        <v>0</v>
      </c>
      <c r="N19">
        <f t="shared" si="2"/>
        <v>1</v>
      </c>
    </row>
    <row r="20" spans="1:14">
      <c r="A20" s="3" t="s">
        <v>122</v>
      </c>
      <c r="B20">
        <f>IFERROR(VLOOKUP(A20,管理亚马逊库存!A:K,11,0),"")</f>
        <v>3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2</v>
      </c>
      <c r="M20">
        <f>IFERROR(VLOOKUP(A20,库龄!B:N,12,0),0)</f>
        <v>0</v>
      </c>
      <c r="N20">
        <f t="shared" si="2"/>
        <v>2</v>
      </c>
    </row>
    <row r="21" spans="1:14">
      <c r="A21" s="3" t="s">
        <v>127</v>
      </c>
      <c r="B21">
        <f>IFERROR(VLOOKUP(A21,管理亚马逊库存!A:K,11,0),"")</f>
        <v>2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2</v>
      </c>
      <c r="M21">
        <f>IFERROR(VLOOKUP(A21,库龄!B:N,12,0),0)</f>
        <v>0</v>
      </c>
      <c r="N21">
        <f t="shared" si="2"/>
        <v>2</v>
      </c>
    </row>
    <row r="22" spans="1:14">
      <c r="A22" s="3" t="s">
        <v>131</v>
      </c>
      <c r="B22">
        <f>IFERROR(VLOOKUP(A22,管理亚马逊库存!A:K,11,0),"")</f>
        <v>4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4</v>
      </c>
      <c r="L22">
        <f>IFERROR(VLOOKUP(A22,库龄!B:M,11,0),0)</f>
        <v>0</v>
      </c>
      <c r="M22">
        <f>IFERROR(VLOOKUP(A22,库龄!B:N,12,0),0)</f>
        <v>0</v>
      </c>
      <c r="N22">
        <f t="shared" si="2"/>
        <v>4</v>
      </c>
    </row>
    <row r="23" spans="1:14">
      <c r="A23" s="3" t="s">
        <v>136</v>
      </c>
      <c r="B23">
        <f>IFERROR(VLOOKUP(A23,管理亚马逊库存!A:K,11,0),"")</f>
        <v>1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1</v>
      </c>
      <c r="M23">
        <f>IFERROR(VLOOKUP(A23,库龄!B:N,12,0),0)</f>
        <v>0</v>
      </c>
      <c r="N23">
        <f t="shared" si="2"/>
        <v>1</v>
      </c>
    </row>
    <row r="24" spans="1:14">
      <c r="A24" s="3" t="s">
        <v>141</v>
      </c>
      <c r="B24">
        <f>IFERROR(VLOOKUP(A24,管理亚马逊库存!A:K,11,0),"")</f>
        <v>3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3</v>
      </c>
      <c r="M24">
        <f>IFERROR(VLOOKUP(A24,库龄!B:N,12,0),0)</f>
        <v>0</v>
      </c>
      <c r="N24">
        <f t="shared" si="2"/>
        <v>3</v>
      </c>
    </row>
    <row r="25" spans="1:14">
      <c r="A25" s="3" t="s">
        <v>145</v>
      </c>
      <c r="B25">
        <f>IFERROR(VLOOKUP(A25,管理亚马逊库存!A:K,11,0),"")</f>
        <v>1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151</v>
      </c>
      <c r="B26">
        <f>IFERROR(VLOOKUP(A26,管理亚马逊库存!A:K,11,0),"")</f>
        <v>2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2</v>
      </c>
      <c r="M26">
        <f>IFERROR(VLOOKUP(A26,库龄!B:N,12,0),0)</f>
        <v>0</v>
      </c>
      <c r="N26">
        <f t="shared" si="2"/>
        <v>2</v>
      </c>
    </row>
    <row r="27" spans="1:14">
      <c r="A27" s="3" t="s">
        <v>155</v>
      </c>
      <c r="B27">
        <f>IFERROR(VLOOKUP(A27,管理亚马逊库存!A:K,11,0),"")</f>
        <v>1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1</v>
      </c>
      <c r="L27">
        <f>IFERROR(VLOOKUP(A27,库龄!B:M,11,0),0)</f>
        <v>0</v>
      </c>
      <c r="M27">
        <f>IFERROR(VLOOKUP(A27,库龄!B:N,12,0),0)</f>
        <v>0</v>
      </c>
      <c r="N27">
        <f t="shared" si="2"/>
        <v>1</v>
      </c>
    </row>
    <row r="28" spans="1:14">
      <c r="A28" s="3" t="s">
        <v>160</v>
      </c>
      <c r="B28">
        <f>IFERROR(VLOOKUP(A28,管理亚马逊库存!A:K,11,0),"")</f>
        <v>30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30</v>
      </c>
      <c r="M28">
        <f>IFERROR(VLOOKUP(A28,库龄!B:N,12,0),0)</f>
        <v>0</v>
      </c>
      <c r="N28">
        <f t="shared" si="2"/>
        <v>30</v>
      </c>
    </row>
    <row r="29" spans="1:14">
      <c r="A29" s="3" t="s">
        <v>165</v>
      </c>
      <c r="B29">
        <f>IFERROR(VLOOKUP(A29,管理亚马逊库存!A:K,11,0),"")</f>
        <v>3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3</v>
      </c>
      <c r="M29">
        <f>IFERROR(VLOOKUP(A29,库龄!B:N,12,0),0)</f>
        <v>0</v>
      </c>
      <c r="N29">
        <f t="shared" si="2"/>
        <v>3</v>
      </c>
    </row>
    <row r="30" spans="1:14">
      <c r="A30" s="3" t="s">
        <v>169</v>
      </c>
      <c r="B30">
        <f>IFERROR(VLOOKUP(A30,管理亚马逊库存!A:K,11,0),"")</f>
        <v>4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1</v>
      </c>
      <c r="K30">
        <f>IFERROR(VLOOKUP(A30,库龄!B:L,10,0),0)</f>
        <v>0</v>
      </c>
      <c r="L30">
        <f>IFERROR(VLOOKUP(A30,库龄!B:M,11,0),0)</f>
        <v>3</v>
      </c>
      <c r="M30">
        <f>IFERROR(VLOOKUP(A30,库龄!B:N,12,0),0)</f>
        <v>0</v>
      </c>
      <c r="N30">
        <f t="shared" si="2"/>
        <v>4</v>
      </c>
    </row>
    <row r="31" spans="1:14">
      <c r="A31" s="3" t="s">
        <v>174</v>
      </c>
      <c r="B31">
        <f>IFERROR(VLOOKUP(A31,管理亚马逊库存!A:K,11,0),"")</f>
        <v>2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2</v>
      </c>
      <c r="M31">
        <f>IFERROR(VLOOKUP(A31,库龄!B:N,12,0),0)</f>
        <v>0</v>
      </c>
      <c r="N31">
        <f t="shared" si="2"/>
        <v>2</v>
      </c>
    </row>
    <row r="32" spans="1:14">
      <c r="A32" s="3" t="s">
        <v>178</v>
      </c>
      <c r="B32">
        <f>IFERROR(VLOOKUP(A32,管理亚马逊库存!A:K,11,0),"")</f>
        <v>11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11</v>
      </c>
      <c r="M32">
        <f>IFERROR(VLOOKUP(A32,库龄!B:N,12,0),0)</f>
        <v>0</v>
      </c>
      <c r="N32">
        <f t="shared" si="2"/>
        <v>11</v>
      </c>
    </row>
    <row r="33" spans="1:14">
      <c r="A33" s="3" t="s">
        <v>182</v>
      </c>
      <c r="B33">
        <f>IFERROR(VLOOKUP(A33,管理亚马逊库存!A:K,11,0),"")</f>
        <v>1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1</v>
      </c>
      <c r="M33">
        <f>IFERROR(VLOOKUP(A33,库龄!B:N,12,0),0)</f>
        <v>0</v>
      </c>
      <c r="N33">
        <f t="shared" si="2"/>
        <v>1</v>
      </c>
    </row>
    <row r="34" spans="1:14">
      <c r="A34" s="3" t="s">
        <v>186</v>
      </c>
      <c r="B34">
        <f>IFERROR(VLOOKUP(A34,管理亚马逊库存!A:K,11,0),"")</f>
        <v>3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3</v>
      </c>
      <c r="M34">
        <f>IFERROR(VLOOKUP(A34,库龄!B:N,12,0),0)</f>
        <v>0</v>
      </c>
      <c r="N34">
        <f t="shared" si="2"/>
        <v>3</v>
      </c>
    </row>
    <row r="35" spans="1:14">
      <c r="A35" s="3" t="s">
        <v>190</v>
      </c>
      <c r="B35">
        <f>IFERROR(VLOOKUP(A35,管理亚马逊库存!A:K,11,0),"")</f>
        <v>44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44</v>
      </c>
      <c r="M35">
        <f>IFERROR(VLOOKUP(A35,库龄!B:N,12,0),0)</f>
        <v>0</v>
      </c>
      <c r="N35">
        <f t="shared" si="2"/>
        <v>44</v>
      </c>
    </row>
    <row r="36" spans="1:14">
      <c r="A36" s="3" t="s">
        <v>195</v>
      </c>
      <c r="B36">
        <f>IFERROR(VLOOKUP(A36,管理亚马逊库存!A:K,11,0),"")</f>
        <v>3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3</v>
      </c>
      <c r="M36">
        <f>IFERROR(VLOOKUP(A36,库龄!B:N,12,0),0)</f>
        <v>0</v>
      </c>
      <c r="N36">
        <f t="shared" si="2"/>
        <v>3</v>
      </c>
    </row>
    <row r="37" spans="1:14">
      <c r="A37" s="3" t="s">
        <v>199</v>
      </c>
      <c r="B37">
        <f>IFERROR(VLOOKUP(A37,管理亚马逊库存!A:K,11,0),"")</f>
        <v>1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1</v>
      </c>
      <c r="M37">
        <f>IFERROR(VLOOKUP(A37,库龄!B:N,12,0),0)</f>
        <v>0</v>
      </c>
      <c r="N37">
        <f t="shared" si="2"/>
        <v>1</v>
      </c>
    </row>
    <row r="38" spans="1:14">
      <c r="A38" s="3" t="s">
        <v>204</v>
      </c>
      <c r="B38">
        <f>IFERROR(VLOOKUP(A38,管理亚马逊库存!A:K,11,0),"")</f>
        <v>7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7</v>
      </c>
      <c r="M38">
        <f>IFERROR(VLOOKUP(A38,库龄!B:N,12,0),0)</f>
        <v>0</v>
      </c>
      <c r="N38">
        <f t="shared" si="2"/>
        <v>7</v>
      </c>
    </row>
    <row r="39" spans="1:14">
      <c r="A39" s="3" t="s">
        <v>208</v>
      </c>
      <c r="B39">
        <f>IFERROR(VLOOKUP(A39,管理亚马逊库存!A:K,11,0),"")</f>
        <v>15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15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15</v>
      </c>
    </row>
    <row r="40" spans="1:14">
      <c r="A40" s="3" t="s">
        <v>212</v>
      </c>
      <c r="B40">
        <f>IFERROR(VLOOKUP(A40,管理亚马逊库存!A:K,11,0),"")</f>
        <v>7</v>
      </c>
      <c r="C40">
        <f>IFERROR(VLOOKUP(A40,管理亚马逊库存!A:L,12,0),"")</f>
        <v>1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6</v>
      </c>
      <c r="K40">
        <f>IFERROR(VLOOKUP(A40,库龄!B:L,10,0),0)</f>
        <v>1</v>
      </c>
      <c r="L40">
        <f>IFERROR(VLOOKUP(A40,库龄!B:M,11,0),0)</f>
        <v>0</v>
      </c>
      <c r="M40">
        <f>IFERROR(VLOOKUP(A40,库龄!B:N,12,0),0)</f>
        <v>0</v>
      </c>
      <c r="N40">
        <f t="shared" si="2"/>
        <v>7</v>
      </c>
    </row>
    <row r="41" spans="1:14">
      <c r="A41" s="3" t="s">
        <v>217</v>
      </c>
      <c r="B41">
        <f>IFERROR(VLOOKUP(A41,管理亚马逊库存!A:K,11,0),"")</f>
        <v>4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4</v>
      </c>
      <c r="L41">
        <f>IFERROR(VLOOKUP(A41,库龄!B:M,11,0),0)</f>
        <v>0</v>
      </c>
      <c r="M41">
        <f>IFERROR(VLOOKUP(A41,库龄!B:N,12,0),0)</f>
        <v>0</v>
      </c>
      <c r="N41">
        <f t="shared" si="2"/>
        <v>4</v>
      </c>
    </row>
    <row r="42" spans="1:14">
      <c r="A42" s="3" t="s">
        <v>221</v>
      </c>
      <c r="B42">
        <f>IFERROR(VLOOKUP(A42,管理亚马逊库存!A:K,11,0),"")</f>
        <v>2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1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1</v>
      </c>
    </row>
    <row r="43" spans="1:14">
      <c r="A43" s="3" t="s">
        <v>225</v>
      </c>
      <c r="B43">
        <f>IFERROR(VLOOKUP(A43,管理亚马逊库存!A:K,11,0),"")</f>
        <v>1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1</v>
      </c>
      <c r="M43">
        <f>IFERROR(VLOOKUP(A43,库龄!B:N,12,0),0)</f>
        <v>0</v>
      </c>
      <c r="N43">
        <f t="shared" si="2"/>
        <v>1</v>
      </c>
    </row>
    <row r="44" spans="1:14">
      <c r="A44" s="3" t="s">
        <v>230</v>
      </c>
      <c r="B44">
        <f>IFERROR(VLOOKUP(A44,管理亚马逊库存!A:K,11,0),"")</f>
        <v>3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3</v>
      </c>
      <c r="L44">
        <f>IFERROR(VLOOKUP(A44,库龄!B:M,11,0),0)</f>
        <v>0</v>
      </c>
      <c r="M44">
        <f>IFERROR(VLOOKUP(A44,库龄!B:N,12,0),0)</f>
        <v>0</v>
      </c>
      <c r="N44">
        <f t="shared" si="2"/>
        <v>3</v>
      </c>
    </row>
    <row r="45" spans="1:14">
      <c r="A45" s="3" t="s">
        <v>235</v>
      </c>
      <c r="B45">
        <f>IFERROR(VLOOKUP(A45,管理亚马逊库存!A:K,11,0),"")</f>
        <v>23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23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23</v>
      </c>
    </row>
    <row r="46" spans="1:14">
      <c r="A46" s="3" t="s">
        <v>241</v>
      </c>
      <c r="B46">
        <f>IFERROR(VLOOKUP(A46,管理亚马逊库存!A:K,11,0),"")</f>
        <v>33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32</v>
      </c>
      <c r="M46">
        <f>IFERROR(VLOOKUP(A46,库龄!B:N,12,0),0)</f>
        <v>0</v>
      </c>
      <c r="N46">
        <f t="shared" si="2"/>
        <v>32</v>
      </c>
    </row>
    <row r="47" spans="1:14">
      <c r="A47" s="3" t="s">
        <v>245</v>
      </c>
      <c r="B47">
        <f>IFERROR(VLOOKUP(A47,管理亚马逊库存!A:K,11,0),"")</f>
        <v>28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28</v>
      </c>
      <c r="M47">
        <f>IFERROR(VLOOKUP(A47,库龄!B:N,12,0),0)</f>
        <v>0</v>
      </c>
      <c r="N47">
        <f t="shared" si="2"/>
        <v>28</v>
      </c>
    </row>
    <row r="48" spans="1:14">
      <c r="A48" s="3" t="s">
        <v>249</v>
      </c>
      <c r="B48">
        <f>IFERROR(VLOOKUP(A48,管理亚马逊库存!A:K,11,0),"")</f>
        <v>27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27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27</v>
      </c>
    </row>
    <row r="49" spans="1:14">
      <c r="A49" s="3" t="s">
        <v>254</v>
      </c>
      <c r="B49">
        <f>IFERROR(VLOOKUP(A49,管理亚马逊库存!A:K,11,0),"")</f>
        <v>27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27</v>
      </c>
      <c r="M49">
        <f>IFERROR(VLOOKUP(A49,库龄!B:N,12,0),0)</f>
        <v>0</v>
      </c>
      <c r="N49">
        <f t="shared" si="2"/>
        <v>27</v>
      </c>
    </row>
    <row r="50" spans="1:14">
      <c r="A50" s="3" t="s">
        <v>258</v>
      </c>
      <c r="B50">
        <f>IFERROR(VLOOKUP(A50,管理亚马逊库存!A:K,11,0),"")</f>
        <v>7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7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7</v>
      </c>
    </row>
    <row r="51" spans="1:14">
      <c r="A51" s="3" t="s">
        <v>263</v>
      </c>
      <c r="B51">
        <f>IFERROR(VLOOKUP(A51,管理亚马逊库存!A:K,11,0),"")</f>
        <v>2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2</v>
      </c>
      <c r="M51">
        <f>IFERROR(VLOOKUP(A51,库龄!B:N,12,0),0)</f>
        <v>0</v>
      </c>
      <c r="N51">
        <f t="shared" si="2"/>
        <v>2</v>
      </c>
    </row>
    <row r="52" spans="1:14">
      <c r="A52" s="3" t="s">
        <v>267</v>
      </c>
      <c r="B52">
        <f>IFERROR(VLOOKUP(A52,管理亚马逊库存!A:K,11,0),"")</f>
        <v>25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1</v>
      </c>
      <c r="L52">
        <f>IFERROR(VLOOKUP(A52,库龄!B:M,11,0),0)</f>
        <v>24</v>
      </c>
      <c r="M52">
        <f>IFERROR(VLOOKUP(A52,库龄!B:N,12,0),0)</f>
        <v>0</v>
      </c>
      <c r="N52">
        <f t="shared" si="2"/>
        <v>25</v>
      </c>
    </row>
    <row r="53" spans="1:14">
      <c r="A53" s="3" t="s">
        <v>272</v>
      </c>
      <c r="B53">
        <f>IFERROR(VLOOKUP(A53,管理亚马逊库存!A:K,11,0),"")</f>
        <v>2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1</v>
      </c>
      <c r="L53">
        <f>IFERROR(VLOOKUP(A53,库龄!B:M,11,0),0)</f>
        <v>1</v>
      </c>
      <c r="M53">
        <f>IFERROR(VLOOKUP(A53,库龄!B:N,12,0),0)</f>
        <v>0</v>
      </c>
      <c r="N53">
        <f t="shared" si="2"/>
        <v>2</v>
      </c>
    </row>
    <row r="54" spans="1:14">
      <c r="A54" s="3" t="s">
        <v>277</v>
      </c>
      <c r="B54">
        <f>IFERROR(VLOOKUP(A54,管理亚马逊库存!A:K,11,0),"")</f>
        <v>2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2</v>
      </c>
      <c r="M54">
        <f>IFERROR(VLOOKUP(A54,库龄!B:N,12,0),0)</f>
        <v>0</v>
      </c>
      <c r="N54">
        <f t="shared" si="2"/>
        <v>2</v>
      </c>
    </row>
    <row r="55" spans="1:14">
      <c r="A55" s="3" t="s">
        <v>281</v>
      </c>
      <c r="B55">
        <f>IFERROR(VLOOKUP(A55,管理亚马逊库存!A:K,11,0),"")</f>
        <v>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1</v>
      </c>
      <c r="L55">
        <f>IFERROR(VLOOKUP(A55,库龄!B:M,11,0),0)</f>
        <v>0</v>
      </c>
      <c r="M55">
        <f>IFERROR(VLOOKUP(A55,库龄!B:N,12,0),0)</f>
        <v>0</v>
      </c>
      <c r="N55">
        <f t="shared" si="2"/>
        <v>1</v>
      </c>
    </row>
    <row r="56" spans="1:14">
      <c r="A56" s="3" t="s">
        <v>286</v>
      </c>
      <c r="B56">
        <f>IFERROR(VLOOKUP(A56,管理亚马逊库存!A:K,11,0),"")</f>
        <v>3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3</v>
      </c>
      <c r="M56">
        <f>IFERROR(VLOOKUP(A56,库龄!B:N,12,0),0)</f>
        <v>0</v>
      </c>
      <c r="N56">
        <f t="shared" si="2"/>
        <v>3</v>
      </c>
    </row>
    <row r="57" spans="1:14">
      <c r="A57" s="3" t="s">
        <v>291</v>
      </c>
      <c r="B57">
        <f>IFERROR(VLOOKUP(A57,管理亚马逊库存!A:K,11,0),"")</f>
        <v>4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3</v>
      </c>
      <c r="L57">
        <f>IFERROR(VLOOKUP(A57,库龄!B:M,11,0),0)</f>
        <v>0</v>
      </c>
      <c r="M57">
        <f>IFERROR(VLOOKUP(A57,库龄!B:N,12,0),0)</f>
        <v>0</v>
      </c>
      <c r="N57">
        <f t="shared" si="2"/>
        <v>3</v>
      </c>
    </row>
    <row r="58" spans="1:14">
      <c r="A58" s="3" t="s">
        <v>296</v>
      </c>
      <c r="B58">
        <f>IFERROR(VLOOKUP(A58,管理亚马逊库存!A:K,11,0),"")</f>
        <v>10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10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10</v>
      </c>
    </row>
    <row r="59" spans="1:14">
      <c r="A59" s="3" t="s">
        <v>300</v>
      </c>
      <c r="B59">
        <f>IFERROR(VLOOKUP(A59,管理亚马逊库存!A:K,11,0),"")</f>
        <v>1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1</v>
      </c>
      <c r="M59">
        <f>IFERROR(VLOOKUP(A59,库龄!B:N,12,0),0)</f>
        <v>0</v>
      </c>
      <c r="N59">
        <f t="shared" si="2"/>
        <v>1</v>
      </c>
    </row>
    <row r="60" spans="1:14">
      <c r="A60" s="3" t="s">
        <v>304</v>
      </c>
      <c r="B60">
        <f>IFERROR(VLOOKUP(A60,管理亚马逊库存!A:K,11,0),"")</f>
        <v>4</v>
      </c>
      <c r="C60">
        <f>IFERROR(VLOOKUP(A60,管理亚马逊库存!A:L,12,0),"")</f>
        <v>1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1</v>
      </c>
      <c r="K60">
        <f>IFERROR(VLOOKUP(A60,库龄!B:L,10,0),0)</f>
        <v>2</v>
      </c>
      <c r="L60">
        <f>IFERROR(VLOOKUP(A60,库龄!B:M,11,0),0)</f>
        <v>0</v>
      </c>
      <c r="M60">
        <f>IFERROR(VLOOKUP(A60,库龄!B:N,12,0),0)</f>
        <v>0</v>
      </c>
      <c r="N60">
        <f t="shared" si="2"/>
        <v>3</v>
      </c>
    </row>
    <row r="61" spans="1:14">
      <c r="A61" s="3" t="s">
        <v>309</v>
      </c>
      <c r="B61">
        <f>IFERROR(VLOOKUP(A61,管理亚马逊库存!A:K,11,0),"")</f>
        <v>6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1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1</v>
      </c>
    </row>
    <row r="62" spans="1:14">
      <c r="A62" s="3" t="s">
        <v>312</v>
      </c>
      <c r="B62">
        <f>IFERROR(VLOOKUP(A62,管理亚马逊库存!A:K,11,0),"")</f>
        <v>32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1</v>
      </c>
      <c r="K62">
        <f>IFERROR(VLOOKUP(A62,库龄!B:L,10,0),0)</f>
        <v>0</v>
      </c>
      <c r="L62">
        <f>IFERROR(VLOOKUP(A62,库龄!B:M,11,0),0)</f>
        <v>31</v>
      </c>
      <c r="M62">
        <f>IFERROR(VLOOKUP(A62,库龄!B:N,12,0),0)</f>
        <v>0</v>
      </c>
      <c r="N62">
        <f t="shared" si="2"/>
        <v>32</v>
      </c>
    </row>
    <row r="63" spans="1:14">
      <c r="A63" s="3" t="s">
        <v>316</v>
      </c>
      <c r="B63">
        <f>IFERROR(VLOOKUP(A63,管理亚马逊库存!A:K,11,0),"")</f>
        <v>1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1</v>
      </c>
      <c r="M63">
        <f>IFERROR(VLOOKUP(A63,库龄!B:N,12,0),0)</f>
        <v>0</v>
      </c>
      <c r="N63">
        <f t="shared" si="2"/>
        <v>1</v>
      </c>
    </row>
    <row r="64" spans="1:14">
      <c r="A64" s="3" t="s">
        <v>320</v>
      </c>
      <c r="B64">
        <f>IFERROR(VLOOKUP(A64,管理亚马逊库存!A:K,11,0),"")</f>
        <v>2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1</v>
      </c>
      <c r="L64">
        <f>IFERROR(VLOOKUP(A64,库龄!B:M,11,0),0)</f>
        <v>1</v>
      </c>
      <c r="M64">
        <f>IFERROR(VLOOKUP(A64,库龄!B:N,12,0),0)</f>
        <v>0</v>
      </c>
      <c r="N64">
        <f t="shared" si="2"/>
        <v>2</v>
      </c>
    </row>
    <row r="65" spans="1:14">
      <c r="A65" s="3" t="s">
        <v>324</v>
      </c>
      <c r="B65">
        <f>IFERROR(VLOOKUP(A65,管理亚马逊库存!A:K,11,0),"")</f>
        <v>44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43</v>
      </c>
      <c r="M65">
        <f>IFERROR(VLOOKUP(A65,库龄!B:N,12,0),0)</f>
        <v>0</v>
      </c>
      <c r="N65">
        <f t="shared" si="2"/>
        <v>43</v>
      </c>
    </row>
    <row r="66" spans="1:14">
      <c r="A66" s="3" t="s">
        <v>329</v>
      </c>
      <c r="B66">
        <f>IFERROR(VLOOKUP(A66,管理亚马逊库存!A:K,11,0),"")</f>
        <v>26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26</v>
      </c>
      <c r="M66">
        <f>IFERROR(VLOOKUP(A66,库龄!B:N,12,0),0)</f>
        <v>0</v>
      </c>
      <c r="N66">
        <f t="shared" si="2"/>
        <v>26</v>
      </c>
    </row>
    <row r="67" spans="1:14">
      <c r="A67" s="3" t="s">
        <v>333</v>
      </c>
      <c r="B67">
        <f>IFERROR(VLOOKUP(A67,管理亚马逊库存!A:K,11,0),"")</f>
        <v>28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28</v>
      </c>
      <c r="M67">
        <f>IFERROR(VLOOKUP(A67,库龄!B:N,12,0),0)</f>
        <v>0</v>
      </c>
      <c r="N67">
        <f t="shared" ref="N67:N130" si="4">SUM(J67:M67)</f>
        <v>28</v>
      </c>
    </row>
    <row r="68" spans="1:14">
      <c r="A68" s="3" t="s">
        <v>337</v>
      </c>
      <c r="B68">
        <f>IFERROR(VLOOKUP(A68,管理亚马逊库存!A:K,11,0),"")</f>
        <v>1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1</v>
      </c>
      <c r="M68">
        <f>IFERROR(VLOOKUP(A68,库龄!B:N,12,0),0)</f>
        <v>0</v>
      </c>
      <c r="N68">
        <f t="shared" si="4"/>
        <v>1</v>
      </c>
    </row>
    <row r="69" spans="1:14">
      <c r="A69" s="3" t="s">
        <v>341</v>
      </c>
      <c r="B69">
        <f>IFERROR(VLOOKUP(A69,管理亚马逊库存!A:K,11,0),"")</f>
        <v>6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6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6</v>
      </c>
    </row>
    <row r="70" spans="1:14">
      <c r="A70" s="3" t="s">
        <v>345</v>
      </c>
      <c r="B70">
        <f>IFERROR(VLOOKUP(A70,管理亚马逊库存!A:K,11,0),"")</f>
        <v>1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2</v>
      </c>
      <c r="L70">
        <f>IFERROR(VLOOKUP(A70,库龄!B:M,11,0),0)</f>
        <v>0</v>
      </c>
      <c r="M70">
        <f>IFERROR(VLOOKUP(A70,库龄!B:N,12,0),0)</f>
        <v>0</v>
      </c>
      <c r="N70">
        <f t="shared" si="4"/>
        <v>2</v>
      </c>
    </row>
    <row r="71" spans="1:14">
      <c r="A71" s="3" t="s">
        <v>349</v>
      </c>
      <c r="B71">
        <f>IFERROR(VLOOKUP(A71,管理亚马逊库存!A:K,11,0),"")</f>
        <v>74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73</v>
      </c>
      <c r="M71">
        <f>IFERROR(VLOOKUP(A71,库龄!B:N,12,0),0)</f>
        <v>0</v>
      </c>
      <c r="N71">
        <f t="shared" si="4"/>
        <v>73</v>
      </c>
    </row>
    <row r="72" spans="1:14">
      <c r="A72" s="3" t="s">
        <v>353</v>
      </c>
      <c r="B72">
        <f>IFERROR(VLOOKUP(A72,管理亚马逊库存!A:K,11,0),"")</f>
        <v>27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27</v>
      </c>
      <c r="M72">
        <f>IFERROR(VLOOKUP(A72,库龄!B:N,12,0),0)</f>
        <v>0</v>
      </c>
      <c r="N72">
        <f t="shared" si="4"/>
        <v>27</v>
      </c>
    </row>
    <row r="73" spans="1:14">
      <c r="A73" s="3" t="s">
        <v>357</v>
      </c>
      <c r="B73">
        <f>IFERROR(VLOOKUP(A73,管理亚马逊库存!A:K,11,0),"")</f>
        <v>5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5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5</v>
      </c>
    </row>
    <row r="74" spans="1:14">
      <c r="A74" s="3" t="s">
        <v>362</v>
      </c>
      <c r="B74">
        <f>IFERROR(VLOOKUP(A74,管理亚马逊库存!A:K,11,0),"")</f>
        <v>7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7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7</v>
      </c>
    </row>
    <row r="75" spans="1:14">
      <c r="A75" s="3" t="s">
        <v>367</v>
      </c>
      <c r="B75">
        <f>IFERROR(VLOOKUP(A75,管理亚马逊库存!A:K,11,0),"")</f>
        <v>1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1</v>
      </c>
      <c r="M75">
        <f>IFERROR(VLOOKUP(A75,库龄!B:N,12,0),0)</f>
        <v>0</v>
      </c>
      <c r="N75">
        <f t="shared" si="4"/>
        <v>1</v>
      </c>
    </row>
    <row r="76" spans="1:14">
      <c r="A76" s="3" t="s">
        <v>372</v>
      </c>
      <c r="B76">
        <f>IFERROR(VLOOKUP(A76,管理亚马逊库存!A:K,11,0),"")</f>
        <v>25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25</v>
      </c>
      <c r="M76">
        <f>IFERROR(VLOOKUP(A76,库龄!B:N,12,0),0)</f>
        <v>0</v>
      </c>
      <c r="N76">
        <f t="shared" si="4"/>
        <v>25</v>
      </c>
    </row>
    <row r="77" spans="1:14">
      <c r="A77" s="3" t="s">
        <v>376</v>
      </c>
      <c r="B77">
        <f>IFERROR(VLOOKUP(A77,管理亚马逊库存!A:K,11,0),"")</f>
        <v>8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8</v>
      </c>
      <c r="M77">
        <f>IFERROR(VLOOKUP(A77,库龄!B:N,12,0),0)</f>
        <v>0</v>
      </c>
      <c r="N77">
        <f t="shared" si="4"/>
        <v>8</v>
      </c>
    </row>
    <row r="78" spans="1:14">
      <c r="A78" s="3" t="s">
        <v>380</v>
      </c>
      <c r="B78">
        <f>IFERROR(VLOOKUP(A78,管理亚马逊库存!A:K,11,0),"")</f>
        <v>2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2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2</v>
      </c>
    </row>
    <row r="79" spans="1:14">
      <c r="A79" s="3" t="s">
        <v>384</v>
      </c>
      <c r="B79">
        <f>IFERROR(VLOOKUP(A79,管理亚马逊库存!A:K,11,0),"")</f>
        <v>29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29</v>
      </c>
      <c r="M79">
        <f>IFERROR(VLOOKUP(A79,库龄!B:N,12,0),0)</f>
        <v>0</v>
      </c>
      <c r="N79">
        <f t="shared" si="4"/>
        <v>29</v>
      </c>
    </row>
    <row r="80" spans="1:14">
      <c r="A80" s="3" t="s">
        <v>388</v>
      </c>
      <c r="B80">
        <f>IFERROR(VLOOKUP(A80,管理亚马逊库存!A:K,11,0),"")</f>
        <v>2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2</v>
      </c>
      <c r="M80">
        <f>IFERROR(VLOOKUP(A80,库龄!B:N,12,0),0)</f>
        <v>0</v>
      </c>
      <c r="N80">
        <f t="shared" si="4"/>
        <v>2</v>
      </c>
    </row>
    <row r="81" spans="1:14">
      <c r="A81" s="3" t="s">
        <v>392</v>
      </c>
      <c r="B81">
        <f>IFERROR(VLOOKUP(A81,管理亚马逊库存!A:K,11,0),"")</f>
        <v>6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3</v>
      </c>
      <c r="L81">
        <f>IFERROR(VLOOKUP(A81,库龄!B:M,11,0),0)</f>
        <v>3</v>
      </c>
      <c r="M81">
        <f>IFERROR(VLOOKUP(A81,库龄!B:N,12,0),0)</f>
        <v>0</v>
      </c>
      <c r="N81">
        <f t="shared" si="4"/>
        <v>6</v>
      </c>
    </row>
    <row r="82" spans="1:14">
      <c r="A82" s="3" t="s">
        <v>397</v>
      </c>
      <c r="B82">
        <f>IFERROR(VLOOKUP(A82,管理亚马逊库存!A:K,11,0),"")</f>
        <v>1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1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1</v>
      </c>
    </row>
    <row r="83" spans="1:14">
      <c r="A83" s="3" t="s">
        <v>401</v>
      </c>
      <c r="B83">
        <f>IFERROR(VLOOKUP(A83,管理亚马逊库存!A:K,11,0),"")</f>
        <v>3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3</v>
      </c>
      <c r="M83">
        <f>IFERROR(VLOOKUP(A83,库龄!B:N,12,0),0)</f>
        <v>0</v>
      </c>
      <c r="N83">
        <f t="shared" si="4"/>
        <v>3</v>
      </c>
    </row>
    <row r="84" spans="1:14">
      <c r="A84" s="3" t="s">
        <v>405</v>
      </c>
      <c r="B84">
        <f>IFERROR(VLOOKUP(A84,管理亚马逊库存!A:K,11,0),"")</f>
        <v>1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1</v>
      </c>
      <c r="M84">
        <f>IFERROR(VLOOKUP(A84,库龄!B:N,12,0),0)</f>
        <v>0</v>
      </c>
      <c r="N84">
        <f t="shared" si="4"/>
        <v>1</v>
      </c>
    </row>
    <row r="85" spans="1:14">
      <c r="A85" s="3" t="s">
        <v>409</v>
      </c>
      <c r="B85">
        <f>IFERROR(VLOOKUP(A85,管理亚马逊库存!A:K,11,0),"")</f>
        <v>30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2</v>
      </c>
      <c r="K85">
        <f>IFERROR(VLOOKUP(A85,库龄!B:L,10,0),0)</f>
        <v>0</v>
      </c>
      <c r="L85">
        <f>IFERROR(VLOOKUP(A85,库龄!B:M,11,0),0)</f>
        <v>28</v>
      </c>
      <c r="M85">
        <f>IFERROR(VLOOKUP(A85,库龄!B:N,12,0),0)</f>
        <v>0</v>
      </c>
      <c r="N85">
        <f t="shared" si="4"/>
        <v>30</v>
      </c>
    </row>
    <row r="86" spans="1:14">
      <c r="A86" s="3" t="s">
        <v>413</v>
      </c>
      <c r="B86">
        <f>IFERROR(VLOOKUP(A86,管理亚马逊库存!A:K,11,0),"")</f>
        <v>12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12</v>
      </c>
      <c r="M86">
        <f>IFERROR(VLOOKUP(A86,库龄!B:N,12,0),0)</f>
        <v>0</v>
      </c>
      <c r="N86">
        <f t="shared" si="4"/>
        <v>12</v>
      </c>
    </row>
    <row r="87" spans="1:14">
      <c r="A87" s="3" t="s">
        <v>417</v>
      </c>
      <c r="B87">
        <f>IFERROR(VLOOKUP(A87,管理亚马逊库存!A:K,11,0),"")</f>
        <v>4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4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4</v>
      </c>
    </row>
    <row r="88" spans="1:14">
      <c r="A88" s="3" t="s">
        <v>421</v>
      </c>
      <c r="B88">
        <f>IFERROR(VLOOKUP(A88,管理亚马逊库存!A:K,11,0),"")</f>
        <v>18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425</v>
      </c>
      <c r="B89">
        <f>IFERROR(VLOOKUP(A89,管理亚马逊库存!A:K,11,0),"")</f>
        <v>20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429</v>
      </c>
      <c r="B90">
        <f>IFERROR(VLOOKUP(A90,管理亚马逊库存!A:K,11,0),"")</f>
        <v>3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3</v>
      </c>
      <c r="M90">
        <f>IFERROR(VLOOKUP(A90,库龄!B:N,12,0),0)</f>
        <v>0</v>
      </c>
      <c r="N90">
        <f t="shared" si="4"/>
        <v>3</v>
      </c>
    </row>
    <row r="91" spans="1:14">
      <c r="A91" s="3" t="s">
        <v>433</v>
      </c>
      <c r="B91">
        <f>IFERROR(VLOOKUP(A91,管理亚马逊库存!A:K,11,0),"")</f>
        <v>2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2</v>
      </c>
      <c r="M91">
        <f>IFERROR(VLOOKUP(A91,库龄!B:N,12,0),0)</f>
        <v>0</v>
      </c>
      <c r="N91">
        <f t="shared" si="4"/>
        <v>2</v>
      </c>
    </row>
    <row r="92" spans="1:14">
      <c r="A92" s="3" t="s">
        <v>437</v>
      </c>
      <c r="B92">
        <f>IFERROR(VLOOKUP(A92,管理亚马逊库存!A:K,11,0),"")</f>
        <v>46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46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46</v>
      </c>
    </row>
    <row r="93" spans="1:14">
      <c r="A93" s="3" t="s">
        <v>441</v>
      </c>
      <c r="B93">
        <f>IFERROR(VLOOKUP(A93,管理亚马逊库存!A:K,11,0),"")</f>
        <v>3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3</v>
      </c>
      <c r="M93">
        <f>IFERROR(VLOOKUP(A93,库龄!B:N,12,0),0)</f>
        <v>0</v>
      </c>
      <c r="N93">
        <f t="shared" si="4"/>
        <v>3</v>
      </c>
    </row>
    <row r="94" spans="1:14">
      <c r="A94" s="3" t="s">
        <v>445</v>
      </c>
      <c r="B94">
        <f>IFERROR(VLOOKUP(A94,管理亚马逊库存!A:K,11,0),"")</f>
        <v>9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9</v>
      </c>
      <c r="M94">
        <f>IFERROR(VLOOKUP(A94,库龄!B:N,12,0),0)</f>
        <v>0</v>
      </c>
      <c r="N94">
        <f t="shared" si="4"/>
        <v>9</v>
      </c>
    </row>
    <row r="95" spans="1:14">
      <c r="A95" s="3" t="s">
        <v>449</v>
      </c>
      <c r="B95">
        <f>IFERROR(VLOOKUP(A95,管理亚马逊库存!A:K,11,0),"")</f>
        <v>16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16</v>
      </c>
      <c r="M95">
        <f>IFERROR(VLOOKUP(A95,库龄!B:N,12,0),0)</f>
        <v>0</v>
      </c>
      <c r="N95">
        <f t="shared" si="4"/>
        <v>16</v>
      </c>
    </row>
    <row r="96" spans="1:14">
      <c r="A96" s="3" t="s">
        <v>453</v>
      </c>
      <c r="B96">
        <f>IFERROR(VLOOKUP(A96,管理亚马逊库存!A:K,11,0),"")</f>
        <v>19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19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19</v>
      </c>
    </row>
    <row r="97" spans="1:14">
      <c r="A97" s="3" t="s">
        <v>458</v>
      </c>
      <c r="B97">
        <f>IFERROR(VLOOKUP(A97,管理亚马逊库存!A:K,11,0),"")</f>
        <v>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1</v>
      </c>
      <c r="M97">
        <f>IFERROR(VLOOKUP(A97,库龄!B:N,12,0),0)</f>
        <v>0</v>
      </c>
      <c r="N97">
        <f t="shared" si="4"/>
        <v>1</v>
      </c>
    </row>
    <row r="98" spans="1:14">
      <c r="A98" s="3" t="s">
        <v>462</v>
      </c>
      <c r="B98">
        <f>IFERROR(VLOOKUP(A98,管理亚马逊库存!A:K,11,0),"")</f>
        <v>9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1</v>
      </c>
      <c r="K98">
        <f>IFERROR(VLOOKUP(A98,库龄!B:L,10,0),0)</f>
        <v>8</v>
      </c>
      <c r="L98">
        <f>IFERROR(VLOOKUP(A98,库龄!B:M,11,0),0)</f>
        <v>0</v>
      </c>
      <c r="M98">
        <f>IFERROR(VLOOKUP(A98,库龄!B:N,12,0),0)</f>
        <v>0</v>
      </c>
      <c r="N98">
        <f t="shared" si="4"/>
        <v>9</v>
      </c>
    </row>
    <row r="99" spans="1:14">
      <c r="A99" s="3" t="s">
        <v>467</v>
      </c>
      <c r="B99">
        <f>IFERROR(VLOOKUP(A99,管理亚马逊库存!A:K,11,0),"")</f>
        <v>1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1</v>
      </c>
      <c r="M99">
        <f>IFERROR(VLOOKUP(A99,库龄!B:N,12,0),0)</f>
        <v>0</v>
      </c>
      <c r="N99">
        <f t="shared" si="4"/>
        <v>1</v>
      </c>
    </row>
    <row r="100" spans="1:14">
      <c r="A100" s="3" t="s">
        <v>471</v>
      </c>
      <c r="B100">
        <f>IFERROR(VLOOKUP(A100,管理亚马逊库存!A:K,11,0),"")</f>
        <v>10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9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9</v>
      </c>
    </row>
    <row r="101" spans="1:14">
      <c r="A101" s="3" t="s">
        <v>475</v>
      </c>
      <c r="B101">
        <f>IFERROR(VLOOKUP(A101,管理亚马逊库存!A:K,11,0),"")</f>
        <v>8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8</v>
      </c>
      <c r="M101">
        <f>IFERROR(VLOOKUP(A101,库龄!B:N,12,0),0)</f>
        <v>0</v>
      </c>
      <c r="N101">
        <f t="shared" si="4"/>
        <v>8</v>
      </c>
    </row>
    <row r="102" spans="1:14">
      <c r="A102" s="3" t="s">
        <v>479</v>
      </c>
      <c r="B102">
        <f>IFERROR(VLOOKUP(A102,管理亚马逊库存!A:K,11,0),"")</f>
        <v>45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45</v>
      </c>
      <c r="M102">
        <f>IFERROR(VLOOKUP(A102,库龄!B:N,12,0),0)</f>
        <v>0</v>
      </c>
      <c r="N102">
        <f t="shared" si="4"/>
        <v>45</v>
      </c>
    </row>
    <row r="103" spans="1:14">
      <c r="A103" s="3" t="s">
        <v>483</v>
      </c>
      <c r="B103">
        <f>IFERROR(VLOOKUP(A103,管理亚马逊库存!A:K,11,0),"")</f>
        <v>33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11</v>
      </c>
      <c r="L103">
        <f>IFERROR(VLOOKUP(A103,库龄!B:M,11,0),0)</f>
        <v>22</v>
      </c>
      <c r="M103">
        <f>IFERROR(VLOOKUP(A103,库龄!B:N,12,0),0)</f>
        <v>0</v>
      </c>
      <c r="N103">
        <f t="shared" si="4"/>
        <v>33</v>
      </c>
    </row>
    <row r="104" spans="1:14">
      <c r="A104" s="3" t="s">
        <v>488</v>
      </c>
      <c r="B104">
        <f>IFERROR(VLOOKUP(A104,管理亚马逊库存!A:K,11,0),"")</f>
        <v>2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2</v>
      </c>
      <c r="M104">
        <f>IFERROR(VLOOKUP(A104,库龄!B:N,12,0),0)</f>
        <v>0</v>
      </c>
      <c r="N104">
        <f t="shared" si="4"/>
        <v>2</v>
      </c>
    </row>
    <row r="105" spans="1:14">
      <c r="A105" s="3" t="s">
        <v>492</v>
      </c>
      <c r="B105">
        <f>IFERROR(VLOOKUP(A105,管理亚马逊库存!A:K,11,0),"")</f>
        <v>10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10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10</v>
      </c>
    </row>
    <row r="106" spans="1:14">
      <c r="A106" s="3" t="s">
        <v>496</v>
      </c>
      <c r="B106">
        <f>IFERROR(VLOOKUP(A106,管理亚马逊库存!A:K,11,0),"")</f>
        <v>4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4</v>
      </c>
      <c r="M106">
        <f>IFERROR(VLOOKUP(A106,库龄!B:N,12,0),0)</f>
        <v>0</v>
      </c>
      <c r="N106">
        <f t="shared" si="4"/>
        <v>4</v>
      </c>
    </row>
    <row r="107" spans="1:14">
      <c r="A107" s="3" t="s">
        <v>500</v>
      </c>
      <c r="B107">
        <f>IFERROR(VLOOKUP(A107,管理亚马逊库存!A:K,11,0),"")</f>
        <v>2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2</v>
      </c>
      <c r="M107">
        <f>IFERROR(VLOOKUP(A107,库龄!B:N,12,0),0)</f>
        <v>0</v>
      </c>
      <c r="N107">
        <f t="shared" si="4"/>
        <v>2</v>
      </c>
    </row>
    <row r="108" spans="1:14">
      <c r="A108" s="3" t="s">
        <v>504</v>
      </c>
      <c r="B108">
        <f>IFERROR(VLOOKUP(A108,管理亚马逊库存!A:K,11,0),"")</f>
        <v>1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1</v>
      </c>
      <c r="M108">
        <f>IFERROR(VLOOKUP(A108,库龄!B:N,12,0),0)</f>
        <v>0</v>
      </c>
      <c r="N108">
        <f t="shared" si="4"/>
        <v>1</v>
      </c>
    </row>
    <row r="109" spans="1:14">
      <c r="A109" s="3" t="s">
        <v>508</v>
      </c>
      <c r="B109">
        <f>IFERROR(VLOOKUP(A109,管理亚马逊库存!A:K,11,0),"")</f>
        <v>2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2</v>
      </c>
      <c r="M109">
        <f>IFERROR(VLOOKUP(A109,库龄!B:N,12,0),0)</f>
        <v>0</v>
      </c>
      <c r="N109">
        <f t="shared" si="4"/>
        <v>2</v>
      </c>
    </row>
    <row r="110" spans="1:14">
      <c r="A110" s="3" t="s">
        <v>512</v>
      </c>
      <c r="B110">
        <f>IFERROR(VLOOKUP(A110,管理亚马逊库存!A:K,11,0),"")</f>
        <v>3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3</v>
      </c>
      <c r="M110">
        <f>IFERROR(VLOOKUP(A110,库龄!B:N,12,0),0)</f>
        <v>0</v>
      </c>
      <c r="N110">
        <f t="shared" si="4"/>
        <v>3</v>
      </c>
    </row>
    <row r="111" spans="1:14">
      <c r="A111" s="3" t="s">
        <v>516</v>
      </c>
      <c r="B111">
        <f>IFERROR(VLOOKUP(A111,管理亚马逊库存!A:K,11,0),"")</f>
        <v>1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1</v>
      </c>
      <c r="M111">
        <f>IFERROR(VLOOKUP(A111,库龄!B:N,12,0),0)</f>
        <v>0</v>
      </c>
      <c r="N111">
        <f t="shared" si="4"/>
        <v>1</v>
      </c>
    </row>
    <row r="112" spans="1:14">
      <c r="A112" s="3" t="s">
        <v>520</v>
      </c>
      <c r="B112">
        <f>IFERROR(VLOOKUP(A112,管理亚马逊库存!A:K,11,0),"")</f>
        <v>25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25</v>
      </c>
      <c r="M112">
        <f>IFERROR(VLOOKUP(A112,库龄!B:N,12,0),0)</f>
        <v>0</v>
      </c>
      <c r="N112">
        <f t="shared" si="4"/>
        <v>25</v>
      </c>
    </row>
    <row r="113" spans="1:14">
      <c r="A113" s="3" t="s">
        <v>524</v>
      </c>
      <c r="B113">
        <f>IFERROR(VLOOKUP(A113,管理亚马逊库存!A:K,11,0),"")</f>
        <v>27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27</v>
      </c>
      <c r="M113">
        <f>IFERROR(VLOOKUP(A113,库龄!B:N,12,0),0)</f>
        <v>0</v>
      </c>
      <c r="N113">
        <f t="shared" si="4"/>
        <v>27</v>
      </c>
    </row>
    <row r="114" spans="1:14">
      <c r="A114" s="3" t="s">
        <v>528</v>
      </c>
      <c r="B114">
        <f>IFERROR(VLOOKUP(A114,管理亚马逊库存!A:K,11,0),"")</f>
        <v>57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57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57</v>
      </c>
    </row>
    <row r="115" spans="1:14">
      <c r="A115" s="3" t="s">
        <v>532</v>
      </c>
      <c r="B115">
        <f>IFERROR(VLOOKUP(A115,管理亚马逊库存!A:K,11,0),"")</f>
        <v>1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1</v>
      </c>
      <c r="M115">
        <f>IFERROR(VLOOKUP(A115,库龄!B:N,12,0),0)</f>
        <v>0</v>
      </c>
      <c r="N115">
        <f t="shared" si="4"/>
        <v>1</v>
      </c>
    </row>
    <row r="116" spans="1:14">
      <c r="A116" s="3" t="s">
        <v>536</v>
      </c>
      <c r="B116">
        <f>IFERROR(VLOOKUP(A116,管理亚马逊库存!A:K,11,0),"")</f>
        <v>19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19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19</v>
      </c>
    </row>
    <row r="117" spans="1:14">
      <c r="A117" s="3" t="s">
        <v>540</v>
      </c>
      <c r="B117">
        <f>IFERROR(VLOOKUP(A117,管理亚马逊库存!A:K,11,0),"")</f>
        <v>26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26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26</v>
      </c>
    </row>
    <row r="118" spans="1:14">
      <c r="A118" s="3" t="s">
        <v>545</v>
      </c>
      <c r="B118">
        <f>IFERROR(VLOOKUP(A118,管理亚马逊库存!A:K,11,0),"")</f>
        <v>27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1</v>
      </c>
      <c r="L118">
        <f>IFERROR(VLOOKUP(A118,库龄!B:M,11,0),0)</f>
        <v>26</v>
      </c>
      <c r="M118">
        <f>IFERROR(VLOOKUP(A118,库龄!B:N,12,0),0)</f>
        <v>0</v>
      </c>
      <c r="N118">
        <f t="shared" si="4"/>
        <v>27</v>
      </c>
    </row>
    <row r="119" spans="1:14">
      <c r="A119" s="3" t="s">
        <v>549</v>
      </c>
      <c r="B119">
        <f>IFERROR(VLOOKUP(A119,管理亚马逊库存!A:K,11,0),"")</f>
        <v>3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3</v>
      </c>
      <c r="M119">
        <f>IFERROR(VLOOKUP(A119,库龄!B:N,12,0),0)</f>
        <v>0</v>
      </c>
      <c r="N119">
        <f t="shared" si="4"/>
        <v>3</v>
      </c>
    </row>
    <row r="120" spans="1:14">
      <c r="A120" s="3" t="s">
        <v>553</v>
      </c>
      <c r="B120">
        <f>IFERROR(VLOOKUP(A120,管理亚马逊库存!A:K,11,0),"")</f>
        <v>1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1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1</v>
      </c>
    </row>
    <row r="121" spans="1:14">
      <c r="A121" s="3" t="s">
        <v>558</v>
      </c>
      <c r="B121">
        <f>IFERROR(VLOOKUP(A121,管理亚马逊库存!A:K,11,0),"")</f>
        <v>5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5</v>
      </c>
      <c r="M121">
        <f>IFERROR(VLOOKUP(A121,库龄!B:N,12,0),0)</f>
        <v>0</v>
      </c>
      <c r="N121">
        <f t="shared" si="4"/>
        <v>5</v>
      </c>
    </row>
    <row r="122" spans="1:14">
      <c r="A122" s="3" t="s">
        <v>562</v>
      </c>
      <c r="B122">
        <f>IFERROR(VLOOKUP(A122,管理亚马逊库存!A:K,11,0),"")</f>
        <v>1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1</v>
      </c>
      <c r="M122">
        <f>IFERROR(VLOOKUP(A122,库龄!B:N,12,0),0)</f>
        <v>0</v>
      </c>
      <c r="N122">
        <f t="shared" si="4"/>
        <v>1</v>
      </c>
    </row>
    <row r="123" spans="1:14">
      <c r="A123" s="3" t="s">
        <v>566</v>
      </c>
      <c r="B123">
        <f>IFERROR(VLOOKUP(A123,管理亚马逊库存!A:K,11,0),"")</f>
        <v>12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1</v>
      </c>
      <c r="K123">
        <f>IFERROR(VLOOKUP(A123,库龄!B:L,10,0),0)</f>
        <v>0</v>
      </c>
      <c r="L123">
        <f>IFERROR(VLOOKUP(A123,库龄!B:M,11,0),0)</f>
        <v>11</v>
      </c>
      <c r="M123">
        <f>IFERROR(VLOOKUP(A123,库龄!B:N,12,0),0)</f>
        <v>0</v>
      </c>
      <c r="N123">
        <f t="shared" si="4"/>
        <v>12</v>
      </c>
    </row>
    <row r="124" spans="1:14">
      <c r="A124" s="3" t="s">
        <v>570</v>
      </c>
      <c r="B124">
        <f>IFERROR(VLOOKUP(A124,管理亚马逊库存!A:K,11,0),"")</f>
        <v>2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2</v>
      </c>
      <c r="M124">
        <f>IFERROR(VLOOKUP(A124,库龄!B:N,12,0),0)</f>
        <v>0</v>
      </c>
      <c r="N124">
        <f t="shared" si="4"/>
        <v>2</v>
      </c>
    </row>
    <row r="125" spans="1:14">
      <c r="A125" s="3" t="s">
        <v>574</v>
      </c>
      <c r="B125">
        <f>IFERROR(VLOOKUP(A125,管理亚马逊库存!A:K,11,0),"")</f>
        <v>3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3</v>
      </c>
      <c r="M125">
        <f>IFERROR(VLOOKUP(A125,库龄!B:N,12,0),0)</f>
        <v>0</v>
      </c>
      <c r="N125">
        <f t="shared" si="4"/>
        <v>3</v>
      </c>
    </row>
    <row r="126" spans="1:14">
      <c r="A126" s="3" t="s">
        <v>579</v>
      </c>
      <c r="B126">
        <f>IFERROR(VLOOKUP(A126,管理亚马逊库存!A:K,11,0),"")</f>
        <v>28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28</v>
      </c>
      <c r="M126">
        <f>IFERROR(VLOOKUP(A126,库龄!B:N,12,0),0)</f>
        <v>0</v>
      </c>
      <c r="N126">
        <f t="shared" si="4"/>
        <v>28</v>
      </c>
    </row>
    <row r="127" spans="1:14">
      <c r="A127" s="3" t="s">
        <v>583</v>
      </c>
      <c r="B127">
        <f>IFERROR(VLOOKUP(A127,管理亚马逊库存!A:K,11,0),"")</f>
        <v>8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8</v>
      </c>
      <c r="M127">
        <f>IFERROR(VLOOKUP(A127,库龄!B:N,12,0),0)</f>
        <v>0</v>
      </c>
      <c r="N127">
        <f t="shared" si="4"/>
        <v>8</v>
      </c>
    </row>
    <row r="128" spans="1:14">
      <c r="A128" s="3" t="s">
        <v>587</v>
      </c>
      <c r="B128">
        <f>IFERROR(VLOOKUP(A128,管理亚马逊库存!A:K,11,0),"")</f>
        <v>32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32</v>
      </c>
      <c r="M128">
        <f>IFERROR(VLOOKUP(A128,库龄!B:N,12,0),0)</f>
        <v>0</v>
      </c>
      <c r="N128">
        <f t="shared" si="4"/>
        <v>32</v>
      </c>
    </row>
    <row r="129" spans="1:14">
      <c r="A129" s="3" t="s">
        <v>591</v>
      </c>
      <c r="B129">
        <f>IFERROR(VLOOKUP(A129,管理亚马逊库存!A:K,11,0),"")</f>
        <v>1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1</v>
      </c>
      <c r="M129">
        <f>IFERROR(VLOOKUP(A129,库龄!B:N,12,0),0)</f>
        <v>0</v>
      </c>
      <c r="N129">
        <f t="shared" si="4"/>
        <v>1</v>
      </c>
    </row>
    <row r="130" spans="1:14">
      <c r="A130" s="3" t="s">
        <v>596</v>
      </c>
      <c r="B130">
        <f>IFERROR(VLOOKUP(A130,管理亚马逊库存!A:K,11,0),"")</f>
        <v>4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4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4</v>
      </c>
    </row>
    <row r="131" spans="1:14">
      <c r="A131" s="3" t="s">
        <v>600</v>
      </c>
      <c r="B131">
        <f>IFERROR(VLOOKUP(A131,管理亚马逊库存!A:K,11,0),"")</f>
        <v>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2</v>
      </c>
      <c r="M131">
        <f>IFERROR(VLOOKUP(A131,库龄!B:N,12,0),0)</f>
        <v>0</v>
      </c>
      <c r="N131">
        <f t="shared" ref="N131:N194" si="6">SUM(J131:M131)</f>
        <v>2</v>
      </c>
    </row>
    <row r="132" spans="1:14">
      <c r="A132" s="3" t="s">
        <v>604</v>
      </c>
      <c r="B132">
        <f>IFERROR(VLOOKUP(A132,管理亚马逊库存!A:K,11,0),"")</f>
        <v>13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13</v>
      </c>
      <c r="M132">
        <f>IFERROR(VLOOKUP(A132,库龄!B:N,12,0),0)</f>
        <v>0</v>
      </c>
      <c r="N132">
        <f t="shared" si="6"/>
        <v>13</v>
      </c>
    </row>
    <row r="133" spans="1:14">
      <c r="A133" s="3" t="s">
        <v>608</v>
      </c>
      <c r="B133">
        <f>IFERROR(VLOOKUP(A133,管理亚马逊库存!A:K,11,0),"")</f>
        <v>3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3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3</v>
      </c>
    </row>
    <row r="134" spans="1:14">
      <c r="A134" s="3" t="s">
        <v>613</v>
      </c>
      <c r="B134">
        <f>IFERROR(VLOOKUP(A134,管理亚马逊库存!A:K,11,0),"")</f>
        <v>3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3</v>
      </c>
      <c r="M134">
        <f>IFERROR(VLOOKUP(A134,库龄!B:N,12,0),0)</f>
        <v>0</v>
      </c>
      <c r="N134">
        <f t="shared" si="6"/>
        <v>3</v>
      </c>
    </row>
    <row r="135" spans="1:14">
      <c r="A135" s="3" t="s">
        <v>618</v>
      </c>
      <c r="B135">
        <f>IFERROR(VLOOKUP(A135,管理亚马逊库存!A:K,11,0),"")</f>
        <v>30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30</v>
      </c>
      <c r="M135">
        <f>IFERROR(VLOOKUP(A135,库龄!B:N,12,0),0)</f>
        <v>0</v>
      </c>
      <c r="N135">
        <f t="shared" si="6"/>
        <v>30</v>
      </c>
    </row>
    <row r="136" spans="1:14">
      <c r="A136" s="3" t="s">
        <v>622</v>
      </c>
      <c r="B136">
        <f>IFERROR(VLOOKUP(A136,管理亚马逊库存!A:K,11,0),"")</f>
        <v>1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1</v>
      </c>
      <c r="M136">
        <f>IFERROR(VLOOKUP(A136,库龄!B:N,12,0),0)</f>
        <v>0</v>
      </c>
      <c r="N136">
        <f t="shared" si="6"/>
        <v>1</v>
      </c>
    </row>
    <row r="137" spans="1:14">
      <c r="A137" s="3" t="s">
        <v>626</v>
      </c>
      <c r="B137">
        <f>IFERROR(VLOOKUP(A137,管理亚马逊库存!A:K,11,0),"")</f>
        <v>4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4</v>
      </c>
      <c r="M137">
        <f>IFERROR(VLOOKUP(A137,库龄!B:N,12,0),0)</f>
        <v>0</v>
      </c>
      <c r="N137">
        <f t="shared" si="6"/>
        <v>4</v>
      </c>
    </row>
    <row r="138" spans="1:14">
      <c r="A138" s="3" t="s">
        <v>631</v>
      </c>
      <c r="B138">
        <f>IFERROR(VLOOKUP(A138,管理亚马逊库存!A:K,11,0),"")</f>
        <v>33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33</v>
      </c>
      <c r="M138">
        <f>IFERROR(VLOOKUP(A138,库龄!B:N,12,0),0)</f>
        <v>0</v>
      </c>
      <c r="N138">
        <f t="shared" si="6"/>
        <v>33</v>
      </c>
    </row>
    <row r="139" spans="1:14">
      <c r="A139" s="3" t="s">
        <v>635</v>
      </c>
      <c r="B139">
        <f>IFERROR(VLOOKUP(A139,管理亚马逊库存!A:K,11,0),"")</f>
        <v>1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1</v>
      </c>
      <c r="M139">
        <f>IFERROR(VLOOKUP(A139,库龄!B:N,12,0),0)</f>
        <v>0</v>
      </c>
      <c r="N139">
        <f t="shared" si="6"/>
        <v>1</v>
      </c>
    </row>
    <row r="140" spans="1:14">
      <c r="A140" s="3" t="s">
        <v>639</v>
      </c>
      <c r="B140">
        <f>IFERROR(VLOOKUP(A140,管理亚马逊库存!A:K,11,0),"")</f>
        <v>2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2</v>
      </c>
      <c r="M140">
        <f>IFERROR(VLOOKUP(A140,库龄!B:N,12,0),0)</f>
        <v>0</v>
      </c>
      <c r="N140">
        <f t="shared" si="6"/>
        <v>2</v>
      </c>
    </row>
    <row r="141" spans="1:14">
      <c r="A141" s="3" t="s">
        <v>643</v>
      </c>
      <c r="B141">
        <f>IFERROR(VLOOKUP(A141,管理亚马逊库存!A:K,11,0),"")</f>
        <v>3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3</v>
      </c>
      <c r="M141">
        <f>IFERROR(VLOOKUP(A141,库龄!B:N,12,0),0)</f>
        <v>0</v>
      </c>
      <c r="N141">
        <f t="shared" si="6"/>
        <v>3</v>
      </c>
    </row>
    <row r="142" spans="1:14">
      <c r="A142" s="3" t="s">
        <v>647</v>
      </c>
      <c r="B142">
        <f>IFERROR(VLOOKUP(A142,管理亚马逊库存!A:K,11,0),"")</f>
        <v>2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2</v>
      </c>
      <c r="M142">
        <f>IFERROR(VLOOKUP(A142,库龄!B:N,12,0),0)</f>
        <v>0</v>
      </c>
      <c r="N142">
        <f t="shared" si="6"/>
        <v>2</v>
      </c>
    </row>
    <row r="143" spans="1:14">
      <c r="A143" s="3" t="s">
        <v>651</v>
      </c>
      <c r="B143">
        <f>IFERROR(VLOOKUP(A143,管理亚马逊库存!A:K,11,0),"")</f>
        <v>29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29</v>
      </c>
      <c r="M143">
        <f>IFERROR(VLOOKUP(A143,库龄!B:N,12,0),0)</f>
        <v>0</v>
      </c>
      <c r="N143">
        <f t="shared" si="6"/>
        <v>29</v>
      </c>
    </row>
    <row r="144" spans="1:14">
      <c r="A144" s="3" t="s">
        <v>655</v>
      </c>
      <c r="B144">
        <f>IFERROR(VLOOKUP(A144,管理亚马逊库存!A:K,11,0),"")</f>
        <v>29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29</v>
      </c>
      <c r="M144">
        <f>IFERROR(VLOOKUP(A144,库龄!B:N,12,0),0)</f>
        <v>0</v>
      </c>
      <c r="N144">
        <f t="shared" si="6"/>
        <v>29</v>
      </c>
    </row>
    <row r="145" spans="1:14">
      <c r="A145" s="3" t="s">
        <v>659</v>
      </c>
      <c r="B145">
        <f>IFERROR(VLOOKUP(A145,管理亚马逊库存!A:K,11,0),"")</f>
        <v>2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2</v>
      </c>
      <c r="M145">
        <f>IFERROR(VLOOKUP(A145,库龄!B:N,12,0),0)</f>
        <v>0</v>
      </c>
      <c r="N145">
        <f t="shared" si="6"/>
        <v>2</v>
      </c>
    </row>
    <row r="146" spans="1:14">
      <c r="A146" s="3" t="s">
        <v>664</v>
      </c>
      <c r="B146">
        <f>IFERROR(VLOOKUP(A146,管理亚马逊库存!A:K,11,0),"")</f>
        <v>1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1</v>
      </c>
      <c r="M146">
        <f>IFERROR(VLOOKUP(A146,库龄!B:N,12,0),0)</f>
        <v>0</v>
      </c>
      <c r="N146">
        <f t="shared" si="6"/>
        <v>1</v>
      </c>
    </row>
    <row r="147" spans="1:14">
      <c r="A147" s="3" t="s">
        <v>668</v>
      </c>
      <c r="B147">
        <f>IFERROR(VLOOKUP(A147,管理亚马逊库存!A:K,11,0),"")</f>
        <v>2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2</v>
      </c>
      <c r="M147">
        <f>IFERROR(VLOOKUP(A147,库龄!B:N,12,0),0)</f>
        <v>0</v>
      </c>
      <c r="N147">
        <f t="shared" si="6"/>
        <v>2</v>
      </c>
    </row>
    <row r="148" spans="1:14">
      <c r="A148" s="3" t="s">
        <v>672</v>
      </c>
      <c r="B148">
        <f>IFERROR(VLOOKUP(A148,管理亚马逊库存!A:K,11,0),"")</f>
        <v>2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2</v>
      </c>
      <c r="M148">
        <f>IFERROR(VLOOKUP(A148,库龄!B:N,12,0),0)</f>
        <v>0</v>
      </c>
      <c r="N148">
        <f t="shared" si="6"/>
        <v>2</v>
      </c>
    </row>
    <row r="149" spans="1:14">
      <c r="A149" s="3" t="s">
        <v>676</v>
      </c>
      <c r="B149">
        <f>IFERROR(VLOOKUP(A149,管理亚马逊库存!A:K,11,0),"")</f>
        <v>10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10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10</v>
      </c>
    </row>
    <row r="150" spans="1:14">
      <c r="A150" s="3" t="s">
        <v>680</v>
      </c>
      <c r="B150">
        <f>IFERROR(VLOOKUP(A150,管理亚马逊库存!A:K,11,0),"")</f>
        <v>41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41</v>
      </c>
      <c r="M150">
        <f>IFERROR(VLOOKUP(A150,库龄!B:N,12,0),0)</f>
        <v>0</v>
      </c>
      <c r="N150">
        <f t="shared" si="6"/>
        <v>41</v>
      </c>
    </row>
    <row r="151" spans="1:14">
      <c r="A151" s="3" t="s">
        <v>685</v>
      </c>
      <c r="B151">
        <f>IFERROR(VLOOKUP(A151,管理亚马逊库存!A:K,11,0),"")</f>
        <v>1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1</v>
      </c>
      <c r="M151">
        <f>IFERROR(VLOOKUP(A151,库龄!B:N,12,0),0)</f>
        <v>0</v>
      </c>
      <c r="N151">
        <f t="shared" si="6"/>
        <v>1</v>
      </c>
    </row>
    <row r="152" spans="1:14">
      <c r="A152" s="3" t="s">
        <v>689</v>
      </c>
      <c r="B152">
        <f>IFERROR(VLOOKUP(A152,管理亚马逊库存!A:K,11,0),"")</f>
        <v>28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28</v>
      </c>
      <c r="M152">
        <f>IFERROR(VLOOKUP(A152,库龄!B:N,12,0),0)</f>
        <v>0</v>
      </c>
      <c r="N152">
        <f t="shared" si="6"/>
        <v>28</v>
      </c>
    </row>
    <row r="153" spans="1:14">
      <c r="A153" s="3" t="s">
        <v>693</v>
      </c>
      <c r="B153">
        <f>IFERROR(VLOOKUP(A153,管理亚马逊库存!A:K,11,0),"")</f>
        <v>4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3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3</v>
      </c>
    </row>
    <row r="154" spans="1:14">
      <c r="A154" s="3" t="s">
        <v>697</v>
      </c>
      <c r="B154">
        <f>IFERROR(VLOOKUP(A154,管理亚马逊库存!A:K,11,0),"")</f>
        <v>48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1</v>
      </c>
      <c r="L154">
        <f>IFERROR(VLOOKUP(A154,库龄!B:M,11,0),0)</f>
        <v>47</v>
      </c>
      <c r="M154">
        <f>IFERROR(VLOOKUP(A154,库龄!B:N,12,0),0)</f>
        <v>0</v>
      </c>
      <c r="N154">
        <f t="shared" si="6"/>
        <v>48</v>
      </c>
    </row>
    <row r="155" spans="1:14">
      <c r="A155" s="3" t="s">
        <v>701</v>
      </c>
      <c r="B155">
        <f>IFERROR(VLOOKUP(A155,管理亚马逊库存!A:K,11,0),"")</f>
        <v>2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2</v>
      </c>
      <c r="M155">
        <f>IFERROR(VLOOKUP(A155,库龄!B:N,12,0),0)</f>
        <v>0</v>
      </c>
      <c r="N155">
        <f t="shared" si="6"/>
        <v>2</v>
      </c>
    </row>
    <row r="156" spans="1:14">
      <c r="A156" s="3" t="s">
        <v>705</v>
      </c>
      <c r="B156">
        <f>IFERROR(VLOOKUP(A156,管理亚马逊库存!A:K,11,0),"")</f>
        <v>41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1</v>
      </c>
      <c r="K156">
        <f>IFERROR(VLOOKUP(A156,库龄!B:L,10,0),0)</f>
        <v>0</v>
      </c>
      <c r="L156">
        <f>IFERROR(VLOOKUP(A156,库龄!B:M,11,0),0)</f>
        <v>40</v>
      </c>
      <c r="M156">
        <f>IFERROR(VLOOKUP(A156,库龄!B:N,12,0),0)</f>
        <v>0</v>
      </c>
      <c r="N156">
        <f t="shared" si="6"/>
        <v>41</v>
      </c>
    </row>
    <row r="157" spans="1:14">
      <c r="A157" s="3" t="s">
        <v>709</v>
      </c>
      <c r="B157">
        <f>IFERROR(VLOOKUP(A157,管理亚马逊库存!A:K,11,0),"")</f>
        <v>2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2</v>
      </c>
      <c r="M157">
        <f>IFERROR(VLOOKUP(A157,库龄!B:N,12,0),0)</f>
        <v>0</v>
      </c>
      <c r="N157">
        <f t="shared" si="6"/>
        <v>2</v>
      </c>
    </row>
    <row r="158" spans="1:14">
      <c r="A158" s="3" t="s">
        <v>713</v>
      </c>
      <c r="B158">
        <f>IFERROR(VLOOKUP(A158,管理亚马逊库存!A:K,11,0),"")</f>
        <v>2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2</v>
      </c>
      <c r="M158">
        <f>IFERROR(VLOOKUP(A158,库龄!B:N,12,0),0)</f>
        <v>0</v>
      </c>
      <c r="N158">
        <f t="shared" si="6"/>
        <v>2</v>
      </c>
    </row>
    <row r="159" spans="1:14">
      <c r="A159" s="3" t="s">
        <v>717</v>
      </c>
      <c r="B159">
        <f>IFERROR(VLOOKUP(A159,管理亚马逊库存!A:K,11,0),"")</f>
        <v>40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1</v>
      </c>
      <c r="K159">
        <f>IFERROR(VLOOKUP(A159,库龄!B:L,10,0),0)</f>
        <v>0</v>
      </c>
      <c r="L159">
        <f>IFERROR(VLOOKUP(A159,库龄!B:M,11,0),0)</f>
        <v>39</v>
      </c>
      <c r="M159">
        <f>IFERROR(VLOOKUP(A159,库龄!B:N,12,0),0)</f>
        <v>0</v>
      </c>
      <c r="N159">
        <f t="shared" si="6"/>
        <v>40</v>
      </c>
    </row>
    <row r="160" spans="1:14">
      <c r="A160" s="3" t="s">
        <v>721</v>
      </c>
      <c r="B160">
        <f>IFERROR(VLOOKUP(A160,管理亚马逊库存!A:K,11,0),"")</f>
        <v>3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3</v>
      </c>
      <c r="M160">
        <f>IFERROR(VLOOKUP(A160,库龄!B:N,12,0),0)</f>
        <v>0</v>
      </c>
      <c r="N160">
        <f t="shared" si="6"/>
        <v>3</v>
      </c>
    </row>
    <row r="161" spans="1:14">
      <c r="A161" s="3" t="s">
        <v>725</v>
      </c>
      <c r="B161">
        <f>IFERROR(VLOOKUP(A161,管理亚马逊库存!A:K,11,0),"")</f>
        <v>1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1</v>
      </c>
      <c r="M161">
        <f>IFERROR(VLOOKUP(A161,库龄!B:N,12,0),0)</f>
        <v>0</v>
      </c>
      <c r="N161">
        <f t="shared" si="6"/>
        <v>1</v>
      </c>
    </row>
    <row r="162" spans="1:14">
      <c r="A162" s="3" t="s">
        <v>729</v>
      </c>
      <c r="B162">
        <f>IFERROR(VLOOKUP(A162,管理亚马逊库存!A:K,11,0),"")</f>
        <v>14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14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14</v>
      </c>
    </row>
    <row r="163" spans="1:14">
      <c r="A163" s="3" t="s">
        <v>733</v>
      </c>
      <c r="B163">
        <f>IFERROR(VLOOKUP(A163,管理亚马逊库存!A:K,11,0),"")</f>
        <v>1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1</v>
      </c>
      <c r="M163">
        <f>IFERROR(VLOOKUP(A163,库龄!B:N,12,0),0)</f>
        <v>0</v>
      </c>
      <c r="N163">
        <f t="shared" si="6"/>
        <v>1</v>
      </c>
    </row>
    <row r="164" spans="1:14">
      <c r="A164" s="3" t="s">
        <v>737</v>
      </c>
      <c r="B164">
        <f>IFERROR(VLOOKUP(A164,管理亚马逊库存!A:K,11,0),"")</f>
        <v>28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27</v>
      </c>
      <c r="M164">
        <f>IFERROR(VLOOKUP(A164,库龄!B:N,12,0),0)</f>
        <v>0</v>
      </c>
      <c r="N164">
        <f t="shared" si="6"/>
        <v>27</v>
      </c>
    </row>
    <row r="165" spans="1:14">
      <c r="A165" s="3" t="s">
        <v>741</v>
      </c>
      <c r="B165">
        <f>IFERROR(VLOOKUP(A165,管理亚马逊库存!A:K,11,0),"")</f>
        <v>10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1</v>
      </c>
      <c r="L165">
        <f>IFERROR(VLOOKUP(A165,库龄!B:M,11,0),0)</f>
        <v>9</v>
      </c>
      <c r="M165">
        <f>IFERROR(VLOOKUP(A165,库龄!B:N,12,0),0)</f>
        <v>0</v>
      </c>
      <c r="N165">
        <f t="shared" si="6"/>
        <v>10</v>
      </c>
    </row>
    <row r="166" spans="1:14">
      <c r="A166" s="3" t="s">
        <v>745</v>
      </c>
      <c r="B166">
        <f>IFERROR(VLOOKUP(A166,管理亚马逊库存!A:K,11,0),"")</f>
        <v>8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8</v>
      </c>
      <c r="M166">
        <f>IFERROR(VLOOKUP(A166,库龄!B:N,12,0),0)</f>
        <v>0</v>
      </c>
      <c r="N166">
        <f t="shared" si="6"/>
        <v>8</v>
      </c>
    </row>
    <row r="167" spans="1:14">
      <c r="A167" s="3" t="s">
        <v>749</v>
      </c>
      <c r="B167">
        <f>IFERROR(VLOOKUP(A167,管理亚马逊库存!A:K,11,0),"")</f>
        <v>2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2</v>
      </c>
      <c r="M167">
        <f>IFERROR(VLOOKUP(A167,库龄!B:N,12,0),0)</f>
        <v>0</v>
      </c>
      <c r="N167">
        <f t="shared" si="6"/>
        <v>2</v>
      </c>
    </row>
    <row r="168" spans="1:14">
      <c r="A168" s="3" t="s">
        <v>753</v>
      </c>
      <c r="B168">
        <f>IFERROR(VLOOKUP(A168,管理亚马逊库存!A:K,11,0),"")</f>
        <v>28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28</v>
      </c>
      <c r="M168">
        <f>IFERROR(VLOOKUP(A168,库龄!B:N,12,0),0)</f>
        <v>0</v>
      </c>
      <c r="N168">
        <f t="shared" si="6"/>
        <v>28</v>
      </c>
    </row>
    <row r="169" spans="1:14">
      <c r="A169" s="3" t="s">
        <v>757</v>
      </c>
      <c r="B169">
        <f>IFERROR(VLOOKUP(A169,管理亚马逊库存!A:K,11,0),"")</f>
        <v>40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40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40</v>
      </c>
    </row>
    <row r="170" spans="1:14">
      <c r="A170" s="3" t="s">
        <v>761</v>
      </c>
      <c r="B170">
        <f>IFERROR(VLOOKUP(A170,管理亚马逊库存!A:K,11,0),"")</f>
        <v>1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1</v>
      </c>
      <c r="M170">
        <f>IFERROR(VLOOKUP(A170,库龄!B:N,12,0),0)</f>
        <v>0</v>
      </c>
      <c r="N170">
        <f t="shared" si="6"/>
        <v>1</v>
      </c>
    </row>
    <row r="171" spans="1:14">
      <c r="A171" s="3" t="s">
        <v>765</v>
      </c>
      <c r="B171">
        <f>IFERROR(VLOOKUP(A171,管理亚马逊库存!A:K,11,0),"")</f>
        <v>46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46</v>
      </c>
      <c r="M171">
        <f>IFERROR(VLOOKUP(A171,库龄!B:N,12,0),0)</f>
        <v>0</v>
      </c>
      <c r="N171">
        <f t="shared" si="6"/>
        <v>46</v>
      </c>
    </row>
    <row r="172" spans="1:14">
      <c r="A172" s="3" t="s">
        <v>770</v>
      </c>
      <c r="B172">
        <f>IFERROR(VLOOKUP(A172,管理亚马逊库存!A:K,11,0),"")</f>
        <v>2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2</v>
      </c>
      <c r="M172">
        <f>IFERROR(VLOOKUP(A172,库龄!B:N,12,0),0)</f>
        <v>0</v>
      </c>
      <c r="N172">
        <f t="shared" si="6"/>
        <v>2</v>
      </c>
    </row>
    <row r="173" spans="1:14">
      <c r="A173" s="3" t="s">
        <v>774</v>
      </c>
      <c r="B173">
        <f>IFERROR(VLOOKUP(A173,管理亚马逊库存!A:K,11,0),"")</f>
        <v>9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9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9</v>
      </c>
    </row>
    <row r="174" spans="1:14">
      <c r="A174" s="3" t="s">
        <v>778</v>
      </c>
      <c r="B174">
        <f>IFERROR(VLOOKUP(A174,管理亚马逊库存!A:K,11,0),"")</f>
        <v>10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10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10</v>
      </c>
    </row>
    <row r="175" spans="1:14">
      <c r="A175" s="3" t="s">
        <v>782</v>
      </c>
      <c r="B175">
        <f>IFERROR(VLOOKUP(A175,管理亚马逊库存!A:K,11,0),"")</f>
        <v>8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8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8</v>
      </c>
    </row>
    <row r="176" spans="1:14">
      <c r="A176" s="3" t="s">
        <v>786</v>
      </c>
      <c r="B176">
        <f>IFERROR(VLOOKUP(A176,管理亚马逊库存!A:K,11,0),"")</f>
        <v>14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14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14</v>
      </c>
    </row>
    <row r="177" spans="1:14">
      <c r="A177" s="3" t="s">
        <v>790</v>
      </c>
      <c r="B177">
        <f>IFERROR(VLOOKUP(A177,管理亚马逊库存!A:K,11,0),"")</f>
        <v>1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1</v>
      </c>
      <c r="M177">
        <f>IFERROR(VLOOKUP(A177,库龄!B:N,12,0),0)</f>
        <v>0</v>
      </c>
      <c r="N177">
        <f t="shared" si="6"/>
        <v>1</v>
      </c>
    </row>
    <row r="178" spans="1:14">
      <c r="A178" s="3" t="s">
        <v>794</v>
      </c>
      <c r="B178">
        <f>IFERROR(VLOOKUP(A178,管理亚马逊库存!A:K,11,0),"")</f>
        <v>15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15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15</v>
      </c>
    </row>
    <row r="179" spans="1:14">
      <c r="A179" s="3" t="s">
        <v>797</v>
      </c>
      <c r="B179">
        <f>IFERROR(VLOOKUP(A179,管理亚马逊库存!A:K,11,0),"")</f>
        <v>28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28</v>
      </c>
      <c r="M179">
        <f>IFERROR(VLOOKUP(A179,库龄!B:N,12,0),0)</f>
        <v>0</v>
      </c>
      <c r="N179">
        <f t="shared" si="6"/>
        <v>28</v>
      </c>
    </row>
    <row r="180" spans="1:14">
      <c r="A180" s="3" t="s">
        <v>801</v>
      </c>
      <c r="B180">
        <f>IFERROR(VLOOKUP(A180,管理亚马逊库存!A:K,11,0),"")</f>
        <v>35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5</v>
      </c>
      <c r="K180">
        <f>IFERROR(VLOOKUP(A180,库龄!B:L,10,0),0)</f>
        <v>1</v>
      </c>
      <c r="L180">
        <f>IFERROR(VLOOKUP(A180,库龄!B:M,11,0),0)</f>
        <v>28</v>
      </c>
      <c r="M180">
        <f>IFERROR(VLOOKUP(A180,库龄!B:N,12,0),0)</f>
        <v>0</v>
      </c>
      <c r="N180">
        <f t="shared" si="6"/>
        <v>34</v>
      </c>
    </row>
    <row r="181" spans="1:14">
      <c r="A181" s="3" t="s">
        <v>805</v>
      </c>
      <c r="B181">
        <f>IFERROR(VLOOKUP(A181,管理亚马逊库存!A:K,11,0),"")</f>
        <v>22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1</v>
      </c>
      <c r="L181">
        <f>IFERROR(VLOOKUP(A181,库龄!B:M,11,0),0)</f>
        <v>21</v>
      </c>
      <c r="M181">
        <f>IFERROR(VLOOKUP(A181,库龄!B:N,12,0),0)</f>
        <v>0</v>
      </c>
      <c r="N181">
        <f t="shared" si="6"/>
        <v>22</v>
      </c>
    </row>
    <row r="182" spans="1:14">
      <c r="A182" s="3" t="s">
        <v>809</v>
      </c>
      <c r="B182">
        <f>IFERROR(VLOOKUP(A182,管理亚马逊库存!A:K,11,0),"")</f>
        <v>17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17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17</v>
      </c>
    </row>
    <row r="183" spans="1:14">
      <c r="A183" s="3" t="s">
        <v>813</v>
      </c>
      <c r="B183">
        <f>IFERROR(VLOOKUP(A183,管理亚马逊库存!A:K,11,0),"")</f>
        <v>4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2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2</v>
      </c>
    </row>
    <row r="184" spans="1:14">
      <c r="A184" s="3" t="s">
        <v>817</v>
      </c>
      <c r="B184">
        <f>IFERROR(VLOOKUP(A184,管理亚马逊库存!A:K,11,0),"")</f>
        <v>6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6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6</v>
      </c>
    </row>
    <row r="185" spans="1:14">
      <c r="A185" s="3" t="s">
        <v>821</v>
      </c>
      <c r="B185">
        <f>IFERROR(VLOOKUP(A185,管理亚马逊库存!A:K,11,0),"")</f>
        <v>33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33</v>
      </c>
      <c r="M185">
        <f>IFERROR(VLOOKUP(A185,库龄!B:N,12,0),0)</f>
        <v>0</v>
      </c>
      <c r="N185">
        <f t="shared" si="6"/>
        <v>33</v>
      </c>
    </row>
    <row r="186" spans="1:14">
      <c r="A186" s="3" t="s">
        <v>825</v>
      </c>
      <c r="B186">
        <f>IFERROR(VLOOKUP(A186,管理亚马逊库存!A:K,11,0),"")</f>
        <v>71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71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71</v>
      </c>
    </row>
    <row r="187" spans="1:14">
      <c r="A187" s="3" t="s">
        <v>829</v>
      </c>
      <c r="B187">
        <f>IFERROR(VLOOKUP(A187,管理亚马逊库存!A:K,11,0),"")</f>
        <v>28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28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28</v>
      </c>
    </row>
    <row r="188" spans="1:14">
      <c r="A188" s="3" t="s">
        <v>834</v>
      </c>
      <c r="B188">
        <f>IFERROR(VLOOKUP(A188,管理亚马逊库存!A:K,11,0),"")</f>
        <v>7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7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7</v>
      </c>
    </row>
    <row r="189" spans="1:14">
      <c r="A189" s="3" t="s">
        <v>838</v>
      </c>
      <c r="B189">
        <f>IFERROR(VLOOKUP(A189,管理亚马逊库存!A:K,11,0),"")</f>
        <v>18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18</v>
      </c>
      <c r="M189">
        <f>IFERROR(VLOOKUP(A189,库龄!B:N,12,0),0)</f>
        <v>0</v>
      </c>
      <c r="N189">
        <f t="shared" si="6"/>
        <v>18</v>
      </c>
    </row>
    <row r="190" spans="1:14">
      <c r="A190" s="3" t="s">
        <v>842</v>
      </c>
      <c r="B190">
        <f>IFERROR(VLOOKUP(A190,管理亚马逊库存!A:K,11,0),"")</f>
        <v>10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9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9</v>
      </c>
    </row>
    <row r="191" spans="1:14">
      <c r="A191" s="3" t="s">
        <v>846</v>
      </c>
      <c r="B191">
        <f>IFERROR(VLOOKUP(A191,管理亚马逊库存!A:K,11,0),"")</f>
        <v>2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2</v>
      </c>
      <c r="M191">
        <f>IFERROR(VLOOKUP(A191,库龄!B:N,12,0),0)</f>
        <v>0</v>
      </c>
      <c r="N191">
        <f t="shared" si="6"/>
        <v>2</v>
      </c>
    </row>
    <row r="192" spans="1:14">
      <c r="A192" s="3" t="s">
        <v>851</v>
      </c>
      <c r="B192">
        <f>IFERROR(VLOOKUP(A192,管理亚马逊库存!A:K,11,0),"")</f>
        <v>4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3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3</v>
      </c>
    </row>
    <row r="193" spans="1:14">
      <c r="A193" s="3" t="s">
        <v>855</v>
      </c>
      <c r="B193">
        <f>IFERROR(VLOOKUP(A193,管理亚马逊库存!A:K,11,0),"")</f>
        <v>1</v>
      </c>
      <c r="C193">
        <f>IFERROR(VLOOKUP(A193,管理亚马逊库存!A:L,12,0),"")</f>
        <v>1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1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1</v>
      </c>
    </row>
    <row r="194" spans="1:14">
      <c r="A194" s="3" t="s">
        <v>859</v>
      </c>
      <c r="B194">
        <f>IFERROR(VLOOKUP(A194,管理亚马逊库存!A:K,11,0),"")</f>
        <v>8</v>
      </c>
      <c r="C194">
        <f>IFERROR(VLOOKUP(A194,管理亚马逊库存!A:L,12,0),"")</f>
        <v>1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8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8</v>
      </c>
    </row>
    <row r="195" spans="1:14">
      <c r="A195" s="3" t="s">
        <v>863</v>
      </c>
      <c r="B195">
        <f>IFERROR(VLOOKUP(A195,管理亚马逊库存!A:K,11,0),"")</f>
        <v>4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4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4</v>
      </c>
    </row>
    <row r="196" spans="1:14">
      <c r="A196" s="3" t="s">
        <v>867</v>
      </c>
      <c r="B196">
        <f>IFERROR(VLOOKUP(A196,管理亚马逊库存!A:K,11,0),"")</f>
        <v>116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116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116</v>
      </c>
    </row>
    <row r="197" spans="1:14">
      <c r="A197" s="3" t="s">
        <v>871</v>
      </c>
      <c r="B197">
        <f>IFERROR(VLOOKUP(A197,管理亚马逊库存!A:K,11,0),"")</f>
        <v>2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2</v>
      </c>
      <c r="M197">
        <f>IFERROR(VLOOKUP(A197,库龄!B:N,12,0),0)</f>
        <v>0</v>
      </c>
      <c r="N197">
        <f t="shared" si="8"/>
        <v>2</v>
      </c>
    </row>
    <row r="198" spans="1:14">
      <c r="A198" s="3" t="s">
        <v>875</v>
      </c>
      <c r="B198">
        <f>IFERROR(VLOOKUP(A198,管理亚马逊库存!A:K,11,0),"")</f>
        <v>9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9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9</v>
      </c>
    </row>
    <row r="199" spans="1:14">
      <c r="A199" s="3" t="s">
        <v>879</v>
      </c>
      <c r="B199">
        <f>IFERROR(VLOOKUP(A199,管理亚马逊库存!A:K,11,0),"")</f>
        <v>9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9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9</v>
      </c>
    </row>
    <row r="200" spans="1:14">
      <c r="A200" s="3" t="s">
        <v>883</v>
      </c>
      <c r="B200">
        <f>IFERROR(VLOOKUP(A200,管理亚马逊库存!A:K,11,0),"")</f>
        <v>6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6</v>
      </c>
      <c r="M200">
        <f>IFERROR(VLOOKUP(A200,库龄!B:N,12,0),0)</f>
        <v>0</v>
      </c>
      <c r="N200">
        <f t="shared" si="8"/>
        <v>6</v>
      </c>
    </row>
    <row r="201" spans="1:14">
      <c r="A201" s="3" t="s">
        <v>887</v>
      </c>
      <c r="B201">
        <f>IFERROR(VLOOKUP(A201,管理亚马逊库存!A:K,11,0),"")</f>
        <v>1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1</v>
      </c>
      <c r="M201">
        <f>IFERROR(VLOOKUP(A201,库龄!B:N,12,0),0)</f>
        <v>0</v>
      </c>
      <c r="N201">
        <f t="shared" si="8"/>
        <v>1</v>
      </c>
    </row>
    <row r="202" spans="1:14">
      <c r="A202" s="3" t="s">
        <v>891</v>
      </c>
      <c r="B202">
        <f>IFERROR(VLOOKUP(A202,管理亚马逊库存!A:K,11,0),"")</f>
        <v>27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27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27</v>
      </c>
    </row>
    <row r="203" spans="1:14">
      <c r="A203" s="3" t="s">
        <v>895</v>
      </c>
      <c r="B203">
        <f>IFERROR(VLOOKUP(A203,管理亚马逊库存!A:K,11,0),"")</f>
        <v>3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3</v>
      </c>
      <c r="M203">
        <f>IFERROR(VLOOKUP(A203,库龄!B:N,12,0),0)</f>
        <v>0</v>
      </c>
      <c r="N203">
        <f t="shared" si="8"/>
        <v>3</v>
      </c>
    </row>
    <row r="204" spans="1:14">
      <c r="A204" s="3" t="s">
        <v>899</v>
      </c>
      <c r="B204">
        <f>IFERROR(VLOOKUP(A204,管理亚马逊库存!A:K,11,0),"")</f>
        <v>28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28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28</v>
      </c>
    </row>
    <row r="205" spans="1:14">
      <c r="A205" s="3" t="s">
        <v>903</v>
      </c>
      <c r="B205">
        <f>IFERROR(VLOOKUP(A205,管理亚马逊库存!A:K,11,0),"")</f>
        <v>1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1</v>
      </c>
      <c r="M205">
        <f>IFERROR(VLOOKUP(A205,库龄!B:N,12,0),0)</f>
        <v>0</v>
      </c>
      <c r="N205">
        <f t="shared" si="8"/>
        <v>1</v>
      </c>
    </row>
    <row r="206" spans="1:14">
      <c r="A206" s="3" t="s">
        <v>907</v>
      </c>
      <c r="B206">
        <f>IFERROR(VLOOKUP(A206,管理亚马逊库存!A:K,11,0),"")</f>
        <v>2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2</v>
      </c>
      <c r="M206">
        <f>IFERROR(VLOOKUP(A206,库龄!B:N,12,0),0)</f>
        <v>0</v>
      </c>
      <c r="N206">
        <f t="shared" si="8"/>
        <v>2</v>
      </c>
    </row>
    <row r="207" spans="1:14">
      <c r="A207" s="3" t="s">
        <v>911</v>
      </c>
      <c r="B207">
        <f>IFERROR(VLOOKUP(A207,管理亚马逊库存!A:K,11,0),"")</f>
        <v>1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915</v>
      </c>
      <c r="B208">
        <f>IFERROR(VLOOKUP(A208,管理亚马逊库存!A:K,11,0),"")</f>
        <v>10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10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10</v>
      </c>
    </row>
    <row r="209" spans="1:14">
      <c r="A209" s="3" t="s">
        <v>919</v>
      </c>
      <c r="B209">
        <f>IFERROR(VLOOKUP(A209,管理亚马逊库存!A:K,11,0),"")</f>
        <v>5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5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5</v>
      </c>
    </row>
    <row r="210" spans="1:14">
      <c r="A210" s="3" t="s">
        <v>923</v>
      </c>
      <c r="B210">
        <f>IFERROR(VLOOKUP(A210,管理亚马逊库存!A:K,11,0),"")</f>
        <v>9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9</v>
      </c>
      <c r="M210">
        <f>IFERROR(VLOOKUP(A210,库龄!B:N,12,0),0)</f>
        <v>0</v>
      </c>
      <c r="N210">
        <f t="shared" si="8"/>
        <v>9</v>
      </c>
    </row>
    <row r="211" spans="1:14">
      <c r="A211" s="3" t="s">
        <v>927</v>
      </c>
      <c r="B211">
        <f>IFERROR(VLOOKUP(A211,管理亚马逊库存!A:K,11,0),"")</f>
        <v>7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7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7</v>
      </c>
    </row>
    <row r="212" spans="1:14">
      <c r="A212" s="3" t="s">
        <v>931</v>
      </c>
      <c r="B212">
        <f>IFERROR(VLOOKUP(A212,管理亚马逊库存!A:K,11,0),"")</f>
        <v>38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38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38</v>
      </c>
    </row>
    <row r="213" spans="1:14">
      <c r="A213" s="3" t="s">
        <v>935</v>
      </c>
      <c r="B213">
        <f>IFERROR(VLOOKUP(A213,管理亚马逊库存!A:K,11,0),"")</f>
        <v>5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5</v>
      </c>
      <c r="M213">
        <f>IFERROR(VLOOKUP(A213,库龄!B:N,12,0),0)</f>
        <v>0</v>
      </c>
      <c r="N213">
        <f t="shared" si="8"/>
        <v>5</v>
      </c>
    </row>
    <row r="214" spans="1:14">
      <c r="A214" s="3" t="s">
        <v>939</v>
      </c>
      <c r="B214">
        <f>IFERROR(VLOOKUP(A214,管理亚马逊库存!A:K,11,0),"")</f>
        <v>4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4</v>
      </c>
      <c r="M214">
        <f>IFERROR(VLOOKUP(A214,库龄!B:N,12,0),0)</f>
        <v>0</v>
      </c>
      <c r="N214">
        <f t="shared" si="8"/>
        <v>4</v>
      </c>
    </row>
    <row r="215" spans="1:14">
      <c r="A215" s="3" t="s">
        <v>943</v>
      </c>
      <c r="B215">
        <f>IFERROR(VLOOKUP(A215,管理亚马逊库存!A:K,11,0),"")</f>
        <v>1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1</v>
      </c>
      <c r="M215">
        <f>IFERROR(VLOOKUP(A215,库龄!B:N,12,0),0)</f>
        <v>0</v>
      </c>
      <c r="N215">
        <f t="shared" si="8"/>
        <v>1</v>
      </c>
    </row>
    <row r="216" spans="1:14">
      <c r="A216" s="3" t="s">
        <v>947</v>
      </c>
      <c r="B216">
        <f>IFERROR(VLOOKUP(A216,管理亚马逊库存!A:K,11,0),"")</f>
        <v>30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30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30</v>
      </c>
    </row>
    <row r="217" spans="1:14">
      <c r="A217" s="3" t="s">
        <v>952</v>
      </c>
      <c r="B217">
        <f>IFERROR(VLOOKUP(A217,管理亚马逊库存!A:K,11,0),"")</f>
        <v>2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2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2</v>
      </c>
    </row>
    <row r="218" spans="1:14">
      <c r="A218" s="3" t="s">
        <v>956</v>
      </c>
      <c r="B218">
        <f>IFERROR(VLOOKUP(A218,管理亚马逊库存!A:K,11,0),"")</f>
        <v>4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4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4</v>
      </c>
    </row>
    <row r="219" spans="1:14">
      <c r="A219" s="3" t="s">
        <v>960</v>
      </c>
      <c r="B219">
        <f>IFERROR(VLOOKUP(A219,管理亚马逊库存!A:K,11,0),"")</f>
        <v>5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5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5</v>
      </c>
    </row>
    <row r="220" spans="1:14">
      <c r="A220" s="3" t="s">
        <v>963</v>
      </c>
      <c r="B220">
        <f>IFERROR(VLOOKUP(A220,管理亚马逊库存!A:K,11,0),"")</f>
        <v>44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44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44</v>
      </c>
    </row>
    <row r="221" spans="1:14">
      <c r="A221" s="3" t="s">
        <v>967</v>
      </c>
      <c r="B221">
        <f>IFERROR(VLOOKUP(A221,管理亚马逊库存!A:K,11,0),"")</f>
        <v>5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5</v>
      </c>
      <c r="M221">
        <f>IFERROR(VLOOKUP(A221,库龄!B:N,12,0),0)</f>
        <v>0</v>
      </c>
      <c r="N221">
        <f t="shared" si="8"/>
        <v>5</v>
      </c>
    </row>
    <row r="222" spans="1:14">
      <c r="A222" s="3" t="s">
        <v>972</v>
      </c>
      <c r="B222">
        <f>IFERROR(VLOOKUP(A222,管理亚马逊库存!A:K,11,0),"")</f>
        <v>29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29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29</v>
      </c>
    </row>
    <row r="223" spans="1:14">
      <c r="A223" s="3" t="s">
        <v>976</v>
      </c>
      <c r="B223">
        <f>IFERROR(VLOOKUP(A223,管理亚马逊库存!A:K,11,0),"")</f>
        <v>37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36</v>
      </c>
      <c r="M223">
        <f>IFERROR(VLOOKUP(A223,库龄!B:N,12,0),0)</f>
        <v>0</v>
      </c>
      <c r="N223">
        <f t="shared" si="8"/>
        <v>36</v>
      </c>
    </row>
    <row r="224" spans="1:14">
      <c r="A224" s="3" t="s">
        <v>980</v>
      </c>
      <c r="B224">
        <f>IFERROR(VLOOKUP(A224,管理亚马逊库存!A:K,11,0),"")</f>
        <v>9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1</v>
      </c>
      <c r="K224">
        <f>IFERROR(VLOOKUP(A224,库龄!B:L,10,0),0)</f>
        <v>0</v>
      </c>
      <c r="L224">
        <f>IFERROR(VLOOKUP(A224,库龄!B:M,11,0),0)</f>
        <v>8</v>
      </c>
      <c r="M224">
        <f>IFERROR(VLOOKUP(A224,库龄!B:N,12,0),0)</f>
        <v>0</v>
      </c>
      <c r="N224">
        <f t="shared" si="8"/>
        <v>9</v>
      </c>
    </row>
    <row r="225" spans="1:14">
      <c r="A225" s="3" t="s">
        <v>984</v>
      </c>
      <c r="B225">
        <f>IFERROR(VLOOKUP(A225,管理亚马逊库存!A:K,11,0),"")</f>
        <v>2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2</v>
      </c>
      <c r="M225">
        <f>IFERROR(VLOOKUP(A225,库龄!B:N,12,0),0)</f>
        <v>0</v>
      </c>
      <c r="N225">
        <f t="shared" si="8"/>
        <v>2</v>
      </c>
    </row>
    <row r="226" spans="1:14">
      <c r="A226" s="3" t="s">
        <v>988</v>
      </c>
      <c r="B226">
        <f>IFERROR(VLOOKUP(A226,管理亚马逊库存!A:K,11,0),"")</f>
        <v>1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1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1</v>
      </c>
    </row>
    <row r="227" spans="1:14">
      <c r="A227" s="3" t="s">
        <v>992</v>
      </c>
      <c r="B227">
        <f>IFERROR(VLOOKUP(A227,管理亚马逊库存!A:K,11,0),"")</f>
        <v>3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3</v>
      </c>
      <c r="M227">
        <f>IFERROR(VLOOKUP(A227,库龄!B:N,12,0),0)</f>
        <v>0</v>
      </c>
      <c r="N227">
        <f t="shared" si="8"/>
        <v>3</v>
      </c>
    </row>
    <row r="228" spans="1:14">
      <c r="A228" s="3" t="s">
        <v>997</v>
      </c>
      <c r="B228">
        <f>IFERROR(VLOOKUP(A228,管理亚马逊库存!A:K,11,0),"")</f>
        <v>3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3</v>
      </c>
      <c r="M228">
        <f>IFERROR(VLOOKUP(A228,库龄!B:N,12,0),0)</f>
        <v>0</v>
      </c>
      <c r="N228">
        <f t="shared" si="8"/>
        <v>3</v>
      </c>
    </row>
    <row r="229" spans="1:14">
      <c r="A229" s="3" t="s">
        <v>1001</v>
      </c>
      <c r="B229">
        <f>IFERROR(VLOOKUP(A229,管理亚马逊库存!A:K,11,0),"")</f>
        <v>1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1</v>
      </c>
      <c r="M229">
        <f>IFERROR(VLOOKUP(A229,库龄!B:N,12,0),0)</f>
        <v>0</v>
      </c>
      <c r="N229">
        <f t="shared" si="8"/>
        <v>1</v>
      </c>
    </row>
    <row r="230" spans="1:14">
      <c r="A230" s="3" t="s">
        <v>1005</v>
      </c>
      <c r="B230">
        <f>IFERROR(VLOOKUP(A230,管理亚马逊库存!A:K,11,0),"")</f>
        <v>8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8</v>
      </c>
      <c r="M230">
        <f>IFERROR(VLOOKUP(A230,库龄!B:N,12,0),0)</f>
        <v>0</v>
      </c>
      <c r="N230">
        <f t="shared" si="8"/>
        <v>8</v>
      </c>
    </row>
    <row r="231" spans="1:14">
      <c r="A231" s="3" t="s">
        <v>1010</v>
      </c>
      <c r="B231">
        <f>IFERROR(VLOOKUP(A231,管理亚马逊库存!A:K,11,0),"")</f>
        <v>2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2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2</v>
      </c>
    </row>
    <row r="232" spans="1:14">
      <c r="A232" s="3" t="s">
        <v>1014</v>
      </c>
      <c r="B232">
        <f>IFERROR(VLOOKUP(A232,管理亚马逊库存!A:K,11,0),"")</f>
        <v>9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9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9</v>
      </c>
    </row>
    <row r="233" spans="1:14">
      <c r="A233" s="3" t="s">
        <v>1018</v>
      </c>
      <c r="B233">
        <f>IFERROR(VLOOKUP(A233,管理亚马逊库存!A:K,11,0),"")</f>
        <v>47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46</v>
      </c>
      <c r="M233">
        <f>IFERROR(VLOOKUP(A233,库龄!B:N,12,0),0)</f>
        <v>0</v>
      </c>
      <c r="N233">
        <f t="shared" si="8"/>
        <v>46</v>
      </c>
    </row>
    <row r="234" spans="1:14">
      <c r="A234" s="3" t="s">
        <v>1022</v>
      </c>
      <c r="B234">
        <f>IFERROR(VLOOKUP(A234,管理亚马逊库存!A:K,11,0),"")</f>
        <v>4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4</v>
      </c>
      <c r="M234">
        <f>IFERROR(VLOOKUP(A234,库龄!B:N,12,0),0)</f>
        <v>0</v>
      </c>
      <c r="N234">
        <f t="shared" si="8"/>
        <v>4</v>
      </c>
    </row>
    <row r="235" spans="1:14">
      <c r="A235" s="3" t="s">
        <v>1026</v>
      </c>
      <c r="B235">
        <f>IFERROR(VLOOKUP(A235,管理亚马逊库存!A:K,11,0),"")</f>
        <v>45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1</v>
      </c>
      <c r="L235">
        <f>IFERROR(VLOOKUP(A235,库龄!B:M,11,0),0)</f>
        <v>44</v>
      </c>
      <c r="M235">
        <f>IFERROR(VLOOKUP(A235,库龄!B:N,12,0),0)</f>
        <v>0</v>
      </c>
      <c r="N235">
        <f t="shared" si="8"/>
        <v>45</v>
      </c>
    </row>
    <row r="236" spans="1:14">
      <c r="A236" s="3" t="s">
        <v>1030</v>
      </c>
      <c r="B236">
        <f>IFERROR(VLOOKUP(A236,管理亚马逊库存!A:K,11,0),"")</f>
        <v>3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3</v>
      </c>
      <c r="M236">
        <f>IFERROR(VLOOKUP(A236,库龄!B:N,12,0),0)</f>
        <v>0</v>
      </c>
      <c r="N236">
        <f t="shared" si="8"/>
        <v>3</v>
      </c>
    </row>
    <row r="237" spans="1:14">
      <c r="A237" s="3" t="s">
        <v>1034</v>
      </c>
      <c r="B237">
        <f>IFERROR(VLOOKUP(A237,管理亚马逊库存!A:K,11,0),"")</f>
        <v>1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1</v>
      </c>
      <c r="M237">
        <f>IFERROR(VLOOKUP(A237,库龄!B:N,12,0),0)</f>
        <v>0</v>
      </c>
      <c r="N237">
        <f t="shared" si="8"/>
        <v>1</v>
      </c>
    </row>
    <row r="238" spans="1:14">
      <c r="A238" s="3" t="s">
        <v>1038</v>
      </c>
      <c r="B238">
        <f>IFERROR(VLOOKUP(A238,管理亚马逊库存!A:K,11,0),"")</f>
        <v>5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5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5</v>
      </c>
    </row>
    <row r="239" spans="1:14">
      <c r="A239" s="3" t="s">
        <v>1042</v>
      </c>
      <c r="B239">
        <f>IFERROR(VLOOKUP(A239,管理亚马逊库存!A:K,11,0),"")</f>
        <v>5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5</v>
      </c>
      <c r="M239">
        <f>IFERROR(VLOOKUP(A239,库龄!B:N,12,0),0)</f>
        <v>0</v>
      </c>
      <c r="N239">
        <f t="shared" si="8"/>
        <v>5</v>
      </c>
    </row>
    <row r="240" spans="1:14">
      <c r="A240" s="3" t="s">
        <v>1046</v>
      </c>
      <c r="B240">
        <f>IFERROR(VLOOKUP(A240,管理亚马逊库存!A:K,11,0),"")</f>
        <v>4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4</v>
      </c>
      <c r="M240">
        <f>IFERROR(VLOOKUP(A240,库龄!B:N,12,0),0)</f>
        <v>0</v>
      </c>
      <c r="N240">
        <f t="shared" si="8"/>
        <v>4</v>
      </c>
    </row>
    <row r="241" spans="1:14">
      <c r="A241" s="3" t="s">
        <v>1050</v>
      </c>
      <c r="B241">
        <f>IFERROR(VLOOKUP(A241,管理亚马逊库存!A:K,11,0),"")</f>
        <v>1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1</v>
      </c>
      <c r="M241">
        <f>IFERROR(VLOOKUP(A241,库龄!B:N,12,0),0)</f>
        <v>0</v>
      </c>
      <c r="N241">
        <f t="shared" si="8"/>
        <v>1</v>
      </c>
    </row>
    <row r="242" spans="1:14">
      <c r="A242" s="3" t="s">
        <v>1054</v>
      </c>
      <c r="B242">
        <f>IFERROR(VLOOKUP(A242,管理亚马逊库存!A:K,11,0),"")</f>
        <v>1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1</v>
      </c>
      <c r="M242">
        <f>IFERROR(VLOOKUP(A242,库龄!B:N,12,0),0)</f>
        <v>0</v>
      </c>
      <c r="N242">
        <f t="shared" si="8"/>
        <v>1</v>
      </c>
    </row>
    <row r="243" spans="1:14">
      <c r="A243" s="3" t="s">
        <v>1058</v>
      </c>
      <c r="B243">
        <f>IFERROR(VLOOKUP(A243,管理亚马逊库存!A:K,11,0),"")</f>
        <v>35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1</v>
      </c>
      <c r="L243">
        <f>IFERROR(VLOOKUP(A243,库龄!B:M,11,0),0)</f>
        <v>33</v>
      </c>
      <c r="M243">
        <f>IFERROR(VLOOKUP(A243,库龄!B:N,12,0),0)</f>
        <v>0</v>
      </c>
      <c r="N243">
        <f t="shared" si="8"/>
        <v>34</v>
      </c>
    </row>
    <row r="244" spans="1:14">
      <c r="A244" s="3" t="s">
        <v>1062</v>
      </c>
      <c r="B244">
        <f>IFERROR(VLOOKUP(A244,管理亚马逊库存!A:K,11,0),"")</f>
        <v>3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3</v>
      </c>
      <c r="M244">
        <f>IFERROR(VLOOKUP(A244,库龄!B:N,12,0),0)</f>
        <v>0</v>
      </c>
      <c r="N244">
        <f t="shared" si="8"/>
        <v>3</v>
      </c>
    </row>
    <row r="245" spans="1:14">
      <c r="A245" s="3" t="s">
        <v>1066</v>
      </c>
      <c r="B245">
        <f>IFERROR(VLOOKUP(A245,管理亚马逊库存!A:K,11,0),"")</f>
        <v>1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1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1</v>
      </c>
    </row>
    <row r="246" spans="1:14">
      <c r="A246" s="3" t="s">
        <v>1070</v>
      </c>
      <c r="B246">
        <f>IFERROR(VLOOKUP(A246,管理亚马逊库存!A:K,11,0),"")</f>
        <v>1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1</v>
      </c>
      <c r="M246">
        <f>IFERROR(VLOOKUP(A246,库龄!B:N,12,0),0)</f>
        <v>0</v>
      </c>
      <c r="N246">
        <f t="shared" si="8"/>
        <v>1</v>
      </c>
    </row>
    <row r="247" spans="1:14">
      <c r="A247" s="3" t="s">
        <v>1075</v>
      </c>
      <c r="B247">
        <f>IFERROR(VLOOKUP(A247,管理亚马逊库存!A:K,11,0),"")</f>
        <v>26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26</v>
      </c>
      <c r="M247">
        <f>IFERROR(VLOOKUP(A247,库龄!B:N,12,0),0)</f>
        <v>0</v>
      </c>
      <c r="N247">
        <f t="shared" si="8"/>
        <v>26</v>
      </c>
    </row>
    <row r="248" spans="1:14">
      <c r="A248" s="3" t="s">
        <v>1079</v>
      </c>
      <c r="B248">
        <f>IFERROR(VLOOKUP(A248,管理亚马逊库存!A:K,11,0),"")</f>
        <v>1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1</v>
      </c>
      <c r="M248">
        <f>IFERROR(VLOOKUP(A248,库龄!B:N,12,0),0)</f>
        <v>0</v>
      </c>
      <c r="N248">
        <f t="shared" si="8"/>
        <v>1</v>
      </c>
    </row>
    <row r="249" spans="1:14">
      <c r="A249" s="3" t="s">
        <v>1083</v>
      </c>
      <c r="B249">
        <f>IFERROR(VLOOKUP(A249,管理亚马逊库存!A:K,11,0),"")</f>
        <v>46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1</v>
      </c>
      <c r="K249">
        <f>IFERROR(VLOOKUP(A249,库龄!B:L,10,0),0)</f>
        <v>1</v>
      </c>
      <c r="L249">
        <f>IFERROR(VLOOKUP(A249,库龄!B:M,11,0),0)</f>
        <v>43</v>
      </c>
      <c r="M249">
        <f>IFERROR(VLOOKUP(A249,库龄!B:N,12,0),0)</f>
        <v>0</v>
      </c>
      <c r="N249">
        <f t="shared" si="8"/>
        <v>45</v>
      </c>
    </row>
    <row r="250" spans="1:14">
      <c r="A250" s="3" t="s">
        <v>1087</v>
      </c>
      <c r="B250">
        <f>IFERROR(VLOOKUP(A250,管理亚马逊库存!A:K,11,0),"")</f>
        <v>12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12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12</v>
      </c>
    </row>
    <row r="251" spans="1:14">
      <c r="A251" s="3" t="s">
        <v>1091</v>
      </c>
      <c r="B251">
        <f>IFERROR(VLOOKUP(A251,管理亚马逊库存!A:K,11,0),"")</f>
        <v>7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6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6</v>
      </c>
    </row>
    <row r="252" spans="1:14">
      <c r="A252" s="3" t="s">
        <v>1095</v>
      </c>
      <c r="B252">
        <f>IFERROR(VLOOKUP(A252,管理亚马逊库存!A:K,11,0),"")</f>
        <v>1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1</v>
      </c>
      <c r="M252">
        <f>IFERROR(VLOOKUP(A252,库龄!B:N,12,0),0)</f>
        <v>0</v>
      </c>
      <c r="N252">
        <f t="shared" si="8"/>
        <v>1</v>
      </c>
    </row>
    <row r="253" spans="1:14">
      <c r="A253" s="3" t="s">
        <v>1099</v>
      </c>
      <c r="B253">
        <f>IFERROR(VLOOKUP(A253,管理亚马逊库存!A:K,11,0),"")</f>
        <v>4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4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4</v>
      </c>
    </row>
    <row r="254" spans="1:14">
      <c r="A254" s="3" t="s">
        <v>1103</v>
      </c>
      <c r="B254">
        <f>IFERROR(VLOOKUP(A254,管理亚马逊库存!A:K,11,0),"")</f>
        <v>32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32</v>
      </c>
      <c r="M254">
        <f>IFERROR(VLOOKUP(A254,库龄!B:N,12,0),0)</f>
        <v>0</v>
      </c>
      <c r="N254">
        <f t="shared" si="8"/>
        <v>32</v>
      </c>
    </row>
    <row r="255" spans="1:14">
      <c r="A255" s="3" t="s">
        <v>1107</v>
      </c>
      <c r="B255">
        <f>IFERROR(VLOOKUP(A255,管理亚马逊库存!A:K,11,0),"")</f>
        <v>1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1</v>
      </c>
      <c r="M255">
        <f>IFERROR(VLOOKUP(A255,库龄!B:N,12,0),0)</f>
        <v>0</v>
      </c>
      <c r="N255">
        <f t="shared" si="8"/>
        <v>1</v>
      </c>
    </row>
    <row r="256" spans="1:14">
      <c r="A256" s="3" t="s">
        <v>1111</v>
      </c>
      <c r="B256">
        <f>IFERROR(VLOOKUP(A256,管理亚马逊库存!A:K,11,0),"")</f>
        <v>24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1</v>
      </c>
      <c r="K256">
        <f>IFERROR(VLOOKUP(A256,库龄!B:L,10,0),0)</f>
        <v>0</v>
      </c>
      <c r="L256">
        <f>IFERROR(VLOOKUP(A256,库龄!B:M,11,0),0)</f>
        <v>23</v>
      </c>
      <c r="M256">
        <f>IFERROR(VLOOKUP(A256,库龄!B:N,12,0),0)</f>
        <v>0</v>
      </c>
      <c r="N256">
        <f t="shared" si="8"/>
        <v>24</v>
      </c>
    </row>
    <row r="257" spans="1:14">
      <c r="A257" s="3" t="s">
        <v>1116</v>
      </c>
      <c r="B257">
        <f>IFERROR(VLOOKUP(A257,管理亚马逊库存!A:K,11,0),"")</f>
        <v>2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2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2</v>
      </c>
    </row>
    <row r="258" spans="1:14">
      <c r="A258" s="3" t="s">
        <v>1120</v>
      </c>
      <c r="B258">
        <f>IFERROR(VLOOKUP(A258,管理亚马逊库存!A:K,11,0),"")</f>
        <v>5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4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4</v>
      </c>
    </row>
    <row r="259" spans="1:14">
      <c r="A259" s="3" t="s">
        <v>1124</v>
      </c>
      <c r="B259">
        <f>IFERROR(VLOOKUP(A259,管理亚马逊库存!A:K,11,0),"")</f>
        <v>2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2</v>
      </c>
      <c r="M259">
        <f>IFERROR(VLOOKUP(A259,库龄!B:N,12,0),0)</f>
        <v>0</v>
      </c>
      <c r="N259">
        <f t="shared" ref="N259:N322" si="10">SUM(J259:M259)</f>
        <v>2</v>
      </c>
    </row>
    <row r="260" spans="1:14">
      <c r="A260" s="3" t="s">
        <v>1128</v>
      </c>
      <c r="B260">
        <f>IFERROR(VLOOKUP(A260,管理亚马逊库存!A:K,11,0),"")</f>
        <v>3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3</v>
      </c>
      <c r="M260">
        <f>IFERROR(VLOOKUP(A260,库龄!B:N,12,0),0)</f>
        <v>0</v>
      </c>
      <c r="N260">
        <f t="shared" si="10"/>
        <v>3</v>
      </c>
    </row>
    <row r="261" spans="1:14">
      <c r="A261" s="3" t="s">
        <v>1133</v>
      </c>
      <c r="B261">
        <f>IFERROR(VLOOKUP(A261,管理亚马逊库存!A:K,11,0),"")</f>
        <v>1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1</v>
      </c>
      <c r="M261">
        <f>IFERROR(VLOOKUP(A261,库龄!B:N,12,0),0)</f>
        <v>0</v>
      </c>
      <c r="N261">
        <f t="shared" si="10"/>
        <v>1</v>
      </c>
    </row>
    <row r="262" spans="1:14">
      <c r="A262" s="3" t="s">
        <v>1137</v>
      </c>
      <c r="B262">
        <f>IFERROR(VLOOKUP(A262,管理亚马逊库存!A:K,11,0),"")</f>
        <v>11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11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11</v>
      </c>
    </row>
    <row r="263" spans="1:14">
      <c r="A263" s="3" t="s">
        <v>1141</v>
      </c>
      <c r="B263">
        <f>IFERROR(VLOOKUP(A263,管理亚马逊库存!A:K,11,0),"")</f>
        <v>15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14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14</v>
      </c>
    </row>
    <row r="264" spans="1:14">
      <c r="A264" s="3" t="s">
        <v>1145</v>
      </c>
      <c r="B264">
        <f>IFERROR(VLOOKUP(A264,管理亚马逊库存!A:K,11,0),"")</f>
        <v>1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1</v>
      </c>
      <c r="M264">
        <f>IFERROR(VLOOKUP(A264,库龄!B:N,12,0),0)</f>
        <v>0</v>
      </c>
      <c r="N264">
        <f t="shared" si="10"/>
        <v>1</v>
      </c>
    </row>
    <row r="265" spans="1:14">
      <c r="A265" s="3" t="s">
        <v>1149</v>
      </c>
      <c r="B265">
        <f>IFERROR(VLOOKUP(A265,管理亚马逊库存!A:K,11,0),"")</f>
        <v>2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1</v>
      </c>
      <c r="K265">
        <f>IFERROR(VLOOKUP(A265,库龄!B:L,10,0),0)</f>
        <v>1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2</v>
      </c>
    </row>
    <row r="266" spans="1:14">
      <c r="A266" s="3" t="s">
        <v>1153</v>
      </c>
      <c r="B266">
        <f>IFERROR(VLOOKUP(A266,管理亚马逊库存!A:K,11,0),"")</f>
        <v>5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5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5</v>
      </c>
    </row>
    <row r="267" spans="1:14">
      <c r="A267" s="3" t="s">
        <v>1158</v>
      </c>
      <c r="B267">
        <f>IFERROR(VLOOKUP(A267,管理亚马逊库存!A:K,11,0),"")</f>
        <v>2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2</v>
      </c>
      <c r="M267">
        <f>IFERROR(VLOOKUP(A267,库龄!B:N,12,0),0)</f>
        <v>0</v>
      </c>
      <c r="N267">
        <f t="shared" si="10"/>
        <v>2</v>
      </c>
    </row>
    <row r="268" spans="1:14">
      <c r="A268" s="3" t="s">
        <v>1162</v>
      </c>
      <c r="B268">
        <f>IFERROR(VLOOKUP(A268,管理亚马逊库存!A:K,11,0),"")</f>
        <v>3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3</v>
      </c>
      <c r="M268">
        <f>IFERROR(VLOOKUP(A268,库龄!B:N,12,0),0)</f>
        <v>0</v>
      </c>
      <c r="N268">
        <f t="shared" si="10"/>
        <v>3</v>
      </c>
    </row>
    <row r="269" spans="1:14">
      <c r="A269" s="3" t="s">
        <v>1167</v>
      </c>
      <c r="B269">
        <f>IFERROR(VLOOKUP(A269,管理亚马逊库存!A:K,11,0),"")</f>
        <v>2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1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1</v>
      </c>
    </row>
    <row r="270" spans="1:14">
      <c r="A270" s="3" t="s">
        <v>1171</v>
      </c>
      <c r="B270">
        <f>IFERROR(VLOOKUP(A270,管理亚马逊库存!A:K,11,0),"")</f>
        <v>46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1</v>
      </c>
      <c r="K270">
        <f>IFERROR(VLOOKUP(A270,库龄!B:L,10,0),0)</f>
        <v>1</v>
      </c>
      <c r="L270">
        <f>IFERROR(VLOOKUP(A270,库龄!B:M,11,0),0)</f>
        <v>44</v>
      </c>
      <c r="M270">
        <f>IFERROR(VLOOKUP(A270,库龄!B:N,12,0),0)</f>
        <v>0</v>
      </c>
      <c r="N270">
        <f t="shared" si="10"/>
        <v>46</v>
      </c>
    </row>
    <row r="271" spans="1:14">
      <c r="A271" s="3" t="s">
        <v>1175</v>
      </c>
      <c r="B271">
        <f>IFERROR(VLOOKUP(A271,管理亚马逊库存!A:K,11,0),"")</f>
        <v>21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21</v>
      </c>
      <c r="M271">
        <f>IFERROR(VLOOKUP(A271,库龄!B:N,12,0),0)</f>
        <v>0</v>
      </c>
      <c r="N271">
        <f t="shared" si="10"/>
        <v>21</v>
      </c>
    </row>
    <row r="272" spans="1:14">
      <c r="A272" s="3" t="s">
        <v>1179</v>
      </c>
      <c r="B272">
        <f>IFERROR(VLOOKUP(A272,管理亚马逊库存!A:K,11,0),"")</f>
        <v>3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3</v>
      </c>
      <c r="M272">
        <f>IFERROR(VLOOKUP(A272,库龄!B:N,12,0),0)</f>
        <v>0</v>
      </c>
      <c r="N272">
        <f t="shared" si="10"/>
        <v>3</v>
      </c>
    </row>
    <row r="273" spans="1:14">
      <c r="A273" s="3" t="s">
        <v>1183</v>
      </c>
      <c r="B273">
        <f>IFERROR(VLOOKUP(A273,管理亚马逊库存!A:K,11,0),"")</f>
        <v>1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1</v>
      </c>
      <c r="M273">
        <f>IFERROR(VLOOKUP(A273,库龄!B:N,12,0),0)</f>
        <v>0</v>
      </c>
      <c r="N273">
        <f t="shared" si="10"/>
        <v>1</v>
      </c>
    </row>
    <row r="274" spans="1:14">
      <c r="A274" s="3" t="s">
        <v>1187</v>
      </c>
      <c r="B274">
        <f>IFERROR(VLOOKUP(A274,管理亚马逊库存!A:K,11,0),"")</f>
        <v>3</v>
      </c>
      <c r="C274">
        <f>IFERROR(VLOOKUP(A274,管理亚马逊库存!A:L,12,0),"")</f>
        <v>2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3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3</v>
      </c>
    </row>
    <row r="275" spans="1:14">
      <c r="A275" s="3" t="s">
        <v>1191</v>
      </c>
      <c r="B275">
        <f>IFERROR(VLOOKUP(A275,管理亚马逊库存!A:K,11,0),"")</f>
        <v>3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3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3</v>
      </c>
    </row>
    <row r="276" spans="1:14">
      <c r="A276" s="3" t="s">
        <v>1195</v>
      </c>
      <c r="B276">
        <f>IFERROR(VLOOKUP(A276,管理亚马逊库存!A:K,11,0),"")</f>
        <v>5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5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5</v>
      </c>
    </row>
    <row r="277" spans="1:14">
      <c r="A277" s="3" t="s">
        <v>1199</v>
      </c>
      <c r="B277">
        <f>IFERROR(VLOOKUP(A277,管理亚马逊库存!A:K,11,0),"")</f>
        <v>10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10</v>
      </c>
      <c r="M277">
        <f>IFERROR(VLOOKUP(A277,库龄!B:N,12,0),0)</f>
        <v>0</v>
      </c>
      <c r="N277">
        <f t="shared" si="10"/>
        <v>10</v>
      </c>
    </row>
    <row r="278" spans="1:14">
      <c r="A278" s="3" t="s">
        <v>1203</v>
      </c>
      <c r="B278">
        <f>IFERROR(VLOOKUP(A278,管理亚马逊库存!A:K,11,0),"")</f>
        <v>12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12</v>
      </c>
      <c r="M278">
        <f>IFERROR(VLOOKUP(A278,库龄!B:N,12,0),0)</f>
        <v>0</v>
      </c>
      <c r="N278">
        <f t="shared" si="10"/>
        <v>12</v>
      </c>
    </row>
    <row r="279" spans="1:14">
      <c r="A279" s="3" t="s">
        <v>1207</v>
      </c>
      <c r="B279">
        <f>IFERROR(VLOOKUP(A279,管理亚马逊库存!A:K,11,0),"")</f>
        <v>2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2</v>
      </c>
      <c r="M279">
        <f>IFERROR(VLOOKUP(A279,库龄!B:N,12,0),0)</f>
        <v>0</v>
      </c>
      <c r="N279">
        <f t="shared" si="10"/>
        <v>2</v>
      </c>
    </row>
    <row r="280" spans="1:14">
      <c r="A280" s="3" t="s">
        <v>1212</v>
      </c>
      <c r="B280">
        <f>IFERROR(VLOOKUP(A280,管理亚马逊库存!A:K,11,0),"")</f>
        <v>14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14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14</v>
      </c>
    </row>
    <row r="281" spans="1:14">
      <c r="A281" s="3" t="s">
        <v>1217</v>
      </c>
      <c r="B281">
        <f>IFERROR(VLOOKUP(A281,管理亚马逊库存!A:K,11,0),"")</f>
        <v>54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54</v>
      </c>
      <c r="M281">
        <f>IFERROR(VLOOKUP(A281,库龄!B:N,12,0),0)</f>
        <v>0</v>
      </c>
      <c r="N281">
        <f t="shared" si="10"/>
        <v>54</v>
      </c>
    </row>
    <row r="282" spans="1:14">
      <c r="A282" s="3" t="s">
        <v>1221</v>
      </c>
      <c r="B282">
        <f>IFERROR(VLOOKUP(A282,管理亚马逊库存!A:K,11,0),"")</f>
        <v>16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16</v>
      </c>
      <c r="M282">
        <f>IFERROR(VLOOKUP(A282,库龄!B:N,12,0),0)</f>
        <v>0</v>
      </c>
      <c r="N282">
        <f t="shared" si="10"/>
        <v>16</v>
      </c>
    </row>
    <row r="283" spans="1:14">
      <c r="A283" s="3" t="s">
        <v>1225</v>
      </c>
      <c r="B283">
        <f>IFERROR(VLOOKUP(A283,管理亚马逊库存!A:K,11,0),"")</f>
        <v>1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1</v>
      </c>
      <c r="M283">
        <f>IFERROR(VLOOKUP(A283,库龄!B:N,12,0),0)</f>
        <v>0</v>
      </c>
      <c r="N283">
        <f t="shared" si="10"/>
        <v>1</v>
      </c>
    </row>
    <row r="284" spans="1:14">
      <c r="A284" s="3" t="s">
        <v>1229</v>
      </c>
      <c r="B284">
        <f>IFERROR(VLOOKUP(A284,管理亚马逊库存!A:K,11,0),"")</f>
        <v>1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1</v>
      </c>
      <c r="M284">
        <f>IFERROR(VLOOKUP(A284,库龄!B:N,12,0),0)</f>
        <v>0</v>
      </c>
      <c r="N284">
        <f t="shared" si="10"/>
        <v>1</v>
      </c>
    </row>
    <row r="285" spans="1:14">
      <c r="A285" s="3" t="s">
        <v>1233</v>
      </c>
      <c r="B285">
        <f>IFERROR(VLOOKUP(A285,管理亚马逊库存!A:K,11,0),"")</f>
        <v>18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1237</v>
      </c>
      <c r="B286">
        <f>IFERROR(VLOOKUP(A286,管理亚马逊库存!A:K,11,0),"")</f>
        <v>2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2</v>
      </c>
      <c r="M286">
        <f>IFERROR(VLOOKUP(A286,库龄!B:N,12,0),0)</f>
        <v>0</v>
      </c>
      <c r="N286">
        <f t="shared" si="10"/>
        <v>2</v>
      </c>
    </row>
    <row r="287" spans="1:14">
      <c r="A287" s="3" t="s">
        <v>1241</v>
      </c>
      <c r="B287">
        <f>IFERROR(VLOOKUP(A287,管理亚马逊库存!A:K,11,0),"")</f>
        <v>1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1</v>
      </c>
      <c r="M287">
        <f>IFERROR(VLOOKUP(A287,库龄!B:N,12,0),0)</f>
        <v>0</v>
      </c>
      <c r="N287">
        <f t="shared" si="10"/>
        <v>1</v>
      </c>
    </row>
    <row r="288" spans="1:14">
      <c r="A288" s="3" t="s">
        <v>1245</v>
      </c>
      <c r="B288">
        <f>IFERROR(VLOOKUP(A288,管理亚马逊库存!A:K,11,0),"")</f>
        <v>1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0</v>
      </c>
      <c r="K288">
        <f>IFERROR(VLOOKUP(A288,库龄!B:L,10,0),0)</f>
        <v>0</v>
      </c>
      <c r="L288">
        <f>IFERROR(VLOOKUP(A288,库龄!B:M,11,0),0)</f>
        <v>1</v>
      </c>
      <c r="M288">
        <f>IFERROR(VLOOKUP(A288,库龄!B:N,12,0),0)</f>
        <v>0</v>
      </c>
      <c r="N288">
        <f t="shared" si="10"/>
        <v>1</v>
      </c>
    </row>
    <row r="289" spans="1:14">
      <c r="A289" s="3" t="s">
        <v>1249</v>
      </c>
      <c r="B289">
        <f>IFERROR(VLOOKUP(A289,管理亚马逊库存!A:K,11,0),"")</f>
        <v>34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10</v>
      </c>
      <c r="K289">
        <f>IFERROR(VLOOKUP(A289,库龄!B:L,10,0),0)</f>
        <v>0</v>
      </c>
      <c r="L289">
        <f>IFERROR(VLOOKUP(A289,库龄!B:M,11,0),0)</f>
        <v>22</v>
      </c>
      <c r="M289">
        <f>IFERROR(VLOOKUP(A289,库龄!B:N,12,0),0)</f>
        <v>0</v>
      </c>
      <c r="N289">
        <f t="shared" si="10"/>
        <v>32</v>
      </c>
    </row>
    <row r="290" spans="1:14">
      <c r="A290" s="3" t="s">
        <v>1253</v>
      </c>
      <c r="B290">
        <f>IFERROR(VLOOKUP(A290,管理亚马逊库存!A:K,11,0),"")</f>
        <v>2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2</v>
      </c>
      <c r="M290">
        <f>IFERROR(VLOOKUP(A290,库龄!B:N,12,0),0)</f>
        <v>0</v>
      </c>
      <c r="N290">
        <f t="shared" si="10"/>
        <v>2</v>
      </c>
    </row>
    <row r="291" spans="1:14">
      <c r="A291" s="3" t="s">
        <v>1257</v>
      </c>
      <c r="B291">
        <f>IFERROR(VLOOKUP(A291,管理亚马逊库存!A:K,11,0),"")</f>
        <v>7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7</v>
      </c>
      <c r="M291">
        <f>IFERROR(VLOOKUP(A291,库龄!B:N,12,0),0)</f>
        <v>0</v>
      </c>
      <c r="N291">
        <f t="shared" si="10"/>
        <v>7</v>
      </c>
    </row>
    <row r="292" spans="1:14">
      <c r="A292" s="3" t="s">
        <v>1261</v>
      </c>
      <c r="B292">
        <f>IFERROR(VLOOKUP(A292,管理亚马逊库存!A:K,11,0),"")</f>
        <v>6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6</v>
      </c>
      <c r="M292">
        <f>IFERROR(VLOOKUP(A292,库龄!B:N,12,0),0)</f>
        <v>0</v>
      </c>
      <c r="N292">
        <f t="shared" si="10"/>
        <v>6</v>
      </c>
    </row>
    <row r="293" spans="1:14">
      <c r="A293" s="3" t="s">
        <v>1265</v>
      </c>
      <c r="B293">
        <f>IFERROR(VLOOKUP(A293,管理亚马逊库存!A:K,11,0),"")</f>
        <v>1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1270</v>
      </c>
      <c r="B294">
        <f>IFERROR(VLOOKUP(A294,管理亚马逊库存!A:K,11,0),"")</f>
        <v>5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2</v>
      </c>
      <c r="K294">
        <f>IFERROR(VLOOKUP(A294,库龄!B:L,10,0),0)</f>
        <v>3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5</v>
      </c>
    </row>
    <row r="295" spans="1:14">
      <c r="A295" s="3" t="s">
        <v>1274</v>
      </c>
      <c r="B295">
        <f>IFERROR(VLOOKUP(A295,管理亚马逊库存!A:K,11,0),"")</f>
        <v>27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27</v>
      </c>
      <c r="M295">
        <f>IFERROR(VLOOKUP(A295,库龄!B:N,12,0),0)</f>
        <v>0</v>
      </c>
      <c r="N295">
        <f t="shared" si="10"/>
        <v>27</v>
      </c>
    </row>
    <row r="296" spans="1:14">
      <c r="A296" s="3" t="s">
        <v>1278</v>
      </c>
      <c r="B296">
        <f>IFERROR(VLOOKUP(A296,管理亚马逊库存!A:K,11,0),"")</f>
        <v>5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1</v>
      </c>
      <c r="L296">
        <f>IFERROR(VLOOKUP(A296,库龄!B:M,11,0),0)</f>
        <v>4</v>
      </c>
      <c r="M296">
        <f>IFERROR(VLOOKUP(A296,库龄!B:N,12,0),0)</f>
        <v>0</v>
      </c>
      <c r="N296">
        <f t="shared" si="10"/>
        <v>5</v>
      </c>
    </row>
    <row r="297" spans="1:14">
      <c r="A297" s="3" t="s">
        <v>1282</v>
      </c>
      <c r="B297">
        <f>IFERROR(VLOOKUP(A297,管理亚马逊库存!A:K,11,0),"")</f>
        <v>1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1</v>
      </c>
      <c r="M297">
        <f>IFERROR(VLOOKUP(A297,库龄!B:N,12,0),0)</f>
        <v>0</v>
      </c>
      <c r="N297">
        <f t="shared" si="10"/>
        <v>1</v>
      </c>
    </row>
    <row r="298" spans="1:14">
      <c r="A298" s="3" t="s">
        <v>1286</v>
      </c>
      <c r="B298">
        <f>IFERROR(VLOOKUP(A298,管理亚马逊库存!A:K,11,0),"")</f>
        <v>11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11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11</v>
      </c>
    </row>
    <row r="299" spans="1:14">
      <c r="A299" s="3" t="s">
        <v>1290</v>
      </c>
      <c r="B299">
        <f>IFERROR(VLOOKUP(A299,管理亚马逊库存!A:K,11,0),"")</f>
        <v>13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13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13</v>
      </c>
    </row>
    <row r="300" spans="1:14">
      <c r="A300" s="3" t="s">
        <v>1293</v>
      </c>
      <c r="B300">
        <f>IFERROR(VLOOKUP(A300,管理亚马逊库存!A:K,11,0),"")</f>
        <v>5</v>
      </c>
      <c r="C300">
        <f>IFERROR(VLOOKUP(A300,管理亚马逊库存!A:L,12,0),"")</f>
        <v>2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4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4</v>
      </c>
    </row>
    <row r="301" spans="1:14">
      <c r="A301" s="3" t="s">
        <v>1298</v>
      </c>
      <c r="B301">
        <f>IFERROR(VLOOKUP(A301,管理亚马逊库存!A:K,11,0),"")</f>
        <v>4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4</v>
      </c>
      <c r="M301">
        <f>IFERROR(VLOOKUP(A301,库龄!B:N,12,0),0)</f>
        <v>0</v>
      </c>
      <c r="N301">
        <f t="shared" si="10"/>
        <v>4</v>
      </c>
    </row>
    <row r="302" spans="1:14">
      <c r="A302" s="3" t="s">
        <v>1302</v>
      </c>
      <c r="B302">
        <f>IFERROR(VLOOKUP(A302,管理亚马逊库存!A:K,11,0),"")</f>
        <v>2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2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2</v>
      </c>
    </row>
    <row r="303" spans="1:14">
      <c r="A303" s="3" t="s">
        <v>1306</v>
      </c>
      <c r="B303">
        <f>IFERROR(VLOOKUP(A303,管理亚马逊库存!A:K,11,0),"")</f>
        <v>4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4</v>
      </c>
      <c r="M303">
        <f>IFERROR(VLOOKUP(A303,库龄!B:N,12,0),0)</f>
        <v>0</v>
      </c>
      <c r="N303">
        <f t="shared" si="10"/>
        <v>4</v>
      </c>
    </row>
    <row r="304" spans="1:14">
      <c r="A304" s="3" t="s">
        <v>1310</v>
      </c>
      <c r="B304">
        <f>IFERROR(VLOOKUP(A304,管理亚马逊库存!A:K,11,0),"")</f>
        <v>41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1</v>
      </c>
      <c r="K304">
        <f>IFERROR(VLOOKUP(A304,库龄!B:L,10,0),0)</f>
        <v>1</v>
      </c>
      <c r="L304">
        <f>IFERROR(VLOOKUP(A304,库龄!B:M,11,0),0)</f>
        <v>38</v>
      </c>
      <c r="M304">
        <f>IFERROR(VLOOKUP(A304,库龄!B:N,12,0),0)</f>
        <v>0</v>
      </c>
      <c r="N304">
        <f t="shared" si="10"/>
        <v>40</v>
      </c>
    </row>
    <row r="305" spans="1:14">
      <c r="A305" s="3" t="s">
        <v>1314</v>
      </c>
      <c r="B305">
        <f>IFERROR(VLOOKUP(A305,管理亚马逊库存!A:K,11,0),"")</f>
        <v>2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2</v>
      </c>
      <c r="M305">
        <f>IFERROR(VLOOKUP(A305,库龄!B:N,12,0),0)</f>
        <v>0</v>
      </c>
      <c r="N305">
        <f t="shared" si="10"/>
        <v>2</v>
      </c>
    </row>
    <row r="306" spans="1:14">
      <c r="A306" s="3" t="s">
        <v>1318</v>
      </c>
      <c r="B306">
        <f>IFERROR(VLOOKUP(A306,管理亚马逊库存!A:K,11,0),"")</f>
        <v>10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1</v>
      </c>
      <c r="K306">
        <f>IFERROR(VLOOKUP(A306,库龄!B:L,10,0),0)</f>
        <v>1</v>
      </c>
      <c r="L306">
        <f>IFERROR(VLOOKUP(A306,库龄!B:M,11,0),0)</f>
        <v>8</v>
      </c>
      <c r="M306">
        <f>IFERROR(VLOOKUP(A306,库龄!B:N,12,0),0)</f>
        <v>0</v>
      </c>
      <c r="N306">
        <f t="shared" si="10"/>
        <v>10</v>
      </c>
    </row>
    <row r="307" spans="1:14">
      <c r="A307" s="3" t="s">
        <v>1322</v>
      </c>
      <c r="B307">
        <f>IFERROR(VLOOKUP(A307,管理亚马逊库存!A:K,11,0),"")</f>
        <v>3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3</v>
      </c>
      <c r="M307">
        <f>IFERROR(VLOOKUP(A307,库龄!B:N,12,0),0)</f>
        <v>0</v>
      </c>
      <c r="N307">
        <f t="shared" si="10"/>
        <v>3</v>
      </c>
    </row>
    <row r="308" spans="1:14">
      <c r="A308" s="3" t="s">
        <v>1326</v>
      </c>
      <c r="B308">
        <f>IFERROR(VLOOKUP(A308,管理亚马逊库存!A:K,11,0),"")</f>
        <v>3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3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3</v>
      </c>
    </row>
    <row r="309" spans="1:14">
      <c r="A309" s="3" t="s">
        <v>1331</v>
      </c>
      <c r="B309">
        <f>IFERROR(VLOOKUP(A309,管理亚马逊库存!A:K,11,0),"")</f>
        <v>1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1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1</v>
      </c>
    </row>
    <row r="310" spans="1:14">
      <c r="A310" s="3" t="s">
        <v>1335</v>
      </c>
      <c r="B310">
        <f>IFERROR(VLOOKUP(A310,管理亚马逊库存!A:K,11,0),"")</f>
        <v>5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5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5</v>
      </c>
    </row>
    <row r="311" spans="1:14">
      <c r="A311" s="3" t="s">
        <v>1340</v>
      </c>
      <c r="B311">
        <f>IFERROR(VLOOKUP(A311,管理亚马逊库存!A:K,11,0),"")</f>
        <v>2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2</v>
      </c>
      <c r="M311">
        <f>IFERROR(VLOOKUP(A311,库龄!B:N,12,0),0)</f>
        <v>0</v>
      </c>
      <c r="N311">
        <f t="shared" si="10"/>
        <v>2</v>
      </c>
    </row>
    <row r="312" spans="1:14">
      <c r="A312" s="3" t="s">
        <v>1344</v>
      </c>
      <c r="B312">
        <f>IFERROR(VLOOKUP(A312,管理亚马逊库存!A:K,11,0),"")</f>
        <v>2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2</v>
      </c>
      <c r="M312">
        <f>IFERROR(VLOOKUP(A312,库龄!B:N,12,0),0)</f>
        <v>0</v>
      </c>
      <c r="N312">
        <f t="shared" si="10"/>
        <v>2</v>
      </c>
    </row>
    <row r="313" spans="1:14">
      <c r="A313" s="3" t="s">
        <v>1348</v>
      </c>
      <c r="B313">
        <f>IFERROR(VLOOKUP(A313,管理亚马逊库存!A:K,11,0),"")</f>
        <v>43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1</v>
      </c>
      <c r="K313">
        <f>IFERROR(VLOOKUP(A313,库龄!B:L,10,0),0)</f>
        <v>0</v>
      </c>
      <c r="L313">
        <f>IFERROR(VLOOKUP(A313,库龄!B:M,11,0),0)</f>
        <v>42</v>
      </c>
      <c r="M313">
        <f>IFERROR(VLOOKUP(A313,库龄!B:N,12,0),0)</f>
        <v>0</v>
      </c>
      <c r="N313">
        <f t="shared" si="10"/>
        <v>43</v>
      </c>
    </row>
    <row r="314" spans="1:14">
      <c r="A314" s="3" t="s">
        <v>1352</v>
      </c>
      <c r="B314">
        <f>IFERROR(VLOOKUP(A314,管理亚马逊库存!A:K,11,0),"")</f>
        <v>22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4</v>
      </c>
      <c r="K314">
        <f>IFERROR(VLOOKUP(A314,库龄!B:L,10,0),0)</f>
        <v>3</v>
      </c>
      <c r="L314">
        <f>IFERROR(VLOOKUP(A314,库龄!B:M,11,0),0)</f>
        <v>14</v>
      </c>
      <c r="M314">
        <f>IFERROR(VLOOKUP(A314,库龄!B:N,12,0),0)</f>
        <v>0</v>
      </c>
      <c r="N314">
        <f t="shared" si="10"/>
        <v>21</v>
      </c>
    </row>
    <row r="315" spans="1:14">
      <c r="A315" s="3" t="s">
        <v>1356</v>
      </c>
      <c r="B315">
        <f>IFERROR(VLOOKUP(A315,管理亚马逊库存!A:K,11,0),"")</f>
        <v>11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11</v>
      </c>
      <c r="M315">
        <f>IFERROR(VLOOKUP(A315,库龄!B:N,12,0),0)</f>
        <v>0</v>
      </c>
      <c r="N315">
        <f t="shared" si="10"/>
        <v>11</v>
      </c>
    </row>
    <row r="316" spans="1:14">
      <c r="A316" s="3" t="s">
        <v>1360</v>
      </c>
      <c r="B316">
        <f>IFERROR(VLOOKUP(A316,管理亚马逊库存!A:K,11,0),"")</f>
        <v>7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6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6</v>
      </c>
    </row>
    <row r="317" spans="1:14">
      <c r="A317" s="3" t="s">
        <v>1364</v>
      </c>
      <c r="B317">
        <f>IFERROR(VLOOKUP(A317,管理亚马逊库存!A:K,11,0),"")</f>
        <v>2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2</v>
      </c>
      <c r="M317">
        <f>IFERROR(VLOOKUP(A317,库龄!B:N,12,0),0)</f>
        <v>0</v>
      </c>
      <c r="N317">
        <f t="shared" si="10"/>
        <v>2</v>
      </c>
    </row>
    <row r="318" spans="1:14">
      <c r="A318" s="3" t="s">
        <v>1369</v>
      </c>
      <c r="B318">
        <f>IFERROR(VLOOKUP(A318,管理亚马逊库存!A:K,11,0),"")</f>
        <v>1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1</v>
      </c>
      <c r="M318">
        <f>IFERROR(VLOOKUP(A318,库龄!B:N,12,0),0)</f>
        <v>0</v>
      </c>
      <c r="N318">
        <f t="shared" si="10"/>
        <v>1</v>
      </c>
    </row>
    <row r="319" spans="1:14">
      <c r="A319" s="3" t="s">
        <v>1373</v>
      </c>
      <c r="B319">
        <f>IFERROR(VLOOKUP(A319,管理亚马逊库存!A:K,11,0),"")</f>
        <v>4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3</v>
      </c>
      <c r="L319">
        <f>IFERROR(VLOOKUP(A319,库龄!B:M,11,0),0)</f>
        <v>1</v>
      </c>
      <c r="M319">
        <f>IFERROR(VLOOKUP(A319,库龄!B:N,12,0),0)</f>
        <v>0</v>
      </c>
      <c r="N319">
        <f t="shared" si="10"/>
        <v>4</v>
      </c>
    </row>
    <row r="320" spans="1:14">
      <c r="A320" s="3" t="s">
        <v>1377</v>
      </c>
      <c r="B320">
        <f>IFERROR(VLOOKUP(A320,管理亚马逊库存!A:K,11,0),"")</f>
        <v>1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1</v>
      </c>
      <c r="M320">
        <f>IFERROR(VLOOKUP(A320,库龄!B:N,12,0),0)</f>
        <v>0</v>
      </c>
      <c r="N320">
        <f t="shared" si="10"/>
        <v>1</v>
      </c>
    </row>
    <row r="321" spans="1:14">
      <c r="A321" s="3" t="s">
        <v>1381</v>
      </c>
      <c r="B321">
        <f>IFERROR(VLOOKUP(A321,管理亚马逊库存!A:K,11,0),"")</f>
        <v>5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5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5</v>
      </c>
    </row>
    <row r="322" spans="1:14">
      <c r="A322" s="3" t="s">
        <v>1385</v>
      </c>
      <c r="B322">
        <f>IFERROR(VLOOKUP(A322,管理亚马逊库存!A:K,11,0),"")</f>
        <v>3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3</v>
      </c>
      <c r="M322">
        <f>IFERROR(VLOOKUP(A322,库龄!B:N,12,0),0)</f>
        <v>0</v>
      </c>
      <c r="N322">
        <f t="shared" si="10"/>
        <v>3</v>
      </c>
    </row>
    <row r="323" spans="1:14">
      <c r="A323" s="3" t="s">
        <v>1389</v>
      </c>
      <c r="B323">
        <f>IFERROR(VLOOKUP(A323,管理亚马逊库存!A:K,11,0),"")</f>
        <v>3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1</v>
      </c>
      <c r="K323">
        <f>IFERROR(VLOOKUP(A323,库龄!B:L,10,0),0)</f>
        <v>0</v>
      </c>
      <c r="L323">
        <f>IFERROR(VLOOKUP(A323,库龄!B:M,11,0),0)</f>
        <v>2</v>
      </c>
      <c r="M323">
        <f>IFERROR(VLOOKUP(A323,库龄!B:N,12,0),0)</f>
        <v>0</v>
      </c>
      <c r="N323">
        <f t="shared" ref="N323:N386" si="12">SUM(J323:M323)</f>
        <v>3</v>
      </c>
    </row>
    <row r="324" spans="1:14">
      <c r="A324" s="3" t="s">
        <v>1393</v>
      </c>
      <c r="B324">
        <f>IFERROR(VLOOKUP(A324,管理亚马逊库存!A:K,11,0),"")</f>
        <v>9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9</v>
      </c>
      <c r="M324">
        <f>IFERROR(VLOOKUP(A324,库龄!B:N,12,0),0)</f>
        <v>0</v>
      </c>
      <c r="N324">
        <f t="shared" si="12"/>
        <v>9</v>
      </c>
    </row>
    <row r="325" spans="1:14">
      <c r="A325" s="3" t="s">
        <v>1397</v>
      </c>
      <c r="B325">
        <f>IFERROR(VLOOKUP(A325,管理亚马逊库存!A:K,11,0),"")</f>
        <v>3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3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3</v>
      </c>
    </row>
    <row r="326" spans="1:14">
      <c r="A326" s="3" t="s">
        <v>1401</v>
      </c>
      <c r="B326">
        <f>IFERROR(VLOOKUP(A326,管理亚马逊库存!A:K,11,0),"")</f>
        <v>4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4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4</v>
      </c>
    </row>
    <row r="327" spans="1:14">
      <c r="A327" s="3" t="s">
        <v>1405</v>
      </c>
      <c r="B327">
        <f>IFERROR(VLOOKUP(A327,管理亚马逊库存!A:K,11,0),"")</f>
        <v>36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11</v>
      </c>
      <c r="K327">
        <f>IFERROR(VLOOKUP(A327,库龄!B:L,10,0),0)</f>
        <v>0</v>
      </c>
      <c r="L327">
        <f>IFERROR(VLOOKUP(A327,库龄!B:M,11,0),0)</f>
        <v>23</v>
      </c>
      <c r="M327">
        <f>IFERROR(VLOOKUP(A327,库龄!B:N,12,0),0)</f>
        <v>0</v>
      </c>
      <c r="N327">
        <f t="shared" si="12"/>
        <v>34</v>
      </c>
    </row>
    <row r="328" spans="1:14">
      <c r="A328" s="3" t="s">
        <v>1409</v>
      </c>
      <c r="B328">
        <f>IFERROR(VLOOKUP(A328,管理亚马逊库存!A:K,11,0),"")</f>
        <v>4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1</v>
      </c>
      <c r="K328">
        <f>IFERROR(VLOOKUP(A328,库龄!B:L,10,0),0)</f>
        <v>0</v>
      </c>
      <c r="L328">
        <f>IFERROR(VLOOKUP(A328,库龄!B:M,11,0),0)</f>
        <v>3</v>
      </c>
      <c r="M328">
        <f>IFERROR(VLOOKUP(A328,库龄!B:N,12,0),0)</f>
        <v>0</v>
      </c>
      <c r="N328">
        <f t="shared" si="12"/>
        <v>4</v>
      </c>
    </row>
    <row r="329" spans="1:14">
      <c r="A329" s="3" t="s">
        <v>1414</v>
      </c>
      <c r="B329">
        <f>IFERROR(VLOOKUP(A329,管理亚马逊库存!A:K,11,0),"")</f>
        <v>26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1</v>
      </c>
      <c r="K329">
        <f>IFERROR(VLOOKUP(A329,库龄!B:L,10,0),0)</f>
        <v>0</v>
      </c>
      <c r="L329">
        <f>IFERROR(VLOOKUP(A329,库龄!B:M,11,0),0)</f>
        <v>25</v>
      </c>
      <c r="M329">
        <f>IFERROR(VLOOKUP(A329,库龄!B:N,12,0),0)</f>
        <v>0</v>
      </c>
      <c r="N329">
        <f t="shared" si="12"/>
        <v>26</v>
      </c>
    </row>
    <row r="330" spans="1:14">
      <c r="A330" s="3" t="s">
        <v>1418</v>
      </c>
      <c r="B330">
        <f>IFERROR(VLOOKUP(A330,管理亚马逊库存!A:K,11,0),"")</f>
        <v>37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12</v>
      </c>
      <c r="L330">
        <f>IFERROR(VLOOKUP(A330,库龄!B:M,11,0),0)</f>
        <v>24</v>
      </c>
      <c r="M330">
        <f>IFERROR(VLOOKUP(A330,库龄!B:N,12,0),0)</f>
        <v>0</v>
      </c>
      <c r="N330">
        <f t="shared" si="12"/>
        <v>36</v>
      </c>
    </row>
    <row r="331" spans="1:14">
      <c r="A331" s="3" t="s">
        <v>1422</v>
      </c>
      <c r="B331">
        <f>IFERROR(VLOOKUP(A331,管理亚马逊库存!A:K,11,0),"")</f>
        <v>18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18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18</v>
      </c>
    </row>
    <row r="332" spans="1:14">
      <c r="A332" s="3" t="s">
        <v>1426</v>
      </c>
      <c r="B332">
        <f>IFERROR(VLOOKUP(A332,管理亚马逊库存!A:K,11,0),"")</f>
        <v>10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1</v>
      </c>
      <c r="K332">
        <f>IFERROR(VLOOKUP(A332,库龄!B:L,10,0),0)</f>
        <v>0</v>
      </c>
      <c r="L332">
        <f>IFERROR(VLOOKUP(A332,库龄!B:M,11,0),0)</f>
        <v>9</v>
      </c>
      <c r="M332">
        <f>IFERROR(VLOOKUP(A332,库龄!B:N,12,0),0)</f>
        <v>0</v>
      </c>
      <c r="N332">
        <f t="shared" si="12"/>
        <v>10</v>
      </c>
    </row>
    <row r="333" spans="1:14">
      <c r="A333" s="3" t="s">
        <v>1430</v>
      </c>
      <c r="B333">
        <f>IFERROR(VLOOKUP(A333,管理亚马逊库存!A:K,11,0),"")</f>
        <v>5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5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5</v>
      </c>
    </row>
    <row r="334" spans="1:14">
      <c r="A334" s="3" t="s">
        <v>1434</v>
      </c>
      <c r="B334">
        <f>IFERROR(VLOOKUP(A334,管理亚马逊库存!A:K,11,0),"")</f>
        <v>1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1</v>
      </c>
      <c r="M334">
        <f>IFERROR(VLOOKUP(A334,库龄!B:N,12,0),0)</f>
        <v>0</v>
      </c>
      <c r="N334">
        <f t="shared" si="12"/>
        <v>1</v>
      </c>
    </row>
    <row r="335" spans="1:14">
      <c r="A335" s="3" t="s">
        <v>1438</v>
      </c>
      <c r="B335">
        <f>IFERROR(VLOOKUP(A335,管理亚马逊库存!A:K,11,0),"")</f>
        <v>41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41</v>
      </c>
      <c r="M335">
        <f>IFERROR(VLOOKUP(A335,库龄!B:N,12,0),0)</f>
        <v>0</v>
      </c>
      <c r="N335">
        <f t="shared" si="12"/>
        <v>41</v>
      </c>
    </row>
    <row r="336" spans="1:14">
      <c r="A336" s="3" t="s">
        <v>1442</v>
      </c>
      <c r="B336">
        <f>IFERROR(VLOOKUP(A336,管理亚马逊库存!A:K,11,0),"")</f>
        <v>13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13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13</v>
      </c>
    </row>
    <row r="337" spans="1:14">
      <c r="A337" s="3" t="s">
        <v>1446</v>
      </c>
      <c r="B337">
        <f>IFERROR(VLOOKUP(A337,管理亚马逊库存!A:K,11,0),"")</f>
        <v>1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1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1</v>
      </c>
    </row>
    <row r="338" spans="1:14">
      <c r="A338" s="3" t="s">
        <v>1450</v>
      </c>
      <c r="B338">
        <f>IFERROR(VLOOKUP(A338,管理亚马逊库存!A:K,11,0),"")</f>
        <v>22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22</v>
      </c>
      <c r="M338">
        <f>IFERROR(VLOOKUP(A338,库龄!B:N,12,0),0)</f>
        <v>0</v>
      </c>
      <c r="N338">
        <f t="shared" si="12"/>
        <v>22</v>
      </c>
    </row>
    <row r="339" spans="1:14">
      <c r="A339" s="3" t="s">
        <v>1454</v>
      </c>
      <c r="B339">
        <f>IFERROR(VLOOKUP(A339,管理亚马逊库存!A:K,11,0),"")</f>
        <v>2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2</v>
      </c>
      <c r="M339">
        <f>IFERROR(VLOOKUP(A339,库龄!B:N,12,0),0)</f>
        <v>0</v>
      </c>
      <c r="N339">
        <f t="shared" si="12"/>
        <v>2</v>
      </c>
    </row>
    <row r="340" spans="1:14">
      <c r="A340" s="3" t="s">
        <v>1458</v>
      </c>
      <c r="B340">
        <f>IFERROR(VLOOKUP(A340,管理亚马逊库存!A:K,11,0),"")</f>
        <v>12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11</v>
      </c>
      <c r="M340">
        <f>IFERROR(VLOOKUP(A340,库龄!B:N,12,0),0)</f>
        <v>0</v>
      </c>
      <c r="N340">
        <f t="shared" si="12"/>
        <v>11</v>
      </c>
    </row>
    <row r="341" spans="1:14">
      <c r="A341" s="3" t="s">
        <v>1462</v>
      </c>
      <c r="B341">
        <f>IFERROR(VLOOKUP(A341,管理亚马逊库存!A:K,11,0),"")</f>
        <v>2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2</v>
      </c>
      <c r="M341">
        <f>IFERROR(VLOOKUP(A341,库龄!B:N,12,0),0)</f>
        <v>0</v>
      </c>
      <c r="N341">
        <f t="shared" si="12"/>
        <v>2</v>
      </c>
    </row>
    <row r="342" spans="1:14">
      <c r="A342" s="3" t="s">
        <v>1466</v>
      </c>
      <c r="B342">
        <f>IFERROR(VLOOKUP(A342,管理亚马逊库存!A:K,11,0),"")</f>
        <v>22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22</v>
      </c>
      <c r="M342">
        <f>IFERROR(VLOOKUP(A342,库龄!B:N,12,0),0)</f>
        <v>0</v>
      </c>
      <c r="N342">
        <f t="shared" si="12"/>
        <v>22</v>
      </c>
    </row>
    <row r="343" spans="1:14">
      <c r="A343" s="3" t="s">
        <v>1470</v>
      </c>
      <c r="B343">
        <f>IFERROR(VLOOKUP(A343,管理亚马逊库存!A:K,11,0),"")</f>
        <v>3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1</v>
      </c>
      <c r="K343">
        <f>IFERROR(VLOOKUP(A343,库龄!B:L,10,0),0)</f>
        <v>0</v>
      </c>
      <c r="L343">
        <f>IFERROR(VLOOKUP(A343,库龄!B:M,11,0),0)</f>
        <v>2</v>
      </c>
      <c r="M343">
        <f>IFERROR(VLOOKUP(A343,库龄!B:N,12,0),0)</f>
        <v>0</v>
      </c>
      <c r="N343">
        <f t="shared" si="12"/>
        <v>3</v>
      </c>
    </row>
    <row r="344" spans="1:14">
      <c r="A344" s="3" t="s">
        <v>1474</v>
      </c>
      <c r="B344">
        <f>IFERROR(VLOOKUP(A344,管理亚马逊库存!A:K,11,0),"")</f>
        <v>45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25</v>
      </c>
      <c r="K344">
        <f>IFERROR(VLOOKUP(A344,库龄!B:L,10,0),0)</f>
        <v>20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45</v>
      </c>
    </row>
    <row r="345" spans="1:14">
      <c r="A345" s="3" t="s">
        <v>1478</v>
      </c>
      <c r="B345">
        <f>IFERROR(VLOOKUP(A345,管理亚马逊库存!A:K,11,0),"")</f>
        <v>16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13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13</v>
      </c>
    </row>
    <row r="346" spans="1:14">
      <c r="A346" s="3" t="s">
        <v>1483</v>
      </c>
      <c r="B346">
        <f>IFERROR(VLOOKUP(A346,管理亚马逊库存!A:K,11,0),"")</f>
        <v>26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26</v>
      </c>
      <c r="M346">
        <f>IFERROR(VLOOKUP(A346,库龄!B:N,12,0),0)</f>
        <v>0</v>
      </c>
      <c r="N346">
        <f t="shared" si="12"/>
        <v>26</v>
      </c>
    </row>
    <row r="347" spans="1:14">
      <c r="A347" s="3" t="s">
        <v>1487</v>
      </c>
      <c r="B347">
        <f>IFERROR(VLOOKUP(A347,管理亚马逊库存!A:K,11,0),"")</f>
        <v>29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1</v>
      </c>
      <c r="K347">
        <f>IFERROR(VLOOKUP(A347,库龄!B:L,10,0),0)</f>
        <v>0</v>
      </c>
      <c r="L347">
        <f>IFERROR(VLOOKUP(A347,库龄!B:M,11,0),0)</f>
        <v>28</v>
      </c>
      <c r="M347">
        <f>IFERROR(VLOOKUP(A347,库龄!B:N,12,0),0)</f>
        <v>0</v>
      </c>
      <c r="N347">
        <f t="shared" si="12"/>
        <v>29</v>
      </c>
    </row>
    <row r="348" spans="1:14">
      <c r="A348" s="3" t="s">
        <v>1491</v>
      </c>
      <c r="B348">
        <f>IFERROR(VLOOKUP(A348,管理亚马逊库存!A:K,11,0),"")</f>
        <v>21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21</v>
      </c>
      <c r="M348">
        <f>IFERROR(VLOOKUP(A348,库龄!B:N,12,0),0)</f>
        <v>0</v>
      </c>
      <c r="N348">
        <f t="shared" si="12"/>
        <v>21</v>
      </c>
    </row>
    <row r="349" spans="1:14">
      <c r="A349" s="3" t="s">
        <v>1495</v>
      </c>
      <c r="B349">
        <f>IFERROR(VLOOKUP(A349,管理亚马逊库存!A:K,11,0),"")</f>
        <v>3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3</v>
      </c>
      <c r="M349">
        <f>IFERROR(VLOOKUP(A349,库龄!B:N,12,0),0)</f>
        <v>0</v>
      </c>
      <c r="N349">
        <f t="shared" si="12"/>
        <v>3</v>
      </c>
    </row>
    <row r="350" spans="1:14">
      <c r="A350" s="3" t="s">
        <v>1499</v>
      </c>
      <c r="B350">
        <f>IFERROR(VLOOKUP(A350,管理亚马逊库存!A:K,11,0),"")</f>
        <v>9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1</v>
      </c>
      <c r="K350">
        <f>IFERROR(VLOOKUP(A350,库龄!B:L,10,0),0)</f>
        <v>8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9</v>
      </c>
    </row>
    <row r="351" spans="1:14">
      <c r="A351" s="3" t="s">
        <v>1503</v>
      </c>
      <c r="B351">
        <f>IFERROR(VLOOKUP(A351,管理亚马逊库存!A:K,11,0),"")</f>
        <v>4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4</v>
      </c>
      <c r="M351">
        <f>IFERROR(VLOOKUP(A351,库龄!B:N,12,0),0)</f>
        <v>0</v>
      </c>
      <c r="N351">
        <f t="shared" si="12"/>
        <v>4</v>
      </c>
    </row>
    <row r="352" spans="1:14">
      <c r="A352" s="3" t="s">
        <v>1507</v>
      </c>
      <c r="B352">
        <f>IFERROR(VLOOKUP(A352,管理亚马逊库存!A:K,11,0),"")</f>
        <v>12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12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12</v>
      </c>
    </row>
    <row r="353" spans="1:14">
      <c r="A353" s="3" t="s">
        <v>1511</v>
      </c>
      <c r="B353">
        <f>IFERROR(VLOOKUP(A353,管理亚马逊库存!A:K,11,0),"")</f>
        <v>34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1</v>
      </c>
      <c r="L353">
        <f>IFERROR(VLOOKUP(A353,库龄!B:M,11,0),0)</f>
        <v>33</v>
      </c>
      <c r="M353">
        <f>IFERROR(VLOOKUP(A353,库龄!B:N,12,0),0)</f>
        <v>0</v>
      </c>
      <c r="N353">
        <f t="shared" si="12"/>
        <v>34</v>
      </c>
    </row>
    <row r="354" spans="1:14">
      <c r="A354" s="3" t="s">
        <v>1515</v>
      </c>
      <c r="B354">
        <f>IFERROR(VLOOKUP(A354,管理亚马逊库存!A:K,11,0),"")</f>
        <v>2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2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2</v>
      </c>
    </row>
    <row r="355" spans="1:14">
      <c r="A355" s="3" t="s">
        <v>1520</v>
      </c>
      <c r="B355">
        <f>IFERROR(VLOOKUP(A355,管理亚马逊库存!A:K,11,0),"")</f>
        <v>1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1</v>
      </c>
      <c r="M355">
        <f>IFERROR(VLOOKUP(A355,库龄!B:N,12,0),0)</f>
        <v>0</v>
      </c>
      <c r="N355">
        <f t="shared" si="12"/>
        <v>1</v>
      </c>
    </row>
    <row r="356" spans="1:14">
      <c r="A356" s="3" t="s">
        <v>1524</v>
      </c>
      <c r="B356">
        <f>IFERROR(VLOOKUP(A356,管理亚马逊库存!A:K,11,0),"")</f>
        <v>11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9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9</v>
      </c>
    </row>
    <row r="357" spans="1:14">
      <c r="A357" s="3" t="s">
        <v>1528</v>
      </c>
      <c r="B357">
        <f>IFERROR(VLOOKUP(A357,管理亚马逊库存!A:K,11,0),"")</f>
        <v>27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27</v>
      </c>
      <c r="M357">
        <f>IFERROR(VLOOKUP(A357,库龄!B:N,12,0),0)</f>
        <v>0</v>
      </c>
      <c r="N357">
        <f t="shared" si="12"/>
        <v>27</v>
      </c>
    </row>
    <row r="358" spans="1:14">
      <c r="A358" s="3" t="s">
        <v>1532</v>
      </c>
      <c r="B358">
        <f>IFERROR(VLOOKUP(A358,管理亚马逊库存!A:K,11,0),"")</f>
        <v>2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1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1</v>
      </c>
    </row>
    <row r="359" spans="1:14">
      <c r="A359" s="3" t="s">
        <v>1536</v>
      </c>
      <c r="B359">
        <f>IFERROR(VLOOKUP(A359,管理亚马逊库存!A:K,11,0),"")</f>
        <v>1</v>
      </c>
      <c r="C359">
        <f>IFERROR(VLOOKUP(A359,管理亚马逊库存!A:L,12,0),"")</f>
        <v>1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1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1</v>
      </c>
    </row>
    <row r="360" spans="1:14">
      <c r="A360" s="3" t="s">
        <v>1555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1559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1563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1567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1571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1574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1576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1580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1582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1586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1588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1592</v>
      </c>
      <c r="B371">
        <f>IFERROR(VLOOKUP(A371,管理亚马逊库存!A:K,11,0),"")</f>
        <v>0</v>
      </c>
      <c r="C371">
        <f>IFERROR(VLOOKUP(A371,管理亚马逊库存!A:L,12,0),"")</f>
        <v>3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1596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1600</v>
      </c>
      <c r="B373">
        <f>IFERROR(VLOOKUP(A373,管理亚马逊库存!A:K,11,0),"")</f>
        <v>0</v>
      </c>
      <c r="C373">
        <f>IFERROR(VLOOKUP(A373,管理亚马逊库存!A:L,12,0),"")</f>
        <v>1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1604</v>
      </c>
      <c r="B374">
        <f>IFERROR(VLOOKUP(A374,管理亚马逊库存!A:K,11,0),"")</f>
        <v>0</v>
      </c>
      <c r="C374">
        <f>IFERROR(VLOOKUP(A374,管理亚马逊库存!A:L,12,0),"")</f>
        <v>1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1608</v>
      </c>
      <c r="B375">
        <f>IFERROR(VLOOKUP(A375,管理亚马逊库存!A:K,11,0),"")</f>
        <v>0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1612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1616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1620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1624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1628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1632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1636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1640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1644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1648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1651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1654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398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398" si="14">SUM(J387:M387)</f>
        <v>0</v>
      </c>
    </row>
    <row r="388" spans="1:14">
      <c r="A388" s="3" t="s">
        <v>1657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1660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1664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1668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1671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1674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1677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1680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1684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1688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1692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2:14">
      <c r="B399" t="str">
        <f>IFERROR(VLOOKUP(A399,管理亚马逊库存!A:K,11,0),"")</f>
        <v/>
      </c>
      <c r="C399" t="str">
        <f>IFERROR(VLOOKUP(A399,管理亚马逊库存!A:L,12,0),"")</f>
        <v/>
      </c>
      <c r="D399" t="str">
        <f>IFERROR(VLOOKUP(A399,管理亚马逊库存!A:Q,17,0),"")</f>
        <v/>
      </c>
      <c r="E399" t="str">
        <f>IFERROR(VLOOKUP(A399,管理亚马逊库存!A:R,18,0),"")</f>
        <v/>
      </c>
      <c r="F399">
        <f>SUM(D399:E399)</f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>SUM(J399:M399)</f>
        <v>0</v>
      </c>
    </row>
    <row r="400" spans="2:14">
      <c r="B400" t="str">
        <f>IFERROR(VLOOKUP(A400,管理亚马逊库存!A:K,11,0),"")</f>
        <v/>
      </c>
      <c r="C400" t="str">
        <f>IFERROR(VLOOKUP(A400,管理亚马逊库存!A:L,12,0),"")</f>
        <v/>
      </c>
      <c r="D400" t="str">
        <f>IFERROR(VLOOKUP(A400,管理亚马逊库存!A:Q,17,0),"")</f>
        <v/>
      </c>
      <c r="E400" t="str">
        <f>IFERROR(VLOOKUP(A400,管理亚马逊库存!A:R,18,0),"")</f>
        <v/>
      </c>
      <c r="F400">
        <f t="shared" ref="F387:F450" si="15">SUM(D400:E400)</f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ref="N387:N450" si="16">SUM(J400:M400)</f>
        <v>0</v>
      </c>
    </row>
    <row r="401" spans="2:14">
      <c r="B401" t="str">
        <f>IFERROR(VLOOKUP(A401,管理亚马逊库存!A:K,11,0),"")</f>
        <v/>
      </c>
      <c r="C401" t="str">
        <f>IFERROR(VLOOKUP(A401,管理亚马逊库存!A:L,12,0),"")</f>
        <v/>
      </c>
      <c r="D401" t="str">
        <f>IFERROR(VLOOKUP(A401,管理亚马逊库存!A:Q,17,0),"")</f>
        <v/>
      </c>
      <c r="E401" t="str">
        <f>IFERROR(VLOOKUP(A401,管理亚马逊库存!A:R,18,0),"")</f>
        <v/>
      </c>
      <c r="F401">
        <f t="shared" si="15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6"/>
        <v>0</v>
      </c>
    </row>
    <row r="402" spans="2:14">
      <c r="B402" t="str">
        <f>IFERROR(VLOOKUP(A402,管理亚马逊库存!A:K,11,0),"")</f>
        <v/>
      </c>
      <c r="C402" t="str">
        <f>IFERROR(VLOOKUP(A402,管理亚马逊库存!A:L,12,0),"")</f>
        <v/>
      </c>
      <c r="D402" t="str">
        <f>IFERROR(VLOOKUP(A402,管理亚马逊库存!A:Q,17,0),"")</f>
        <v/>
      </c>
      <c r="E402" t="str">
        <f>IFERROR(VLOOKUP(A402,管理亚马逊库存!A:R,18,0),"")</f>
        <v/>
      </c>
      <c r="F402">
        <f t="shared" si="15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6"/>
        <v>0</v>
      </c>
    </row>
    <row r="403" spans="2:14">
      <c r="B403" t="str">
        <f>IFERROR(VLOOKUP(A403,管理亚马逊库存!A:K,11,0),"")</f>
        <v/>
      </c>
      <c r="C403" t="str">
        <f>IFERROR(VLOOKUP(A403,管理亚马逊库存!A:L,12,0),"")</f>
        <v/>
      </c>
      <c r="D403" t="str">
        <f>IFERROR(VLOOKUP(A403,管理亚马逊库存!A:Q,17,0),"")</f>
        <v/>
      </c>
      <c r="E403" t="str">
        <f>IFERROR(VLOOKUP(A403,管理亚马逊库存!A:R,18,0),"")</f>
        <v/>
      </c>
      <c r="F403">
        <f t="shared" si="15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6"/>
        <v>0</v>
      </c>
    </row>
    <row r="404" spans="2:14">
      <c r="B404" t="str">
        <f>IFERROR(VLOOKUP(A404,管理亚马逊库存!A:K,11,0),"")</f>
        <v/>
      </c>
      <c r="C404" t="str">
        <f>IFERROR(VLOOKUP(A404,管理亚马逊库存!A:L,12,0),"")</f>
        <v/>
      </c>
      <c r="D404" t="str">
        <f>IFERROR(VLOOKUP(A404,管理亚马逊库存!A:Q,17,0),"")</f>
        <v/>
      </c>
      <c r="E404" t="str">
        <f>IFERROR(VLOOKUP(A404,管理亚马逊库存!A:R,18,0),"")</f>
        <v/>
      </c>
      <c r="F404">
        <f t="shared" si="15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6"/>
        <v>0</v>
      </c>
    </row>
    <row r="405" spans="2:14">
      <c r="B405" t="str">
        <f>IFERROR(VLOOKUP(A405,管理亚马逊库存!A:K,11,0),"")</f>
        <v/>
      </c>
      <c r="C405" t="str">
        <f>IFERROR(VLOOKUP(A405,管理亚马逊库存!A:L,12,0),"")</f>
        <v/>
      </c>
      <c r="D405" t="str">
        <f>IFERROR(VLOOKUP(A405,管理亚马逊库存!A:Q,17,0),"")</f>
        <v/>
      </c>
      <c r="E405" t="str">
        <f>IFERROR(VLOOKUP(A405,管理亚马逊库存!A:R,18,0),"")</f>
        <v/>
      </c>
      <c r="F405">
        <f t="shared" si="15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6"/>
        <v>0</v>
      </c>
    </row>
    <row r="406" spans="2:14">
      <c r="B406" t="str">
        <f>IFERROR(VLOOKUP(A406,管理亚马逊库存!A:K,11,0),"")</f>
        <v/>
      </c>
      <c r="C406" t="str">
        <f>IFERROR(VLOOKUP(A406,管理亚马逊库存!A:L,12,0),"")</f>
        <v/>
      </c>
      <c r="D406" t="str">
        <f>IFERROR(VLOOKUP(A406,管理亚马逊库存!A:Q,17,0),"")</f>
        <v/>
      </c>
      <c r="E406" t="str">
        <f>IFERROR(VLOOKUP(A406,管理亚马逊库存!A:R,18,0),"")</f>
        <v/>
      </c>
      <c r="F406">
        <f t="shared" si="15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6"/>
        <v>0</v>
      </c>
    </row>
    <row r="407" spans="2:14">
      <c r="B407" t="str">
        <f>IFERROR(VLOOKUP(A407,管理亚马逊库存!A:K,11,0),"")</f>
        <v/>
      </c>
      <c r="C407" t="str">
        <f>IFERROR(VLOOKUP(A407,管理亚马逊库存!A:L,12,0),"")</f>
        <v/>
      </c>
      <c r="D407" t="str">
        <f>IFERROR(VLOOKUP(A407,管理亚马逊库存!A:Q,17,0),"")</f>
        <v/>
      </c>
      <c r="E407" t="str">
        <f>IFERROR(VLOOKUP(A407,管理亚马逊库存!A:R,18,0),"")</f>
        <v/>
      </c>
      <c r="F407">
        <f t="shared" si="15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6"/>
        <v>0</v>
      </c>
    </row>
    <row r="408" spans="2:14">
      <c r="B408" t="str">
        <f>IFERROR(VLOOKUP(A408,管理亚马逊库存!A:K,11,0),"")</f>
        <v/>
      </c>
      <c r="C408" t="str">
        <f>IFERROR(VLOOKUP(A408,管理亚马逊库存!A:L,12,0),"")</f>
        <v/>
      </c>
      <c r="D408" t="str">
        <f>IFERROR(VLOOKUP(A408,管理亚马逊库存!A:Q,17,0),"")</f>
        <v/>
      </c>
      <c r="E408" t="str">
        <f>IFERROR(VLOOKUP(A408,管理亚马逊库存!A:R,18,0),"")</f>
        <v/>
      </c>
      <c r="F408">
        <f t="shared" si="15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6"/>
        <v>0</v>
      </c>
    </row>
    <row r="409" spans="2:14">
      <c r="B409" t="str">
        <f>IFERROR(VLOOKUP(A409,管理亚马逊库存!A:K,11,0),"")</f>
        <v/>
      </c>
      <c r="C409" t="str">
        <f>IFERROR(VLOOKUP(A409,管理亚马逊库存!A:L,12,0),"")</f>
        <v/>
      </c>
      <c r="D409" t="str">
        <f>IFERROR(VLOOKUP(A409,管理亚马逊库存!A:Q,17,0),"")</f>
        <v/>
      </c>
      <c r="E409" t="str">
        <f>IFERROR(VLOOKUP(A409,管理亚马逊库存!A:R,18,0),"")</f>
        <v/>
      </c>
      <c r="F409">
        <f t="shared" si="15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6"/>
        <v>0</v>
      </c>
    </row>
    <row r="410" spans="2:14">
      <c r="B410" t="str">
        <f>IFERROR(VLOOKUP(A410,管理亚马逊库存!A:K,11,0),"")</f>
        <v/>
      </c>
      <c r="C410" t="str">
        <f>IFERROR(VLOOKUP(A410,管理亚马逊库存!A:L,12,0),"")</f>
        <v/>
      </c>
      <c r="D410" t="str">
        <f>IFERROR(VLOOKUP(A410,管理亚马逊库存!A:Q,17,0),"")</f>
        <v/>
      </c>
      <c r="E410" t="str">
        <f>IFERROR(VLOOKUP(A410,管理亚马逊库存!A:R,18,0),"")</f>
        <v/>
      </c>
      <c r="F410">
        <f t="shared" si="15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6"/>
        <v>0</v>
      </c>
    </row>
    <row r="411" spans="2:14">
      <c r="B411" t="str">
        <f>IFERROR(VLOOKUP(A411,管理亚马逊库存!A:K,11,0),"")</f>
        <v/>
      </c>
      <c r="C411" t="str">
        <f>IFERROR(VLOOKUP(A411,管理亚马逊库存!A:L,12,0),"")</f>
        <v/>
      </c>
      <c r="D411" t="str">
        <f>IFERROR(VLOOKUP(A411,管理亚马逊库存!A:Q,17,0),"")</f>
        <v/>
      </c>
      <c r="E411" t="str">
        <f>IFERROR(VLOOKUP(A411,管理亚马逊库存!A:R,18,0),"")</f>
        <v/>
      </c>
      <c r="F411">
        <f t="shared" si="15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6"/>
        <v>0</v>
      </c>
    </row>
    <row r="412" spans="2:14">
      <c r="B412" t="str">
        <f>IFERROR(VLOOKUP(A412,管理亚马逊库存!A:K,11,0),"")</f>
        <v/>
      </c>
      <c r="C412" t="str">
        <f>IFERROR(VLOOKUP(A412,管理亚马逊库存!A:L,12,0),"")</f>
        <v/>
      </c>
      <c r="D412" t="str">
        <f>IFERROR(VLOOKUP(A412,管理亚马逊库存!A:Q,17,0),"")</f>
        <v/>
      </c>
      <c r="E412" t="str">
        <f>IFERROR(VLOOKUP(A412,管理亚马逊库存!A:R,18,0),"")</f>
        <v/>
      </c>
      <c r="F412">
        <f t="shared" si="15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6"/>
        <v>0</v>
      </c>
    </row>
    <row r="413" spans="2:14">
      <c r="B413" t="str">
        <f>IFERROR(VLOOKUP(A413,管理亚马逊库存!A:K,11,0),"")</f>
        <v/>
      </c>
      <c r="C413" t="str">
        <f>IFERROR(VLOOKUP(A413,管理亚马逊库存!A:L,12,0),"")</f>
        <v/>
      </c>
      <c r="D413" t="str">
        <f>IFERROR(VLOOKUP(A413,管理亚马逊库存!A:Q,17,0),"")</f>
        <v/>
      </c>
      <c r="E413" t="str">
        <f>IFERROR(VLOOKUP(A413,管理亚马逊库存!A:R,18,0),"")</f>
        <v/>
      </c>
      <c r="F413">
        <f t="shared" si="15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6"/>
        <v>0</v>
      </c>
    </row>
    <row r="414" spans="2:14">
      <c r="B414" t="str">
        <f>IFERROR(VLOOKUP(A414,管理亚马逊库存!A:K,11,0),"")</f>
        <v/>
      </c>
      <c r="C414" t="str">
        <f>IFERROR(VLOOKUP(A414,管理亚马逊库存!A:L,12,0),"")</f>
        <v/>
      </c>
      <c r="D414" t="str">
        <f>IFERROR(VLOOKUP(A414,管理亚马逊库存!A:Q,17,0),"")</f>
        <v/>
      </c>
      <c r="E414" t="str">
        <f>IFERROR(VLOOKUP(A414,管理亚马逊库存!A:R,18,0),"")</f>
        <v/>
      </c>
      <c r="F414">
        <f t="shared" si="15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6"/>
        <v>0</v>
      </c>
    </row>
    <row r="415" spans="2:14">
      <c r="B415" t="str">
        <f>IFERROR(VLOOKUP(A415,管理亚马逊库存!A:K,11,0),"")</f>
        <v/>
      </c>
      <c r="C415" t="str">
        <f>IFERROR(VLOOKUP(A415,管理亚马逊库存!A:L,12,0),"")</f>
        <v/>
      </c>
      <c r="D415" t="str">
        <f>IFERROR(VLOOKUP(A415,管理亚马逊库存!A:Q,17,0),"")</f>
        <v/>
      </c>
      <c r="E415" t="str">
        <f>IFERROR(VLOOKUP(A415,管理亚马逊库存!A:R,18,0),"")</f>
        <v/>
      </c>
      <c r="F415">
        <f t="shared" si="15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6"/>
        <v>0</v>
      </c>
    </row>
    <row r="416" spans="2:14">
      <c r="B416" t="str">
        <f>IFERROR(VLOOKUP(A416,管理亚马逊库存!A:K,11,0),"")</f>
        <v/>
      </c>
      <c r="C416" t="str">
        <f>IFERROR(VLOOKUP(A416,管理亚马逊库存!A:L,12,0),"")</f>
        <v/>
      </c>
      <c r="D416" t="str">
        <f>IFERROR(VLOOKUP(A416,管理亚马逊库存!A:Q,17,0),"")</f>
        <v/>
      </c>
      <c r="E416" t="str">
        <f>IFERROR(VLOOKUP(A416,管理亚马逊库存!A:R,18,0),"")</f>
        <v/>
      </c>
      <c r="F416">
        <f t="shared" si="15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6"/>
        <v>0</v>
      </c>
    </row>
    <row r="417" spans="2:14">
      <c r="B417" t="str">
        <f>IFERROR(VLOOKUP(A417,管理亚马逊库存!A:K,11,0),"")</f>
        <v/>
      </c>
      <c r="C417" t="str">
        <f>IFERROR(VLOOKUP(A417,管理亚马逊库存!A:L,12,0),"")</f>
        <v/>
      </c>
      <c r="D417" t="str">
        <f>IFERROR(VLOOKUP(A417,管理亚马逊库存!A:Q,17,0),"")</f>
        <v/>
      </c>
      <c r="E417" t="str">
        <f>IFERROR(VLOOKUP(A417,管理亚马逊库存!A:R,18,0),"")</f>
        <v/>
      </c>
      <c r="F417">
        <f t="shared" si="15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6"/>
        <v>0</v>
      </c>
    </row>
    <row r="418" spans="2:14">
      <c r="B418" t="str">
        <f>IFERROR(VLOOKUP(A418,管理亚马逊库存!A:K,11,0),"")</f>
        <v/>
      </c>
      <c r="C418" t="str">
        <f>IFERROR(VLOOKUP(A418,管理亚马逊库存!A:L,12,0),"")</f>
        <v/>
      </c>
      <c r="D418" t="str">
        <f>IFERROR(VLOOKUP(A418,管理亚马逊库存!A:Q,17,0),"")</f>
        <v/>
      </c>
      <c r="E418" t="str">
        <f>IFERROR(VLOOKUP(A418,管理亚马逊库存!A:R,18,0),"")</f>
        <v/>
      </c>
      <c r="F418">
        <f t="shared" si="15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6"/>
        <v>0</v>
      </c>
    </row>
    <row r="419" spans="2:14">
      <c r="B419" t="str">
        <f>IFERROR(VLOOKUP(A419,管理亚马逊库存!A:K,11,0),"")</f>
        <v/>
      </c>
      <c r="C419" t="str">
        <f>IFERROR(VLOOKUP(A419,管理亚马逊库存!A:L,12,0),"")</f>
        <v/>
      </c>
      <c r="D419" t="str">
        <f>IFERROR(VLOOKUP(A419,管理亚马逊库存!A:Q,17,0),"")</f>
        <v/>
      </c>
      <c r="E419" t="str">
        <f>IFERROR(VLOOKUP(A419,管理亚马逊库存!A:R,18,0),"")</f>
        <v/>
      </c>
      <c r="F419">
        <f t="shared" si="15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6"/>
        <v>0</v>
      </c>
    </row>
    <row r="420" spans="2:14">
      <c r="B420" t="str">
        <f>IFERROR(VLOOKUP(A420,管理亚马逊库存!A:K,11,0),"")</f>
        <v/>
      </c>
      <c r="C420" t="str">
        <f>IFERROR(VLOOKUP(A420,管理亚马逊库存!A:L,12,0),"")</f>
        <v/>
      </c>
      <c r="D420" t="str">
        <f>IFERROR(VLOOKUP(A420,管理亚马逊库存!A:Q,17,0),"")</f>
        <v/>
      </c>
      <c r="E420" t="str">
        <f>IFERROR(VLOOKUP(A420,管理亚马逊库存!A:R,18,0),"")</f>
        <v/>
      </c>
      <c r="F420">
        <f t="shared" si="15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6"/>
        <v>0</v>
      </c>
    </row>
    <row r="421" spans="2:14">
      <c r="B421" t="str">
        <f>IFERROR(VLOOKUP(A421,管理亚马逊库存!A:K,11,0),"")</f>
        <v/>
      </c>
      <c r="C421" t="str">
        <f>IFERROR(VLOOKUP(A421,管理亚马逊库存!A:L,12,0),"")</f>
        <v/>
      </c>
      <c r="D421" t="str">
        <f>IFERROR(VLOOKUP(A421,管理亚马逊库存!A:Q,17,0),"")</f>
        <v/>
      </c>
      <c r="E421" t="str">
        <f>IFERROR(VLOOKUP(A421,管理亚马逊库存!A:R,18,0),"")</f>
        <v/>
      </c>
      <c r="F421">
        <f t="shared" si="15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6"/>
        <v>0</v>
      </c>
    </row>
    <row r="422" spans="2:14">
      <c r="B422" t="str">
        <f>IFERROR(VLOOKUP(A422,管理亚马逊库存!A:K,11,0),"")</f>
        <v/>
      </c>
      <c r="C422" t="str">
        <f>IFERROR(VLOOKUP(A422,管理亚马逊库存!A:L,12,0),"")</f>
        <v/>
      </c>
      <c r="D422" t="str">
        <f>IFERROR(VLOOKUP(A422,管理亚马逊库存!A:Q,17,0),"")</f>
        <v/>
      </c>
      <c r="E422" t="str">
        <f>IFERROR(VLOOKUP(A422,管理亚马逊库存!A:R,18,0),"")</f>
        <v/>
      </c>
      <c r="F422">
        <f t="shared" si="15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6"/>
        <v>0</v>
      </c>
    </row>
    <row r="423" spans="2:14">
      <c r="B423" t="str">
        <f>IFERROR(VLOOKUP(A423,管理亚马逊库存!A:K,11,0),"")</f>
        <v/>
      </c>
      <c r="C423" t="str">
        <f>IFERROR(VLOOKUP(A423,管理亚马逊库存!A:L,12,0),"")</f>
        <v/>
      </c>
      <c r="D423" t="str">
        <f>IFERROR(VLOOKUP(A423,管理亚马逊库存!A:Q,17,0),"")</f>
        <v/>
      </c>
      <c r="E423" t="str">
        <f>IFERROR(VLOOKUP(A423,管理亚马逊库存!A:R,18,0),"")</f>
        <v/>
      </c>
      <c r="F423">
        <f t="shared" si="15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6"/>
        <v>0</v>
      </c>
    </row>
    <row r="424" spans="2:14">
      <c r="B424" t="str">
        <f>IFERROR(VLOOKUP(A424,管理亚马逊库存!A:K,11,0),"")</f>
        <v/>
      </c>
      <c r="C424" t="str">
        <f>IFERROR(VLOOKUP(A424,管理亚马逊库存!A:L,12,0),"")</f>
        <v/>
      </c>
      <c r="D424" t="str">
        <f>IFERROR(VLOOKUP(A424,管理亚马逊库存!A:Q,17,0),"")</f>
        <v/>
      </c>
      <c r="E424" t="str">
        <f>IFERROR(VLOOKUP(A424,管理亚马逊库存!A:R,18,0),"")</f>
        <v/>
      </c>
      <c r="F424">
        <f t="shared" si="15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6"/>
        <v>0</v>
      </c>
    </row>
    <row r="425" spans="2:14">
      <c r="B425" t="str">
        <f>IFERROR(VLOOKUP(A425,管理亚马逊库存!A:K,11,0),"")</f>
        <v/>
      </c>
      <c r="C425" t="str">
        <f>IFERROR(VLOOKUP(A425,管理亚马逊库存!A:L,12,0),"")</f>
        <v/>
      </c>
      <c r="D425" t="str">
        <f>IFERROR(VLOOKUP(A425,管理亚马逊库存!A:Q,17,0),"")</f>
        <v/>
      </c>
      <c r="E425" t="str">
        <f>IFERROR(VLOOKUP(A425,管理亚马逊库存!A:R,18,0),"")</f>
        <v/>
      </c>
      <c r="F425">
        <f t="shared" si="15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6"/>
        <v>0</v>
      </c>
    </row>
    <row r="426" spans="2:14">
      <c r="B426" t="str">
        <f>IFERROR(VLOOKUP(A426,管理亚马逊库存!A:K,11,0),"")</f>
        <v/>
      </c>
      <c r="C426" t="str">
        <f>IFERROR(VLOOKUP(A426,管理亚马逊库存!A:L,12,0),"")</f>
        <v/>
      </c>
      <c r="D426" t="str">
        <f>IFERROR(VLOOKUP(A426,管理亚马逊库存!A:Q,17,0),"")</f>
        <v/>
      </c>
      <c r="E426" t="str">
        <f>IFERROR(VLOOKUP(A426,管理亚马逊库存!A:R,18,0),"")</f>
        <v/>
      </c>
      <c r="F426">
        <f t="shared" si="15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6"/>
        <v>0</v>
      </c>
    </row>
    <row r="427" spans="2:14">
      <c r="B427" t="str">
        <f>IFERROR(VLOOKUP(A427,管理亚马逊库存!A:K,11,0),"")</f>
        <v/>
      </c>
      <c r="C427" t="str">
        <f>IFERROR(VLOOKUP(A427,管理亚马逊库存!A:L,12,0),"")</f>
        <v/>
      </c>
      <c r="D427" t="str">
        <f>IFERROR(VLOOKUP(A427,管理亚马逊库存!A:Q,17,0),"")</f>
        <v/>
      </c>
      <c r="E427" t="str">
        <f>IFERROR(VLOOKUP(A427,管理亚马逊库存!A:R,18,0),"")</f>
        <v/>
      </c>
      <c r="F427">
        <f t="shared" si="15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6"/>
        <v>0</v>
      </c>
    </row>
    <row r="428" spans="2:14">
      <c r="B428" t="str">
        <f>IFERROR(VLOOKUP(A428,管理亚马逊库存!A:K,11,0),"")</f>
        <v/>
      </c>
      <c r="C428" t="str">
        <f>IFERROR(VLOOKUP(A428,管理亚马逊库存!A:L,12,0),"")</f>
        <v/>
      </c>
      <c r="D428" t="str">
        <f>IFERROR(VLOOKUP(A428,管理亚马逊库存!A:Q,17,0),"")</f>
        <v/>
      </c>
      <c r="E428" t="str">
        <f>IFERROR(VLOOKUP(A428,管理亚马逊库存!A:R,18,0),"")</f>
        <v/>
      </c>
      <c r="F428">
        <f t="shared" si="15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6"/>
        <v>0</v>
      </c>
    </row>
    <row r="429" spans="2:14">
      <c r="B429" t="str">
        <f>IFERROR(VLOOKUP(A429,管理亚马逊库存!A:K,11,0),"")</f>
        <v/>
      </c>
      <c r="C429" t="str">
        <f>IFERROR(VLOOKUP(A429,管理亚马逊库存!A:L,12,0),"")</f>
        <v/>
      </c>
      <c r="D429" t="str">
        <f>IFERROR(VLOOKUP(A429,管理亚马逊库存!A:Q,17,0),"")</f>
        <v/>
      </c>
      <c r="E429" t="str">
        <f>IFERROR(VLOOKUP(A429,管理亚马逊库存!A:R,18,0),"")</f>
        <v/>
      </c>
      <c r="F429">
        <f t="shared" si="15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6"/>
        <v>0</v>
      </c>
    </row>
    <row r="430" spans="2:14">
      <c r="B430" t="str">
        <f>IFERROR(VLOOKUP(A430,管理亚马逊库存!A:K,11,0),"")</f>
        <v/>
      </c>
      <c r="C430" t="str">
        <f>IFERROR(VLOOKUP(A430,管理亚马逊库存!A:L,12,0),"")</f>
        <v/>
      </c>
      <c r="D430" t="str">
        <f>IFERROR(VLOOKUP(A430,管理亚马逊库存!A:Q,17,0),"")</f>
        <v/>
      </c>
      <c r="E430" t="str">
        <f>IFERROR(VLOOKUP(A430,管理亚马逊库存!A:R,18,0),"")</f>
        <v/>
      </c>
      <c r="F430">
        <f t="shared" si="15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6"/>
        <v>0</v>
      </c>
    </row>
    <row r="431" spans="2:14">
      <c r="B431" t="str">
        <f>IFERROR(VLOOKUP(A431,管理亚马逊库存!A:K,11,0),"")</f>
        <v/>
      </c>
      <c r="C431" t="str">
        <f>IFERROR(VLOOKUP(A431,管理亚马逊库存!A:L,12,0),"")</f>
        <v/>
      </c>
      <c r="D431" t="str">
        <f>IFERROR(VLOOKUP(A431,管理亚马逊库存!A:Q,17,0),"")</f>
        <v/>
      </c>
      <c r="E431" t="str">
        <f>IFERROR(VLOOKUP(A431,管理亚马逊库存!A:R,18,0),"")</f>
        <v/>
      </c>
      <c r="F431">
        <f t="shared" si="15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6"/>
        <v>0</v>
      </c>
    </row>
    <row r="432" spans="2:14">
      <c r="B432" t="str">
        <f>IFERROR(VLOOKUP(A432,管理亚马逊库存!A:K,11,0),"")</f>
        <v/>
      </c>
      <c r="C432" t="str">
        <f>IFERROR(VLOOKUP(A432,管理亚马逊库存!A:L,12,0),"")</f>
        <v/>
      </c>
      <c r="D432" t="str">
        <f>IFERROR(VLOOKUP(A432,管理亚马逊库存!A:Q,17,0),"")</f>
        <v/>
      </c>
      <c r="E432" t="str">
        <f>IFERROR(VLOOKUP(A432,管理亚马逊库存!A:R,18,0),"")</f>
        <v/>
      </c>
      <c r="F432">
        <f t="shared" si="15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6"/>
        <v>0</v>
      </c>
    </row>
    <row r="433" spans="2:14">
      <c r="B433" t="str">
        <f>IFERROR(VLOOKUP(A433,管理亚马逊库存!A:K,11,0),"")</f>
        <v/>
      </c>
      <c r="C433" t="str">
        <f>IFERROR(VLOOKUP(A433,管理亚马逊库存!A:L,12,0),"")</f>
        <v/>
      </c>
      <c r="D433" t="str">
        <f>IFERROR(VLOOKUP(A433,管理亚马逊库存!A:Q,17,0),"")</f>
        <v/>
      </c>
      <c r="E433" t="str">
        <f>IFERROR(VLOOKUP(A433,管理亚马逊库存!A:R,18,0),"")</f>
        <v/>
      </c>
      <c r="F433">
        <f t="shared" si="15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6"/>
        <v>0</v>
      </c>
    </row>
    <row r="434" spans="2:14">
      <c r="B434" t="str">
        <f>IFERROR(VLOOKUP(A434,管理亚马逊库存!A:K,11,0),"")</f>
        <v/>
      </c>
      <c r="C434" t="str">
        <f>IFERROR(VLOOKUP(A434,管理亚马逊库存!A:L,12,0),"")</f>
        <v/>
      </c>
      <c r="D434" t="str">
        <f>IFERROR(VLOOKUP(A434,管理亚马逊库存!A:Q,17,0),"")</f>
        <v/>
      </c>
      <c r="E434" t="str">
        <f>IFERROR(VLOOKUP(A434,管理亚马逊库存!A:R,18,0),"")</f>
        <v/>
      </c>
      <c r="F434">
        <f t="shared" si="15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6"/>
        <v>0</v>
      </c>
    </row>
    <row r="435" spans="2:14">
      <c r="B435" t="str">
        <f>IFERROR(VLOOKUP(A435,管理亚马逊库存!A:K,11,0),"")</f>
        <v/>
      </c>
      <c r="C435" t="str">
        <f>IFERROR(VLOOKUP(A435,管理亚马逊库存!A:L,12,0),"")</f>
        <v/>
      </c>
      <c r="D435" t="str">
        <f>IFERROR(VLOOKUP(A435,管理亚马逊库存!A:Q,17,0),"")</f>
        <v/>
      </c>
      <c r="E435" t="str">
        <f>IFERROR(VLOOKUP(A435,管理亚马逊库存!A:R,18,0),"")</f>
        <v/>
      </c>
      <c r="F435">
        <f t="shared" si="15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6"/>
        <v>0</v>
      </c>
    </row>
    <row r="436" spans="2:14">
      <c r="B436" t="str">
        <f>IFERROR(VLOOKUP(A436,管理亚马逊库存!A:K,11,0),"")</f>
        <v/>
      </c>
      <c r="C436" t="str">
        <f>IFERROR(VLOOKUP(A436,管理亚马逊库存!A:L,12,0),"")</f>
        <v/>
      </c>
      <c r="D436" t="str">
        <f>IFERROR(VLOOKUP(A436,管理亚马逊库存!A:Q,17,0),"")</f>
        <v/>
      </c>
      <c r="E436" t="str">
        <f>IFERROR(VLOOKUP(A436,管理亚马逊库存!A:R,18,0),"")</f>
        <v/>
      </c>
      <c r="F436">
        <f t="shared" si="15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6"/>
        <v>0</v>
      </c>
    </row>
    <row r="437" spans="2:14">
      <c r="B437" t="str">
        <f>IFERROR(VLOOKUP(A437,管理亚马逊库存!A:K,11,0),"")</f>
        <v/>
      </c>
      <c r="C437" t="str">
        <f>IFERROR(VLOOKUP(A437,管理亚马逊库存!A:L,12,0),"")</f>
        <v/>
      </c>
      <c r="D437" t="str">
        <f>IFERROR(VLOOKUP(A437,管理亚马逊库存!A:Q,17,0),"")</f>
        <v/>
      </c>
      <c r="E437" t="str">
        <f>IFERROR(VLOOKUP(A437,管理亚马逊库存!A:R,18,0),"")</f>
        <v/>
      </c>
      <c r="F437">
        <f t="shared" si="15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6"/>
        <v>0</v>
      </c>
    </row>
    <row r="438" spans="2:14">
      <c r="B438" t="str">
        <f>IFERROR(VLOOKUP(A438,管理亚马逊库存!A:K,11,0),"")</f>
        <v/>
      </c>
      <c r="C438" t="str">
        <f>IFERROR(VLOOKUP(A438,管理亚马逊库存!A:L,12,0),"")</f>
        <v/>
      </c>
      <c r="D438" t="str">
        <f>IFERROR(VLOOKUP(A438,管理亚马逊库存!A:Q,17,0),"")</f>
        <v/>
      </c>
      <c r="E438" t="str">
        <f>IFERROR(VLOOKUP(A438,管理亚马逊库存!A:R,18,0),"")</f>
        <v/>
      </c>
      <c r="F438">
        <f t="shared" si="15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6"/>
        <v>0</v>
      </c>
    </row>
    <row r="439" spans="2:14">
      <c r="B439" t="str">
        <f>IFERROR(VLOOKUP(A439,管理亚马逊库存!A:K,11,0),"")</f>
        <v/>
      </c>
      <c r="C439" t="str">
        <f>IFERROR(VLOOKUP(A439,管理亚马逊库存!A:L,12,0),"")</f>
        <v/>
      </c>
      <c r="D439" t="str">
        <f>IFERROR(VLOOKUP(A439,管理亚马逊库存!A:Q,17,0),"")</f>
        <v/>
      </c>
      <c r="E439" t="str">
        <f>IFERROR(VLOOKUP(A439,管理亚马逊库存!A:R,18,0),"")</f>
        <v/>
      </c>
      <c r="F439">
        <f t="shared" si="15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6"/>
        <v>0</v>
      </c>
    </row>
    <row r="440" spans="2:14">
      <c r="B440" t="str">
        <f>IFERROR(VLOOKUP(A440,管理亚马逊库存!A:K,11,0),"")</f>
        <v/>
      </c>
      <c r="C440" t="str">
        <f>IFERROR(VLOOKUP(A440,管理亚马逊库存!A:L,12,0),"")</f>
        <v/>
      </c>
      <c r="D440" t="str">
        <f>IFERROR(VLOOKUP(A440,管理亚马逊库存!A:Q,17,0),"")</f>
        <v/>
      </c>
      <c r="E440" t="str">
        <f>IFERROR(VLOOKUP(A440,管理亚马逊库存!A:R,18,0),"")</f>
        <v/>
      </c>
      <c r="F440">
        <f t="shared" si="15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6"/>
        <v>0</v>
      </c>
    </row>
    <row r="441" spans="2:14">
      <c r="B441" t="str">
        <f>IFERROR(VLOOKUP(A441,管理亚马逊库存!A:K,11,0),"")</f>
        <v/>
      </c>
      <c r="C441" t="str">
        <f>IFERROR(VLOOKUP(A441,管理亚马逊库存!A:L,12,0),"")</f>
        <v/>
      </c>
      <c r="D441" t="str">
        <f>IFERROR(VLOOKUP(A441,管理亚马逊库存!A:Q,17,0),"")</f>
        <v/>
      </c>
      <c r="E441" t="str">
        <f>IFERROR(VLOOKUP(A441,管理亚马逊库存!A:R,18,0),"")</f>
        <v/>
      </c>
      <c r="F441">
        <f t="shared" si="15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6"/>
        <v>0</v>
      </c>
    </row>
    <row r="442" spans="2:14">
      <c r="B442" t="str">
        <f>IFERROR(VLOOKUP(A442,管理亚马逊库存!A:K,11,0),"")</f>
        <v/>
      </c>
      <c r="C442" t="str">
        <f>IFERROR(VLOOKUP(A442,管理亚马逊库存!A:L,12,0),"")</f>
        <v/>
      </c>
      <c r="D442" t="str">
        <f>IFERROR(VLOOKUP(A442,管理亚马逊库存!A:Q,17,0),"")</f>
        <v/>
      </c>
      <c r="E442" t="str">
        <f>IFERROR(VLOOKUP(A442,管理亚马逊库存!A:R,18,0),"")</f>
        <v/>
      </c>
      <c r="F442">
        <f t="shared" si="15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6"/>
        <v>0</v>
      </c>
    </row>
    <row r="443" spans="2:14">
      <c r="B443" t="str">
        <f>IFERROR(VLOOKUP(A443,管理亚马逊库存!A:K,11,0),"")</f>
        <v/>
      </c>
      <c r="C443" t="str">
        <f>IFERROR(VLOOKUP(A443,管理亚马逊库存!A:L,12,0),"")</f>
        <v/>
      </c>
      <c r="D443" t="str">
        <f>IFERROR(VLOOKUP(A443,管理亚马逊库存!A:Q,17,0),"")</f>
        <v/>
      </c>
      <c r="E443" t="str">
        <f>IFERROR(VLOOKUP(A443,管理亚马逊库存!A:R,18,0),"")</f>
        <v/>
      </c>
      <c r="F443">
        <f t="shared" si="15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6"/>
        <v>0</v>
      </c>
    </row>
    <row r="444" spans="2:14">
      <c r="B444" t="str">
        <f>IFERROR(VLOOKUP(A444,管理亚马逊库存!A:K,11,0),"")</f>
        <v/>
      </c>
      <c r="C444" t="str">
        <f>IFERROR(VLOOKUP(A444,管理亚马逊库存!A:L,12,0),"")</f>
        <v/>
      </c>
      <c r="D444" t="str">
        <f>IFERROR(VLOOKUP(A444,管理亚马逊库存!A:Q,17,0),"")</f>
        <v/>
      </c>
      <c r="E444" t="str">
        <f>IFERROR(VLOOKUP(A444,管理亚马逊库存!A:R,18,0),"")</f>
        <v/>
      </c>
      <c r="F444">
        <f t="shared" si="15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6"/>
        <v>0</v>
      </c>
    </row>
    <row r="445" spans="2:14">
      <c r="B445" t="str">
        <f>IFERROR(VLOOKUP(A445,管理亚马逊库存!A:K,11,0),"")</f>
        <v/>
      </c>
      <c r="C445" t="str">
        <f>IFERROR(VLOOKUP(A445,管理亚马逊库存!A:L,12,0),"")</f>
        <v/>
      </c>
      <c r="D445" t="str">
        <f>IFERROR(VLOOKUP(A445,管理亚马逊库存!A:Q,17,0),"")</f>
        <v/>
      </c>
      <c r="E445" t="str">
        <f>IFERROR(VLOOKUP(A445,管理亚马逊库存!A:R,18,0),"")</f>
        <v/>
      </c>
      <c r="F445">
        <f t="shared" si="15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6"/>
        <v>0</v>
      </c>
    </row>
    <row r="446" spans="2:14">
      <c r="B446" t="str">
        <f>IFERROR(VLOOKUP(A446,管理亚马逊库存!A:K,11,0),"")</f>
        <v/>
      </c>
      <c r="C446" t="str">
        <f>IFERROR(VLOOKUP(A446,管理亚马逊库存!A:L,12,0),"")</f>
        <v/>
      </c>
      <c r="D446" t="str">
        <f>IFERROR(VLOOKUP(A446,管理亚马逊库存!A:Q,17,0),"")</f>
        <v/>
      </c>
      <c r="E446" t="str">
        <f>IFERROR(VLOOKUP(A446,管理亚马逊库存!A:R,18,0),"")</f>
        <v/>
      </c>
      <c r="F446">
        <f t="shared" si="15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6"/>
        <v>0</v>
      </c>
    </row>
    <row r="447" spans="2:14">
      <c r="B447" t="str">
        <f>IFERROR(VLOOKUP(A447,管理亚马逊库存!A:K,11,0),"")</f>
        <v/>
      </c>
      <c r="C447" t="str">
        <f>IFERROR(VLOOKUP(A447,管理亚马逊库存!A:L,12,0),"")</f>
        <v/>
      </c>
      <c r="D447" t="str">
        <f>IFERROR(VLOOKUP(A447,管理亚马逊库存!A:Q,17,0),"")</f>
        <v/>
      </c>
      <c r="E447" t="str">
        <f>IFERROR(VLOOKUP(A447,管理亚马逊库存!A:R,18,0),"")</f>
        <v/>
      </c>
      <c r="F447">
        <f t="shared" si="15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6"/>
        <v>0</v>
      </c>
    </row>
    <row r="448" spans="2:14">
      <c r="B448" t="str">
        <f>IFERROR(VLOOKUP(A448,管理亚马逊库存!A:K,11,0),"")</f>
        <v/>
      </c>
      <c r="C448" t="str">
        <f>IFERROR(VLOOKUP(A448,管理亚马逊库存!A:L,12,0),"")</f>
        <v/>
      </c>
      <c r="D448" t="str">
        <f>IFERROR(VLOOKUP(A448,管理亚马逊库存!A:Q,17,0),"")</f>
        <v/>
      </c>
      <c r="E448" t="str">
        <f>IFERROR(VLOOKUP(A448,管理亚马逊库存!A:R,18,0),"")</f>
        <v/>
      </c>
      <c r="F448">
        <f t="shared" si="15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6"/>
        <v>0</v>
      </c>
    </row>
    <row r="449" spans="2:14">
      <c r="B449" t="str">
        <f>IFERROR(VLOOKUP(A449,管理亚马逊库存!A:K,11,0),"")</f>
        <v/>
      </c>
      <c r="C449" t="str">
        <f>IFERROR(VLOOKUP(A449,管理亚马逊库存!A:L,12,0),"")</f>
        <v/>
      </c>
      <c r="D449" t="str">
        <f>IFERROR(VLOOKUP(A449,管理亚马逊库存!A:Q,17,0),"")</f>
        <v/>
      </c>
      <c r="E449" t="str">
        <f>IFERROR(VLOOKUP(A449,管理亚马逊库存!A:R,18,0),"")</f>
        <v/>
      </c>
      <c r="F449">
        <f t="shared" si="15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6"/>
        <v>0</v>
      </c>
    </row>
    <row r="450" spans="2:14">
      <c r="B450" t="str">
        <f>IFERROR(VLOOKUP(A450,管理亚马逊库存!A:K,11,0),"")</f>
        <v/>
      </c>
      <c r="C450" t="str">
        <f>IFERROR(VLOOKUP(A450,管理亚马逊库存!A:L,12,0),"")</f>
        <v/>
      </c>
      <c r="D450" t="str">
        <f>IFERROR(VLOOKUP(A450,管理亚马逊库存!A:Q,17,0),"")</f>
        <v/>
      </c>
      <c r="E450" t="str">
        <f>IFERROR(VLOOKUP(A450,管理亚马逊库存!A:R,18,0),"")</f>
        <v/>
      </c>
      <c r="F450">
        <f t="shared" si="15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6"/>
        <v>0</v>
      </c>
    </row>
    <row r="451" spans="2:14">
      <c r="B451" t="str">
        <f>IFERROR(VLOOKUP(A451,管理亚马逊库存!A:K,11,0),"")</f>
        <v/>
      </c>
      <c r="C451" t="str">
        <f>IFERROR(VLOOKUP(A451,管理亚马逊库存!A:L,12,0),"")</f>
        <v/>
      </c>
      <c r="D451" t="str">
        <f>IFERROR(VLOOKUP(A451,管理亚马逊库存!A:Q,17,0),"")</f>
        <v/>
      </c>
      <c r="E451" t="str">
        <f>IFERROR(VLOOKUP(A451,管理亚马逊库存!A:R,18,0),"")</f>
        <v/>
      </c>
      <c r="F451">
        <f t="shared" ref="F451:F514" si="17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8">SUM(J451:M451)</f>
        <v>0</v>
      </c>
    </row>
    <row r="452" spans="2:14">
      <c r="B452" t="str">
        <f>IFERROR(VLOOKUP(A452,管理亚马逊库存!A:K,11,0),"")</f>
        <v/>
      </c>
      <c r="C452" t="str">
        <f>IFERROR(VLOOKUP(A452,管理亚马逊库存!A:L,12,0),"")</f>
        <v/>
      </c>
      <c r="D452" t="str">
        <f>IFERROR(VLOOKUP(A452,管理亚马逊库存!A:Q,17,0),"")</f>
        <v/>
      </c>
      <c r="E452" t="str">
        <f>IFERROR(VLOOKUP(A452,管理亚马逊库存!A:R,18,0),"")</f>
        <v/>
      </c>
      <c r="F452">
        <f t="shared" si="17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8"/>
        <v>0</v>
      </c>
    </row>
    <row r="453" spans="2:14">
      <c r="B453" t="str">
        <f>IFERROR(VLOOKUP(A453,管理亚马逊库存!A:K,11,0),"")</f>
        <v/>
      </c>
      <c r="C453" t="str">
        <f>IFERROR(VLOOKUP(A453,管理亚马逊库存!A:L,12,0),"")</f>
        <v/>
      </c>
      <c r="D453" t="str">
        <f>IFERROR(VLOOKUP(A453,管理亚马逊库存!A:Q,17,0),"")</f>
        <v/>
      </c>
      <c r="E453" t="str">
        <f>IFERROR(VLOOKUP(A453,管理亚马逊库存!A:R,18,0),"")</f>
        <v/>
      </c>
      <c r="F453">
        <f t="shared" si="17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8"/>
        <v>0</v>
      </c>
    </row>
    <row r="454" spans="2:14">
      <c r="B454" t="str">
        <f>IFERROR(VLOOKUP(A454,管理亚马逊库存!A:K,11,0),"")</f>
        <v/>
      </c>
      <c r="C454" t="str">
        <f>IFERROR(VLOOKUP(A454,管理亚马逊库存!A:L,12,0),"")</f>
        <v/>
      </c>
      <c r="D454" t="str">
        <f>IFERROR(VLOOKUP(A454,管理亚马逊库存!A:Q,17,0),"")</f>
        <v/>
      </c>
      <c r="E454" t="str">
        <f>IFERROR(VLOOKUP(A454,管理亚马逊库存!A:R,18,0),"")</f>
        <v/>
      </c>
      <c r="F454">
        <f t="shared" si="17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8"/>
        <v>0</v>
      </c>
    </row>
    <row r="455" spans="2:14">
      <c r="B455" t="str">
        <f>IFERROR(VLOOKUP(A455,管理亚马逊库存!A:K,11,0),"")</f>
        <v/>
      </c>
      <c r="C455" t="str">
        <f>IFERROR(VLOOKUP(A455,管理亚马逊库存!A:L,12,0),"")</f>
        <v/>
      </c>
      <c r="D455" t="str">
        <f>IFERROR(VLOOKUP(A455,管理亚马逊库存!A:Q,17,0),"")</f>
        <v/>
      </c>
      <c r="E455" t="str">
        <f>IFERROR(VLOOKUP(A455,管理亚马逊库存!A:R,18,0),"")</f>
        <v/>
      </c>
      <c r="F455">
        <f t="shared" si="17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8"/>
        <v>0</v>
      </c>
    </row>
    <row r="456" spans="2:14">
      <c r="B456" t="str">
        <f>IFERROR(VLOOKUP(A456,管理亚马逊库存!A:K,11,0),"")</f>
        <v/>
      </c>
      <c r="C456" t="str">
        <f>IFERROR(VLOOKUP(A456,管理亚马逊库存!A:L,12,0),"")</f>
        <v/>
      </c>
      <c r="D456" t="str">
        <f>IFERROR(VLOOKUP(A456,管理亚马逊库存!A:Q,17,0),"")</f>
        <v/>
      </c>
      <c r="E456" t="str">
        <f>IFERROR(VLOOKUP(A456,管理亚马逊库存!A:R,18,0),"")</f>
        <v/>
      </c>
      <c r="F456">
        <f t="shared" si="17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8"/>
        <v>0</v>
      </c>
    </row>
    <row r="457" spans="2:14">
      <c r="B457" t="str">
        <f>IFERROR(VLOOKUP(A457,管理亚马逊库存!A:K,11,0),"")</f>
        <v/>
      </c>
      <c r="C457" t="str">
        <f>IFERROR(VLOOKUP(A457,管理亚马逊库存!A:L,12,0),"")</f>
        <v/>
      </c>
      <c r="D457" t="str">
        <f>IFERROR(VLOOKUP(A457,管理亚马逊库存!A:Q,17,0),"")</f>
        <v/>
      </c>
      <c r="E457" t="str">
        <f>IFERROR(VLOOKUP(A457,管理亚马逊库存!A:R,18,0),"")</f>
        <v/>
      </c>
      <c r="F457">
        <f t="shared" si="17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8"/>
        <v>0</v>
      </c>
    </row>
    <row r="458" spans="2:14">
      <c r="B458" t="str">
        <f>IFERROR(VLOOKUP(A458,管理亚马逊库存!A:K,11,0),"")</f>
        <v/>
      </c>
      <c r="C458" t="str">
        <f>IFERROR(VLOOKUP(A458,管理亚马逊库存!A:L,12,0),"")</f>
        <v/>
      </c>
      <c r="D458" t="str">
        <f>IFERROR(VLOOKUP(A458,管理亚马逊库存!A:Q,17,0),"")</f>
        <v/>
      </c>
      <c r="E458" t="str">
        <f>IFERROR(VLOOKUP(A458,管理亚马逊库存!A:R,18,0),"")</f>
        <v/>
      </c>
      <c r="F458">
        <f t="shared" si="17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8"/>
        <v>0</v>
      </c>
    </row>
    <row r="459" spans="2:14">
      <c r="B459" t="str">
        <f>IFERROR(VLOOKUP(A459,管理亚马逊库存!A:K,11,0),"")</f>
        <v/>
      </c>
      <c r="C459" t="str">
        <f>IFERROR(VLOOKUP(A459,管理亚马逊库存!A:L,12,0),"")</f>
        <v/>
      </c>
      <c r="D459" t="str">
        <f>IFERROR(VLOOKUP(A459,管理亚马逊库存!A:Q,17,0),"")</f>
        <v/>
      </c>
      <c r="E459" t="str">
        <f>IFERROR(VLOOKUP(A459,管理亚马逊库存!A:R,18,0),"")</f>
        <v/>
      </c>
      <c r="F459">
        <f t="shared" si="17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8"/>
        <v>0</v>
      </c>
    </row>
    <row r="460" spans="2:14">
      <c r="B460" t="str">
        <f>IFERROR(VLOOKUP(A460,管理亚马逊库存!A:K,11,0),"")</f>
        <v/>
      </c>
      <c r="C460" t="str">
        <f>IFERROR(VLOOKUP(A460,管理亚马逊库存!A:L,12,0),"")</f>
        <v/>
      </c>
      <c r="D460" t="str">
        <f>IFERROR(VLOOKUP(A460,管理亚马逊库存!A:Q,17,0),"")</f>
        <v/>
      </c>
      <c r="E460" t="str">
        <f>IFERROR(VLOOKUP(A460,管理亚马逊库存!A:R,18,0),"")</f>
        <v/>
      </c>
      <c r="F460">
        <f t="shared" si="17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8"/>
        <v>0</v>
      </c>
    </row>
    <row r="461" spans="2:14">
      <c r="B461" t="str">
        <f>IFERROR(VLOOKUP(A461,管理亚马逊库存!A:K,11,0),"")</f>
        <v/>
      </c>
      <c r="C461" t="str">
        <f>IFERROR(VLOOKUP(A461,管理亚马逊库存!A:L,12,0),"")</f>
        <v/>
      </c>
      <c r="D461" t="str">
        <f>IFERROR(VLOOKUP(A461,管理亚马逊库存!A:Q,17,0),"")</f>
        <v/>
      </c>
      <c r="E461" t="str">
        <f>IFERROR(VLOOKUP(A461,管理亚马逊库存!A:R,18,0),"")</f>
        <v/>
      </c>
      <c r="F461">
        <f t="shared" si="17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8"/>
        <v>0</v>
      </c>
    </row>
    <row r="462" spans="2:14">
      <c r="B462" t="str">
        <f>IFERROR(VLOOKUP(A462,管理亚马逊库存!A:K,11,0),"")</f>
        <v/>
      </c>
      <c r="C462" t="str">
        <f>IFERROR(VLOOKUP(A462,管理亚马逊库存!A:L,12,0),"")</f>
        <v/>
      </c>
      <c r="D462" t="str">
        <f>IFERROR(VLOOKUP(A462,管理亚马逊库存!A:Q,17,0),"")</f>
        <v/>
      </c>
      <c r="E462" t="str">
        <f>IFERROR(VLOOKUP(A462,管理亚马逊库存!A:R,18,0),"")</f>
        <v/>
      </c>
      <c r="F462">
        <f t="shared" si="17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8"/>
        <v>0</v>
      </c>
    </row>
    <row r="463" spans="2:14">
      <c r="B463" t="str">
        <f>IFERROR(VLOOKUP(A463,管理亚马逊库存!A:K,11,0),"")</f>
        <v/>
      </c>
      <c r="C463" t="str">
        <f>IFERROR(VLOOKUP(A463,管理亚马逊库存!A:L,12,0),"")</f>
        <v/>
      </c>
      <c r="D463" t="str">
        <f>IFERROR(VLOOKUP(A463,管理亚马逊库存!A:Q,17,0),"")</f>
        <v/>
      </c>
      <c r="E463" t="str">
        <f>IFERROR(VLOOKUP(A463,管理亚马逊库存!A:R,18,0),"")</f>
        <v/>
      </c>
      <c r="F463">
        <f t="shared" si="17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8"/>
        <v>0</v>
      </c>
    </row>
    <row r="464" spans="2:14">
      <c r="B464" t="str">
        <f>IFERROR(VLOOKUP(A464,管理亚马逊库存!A:K,11,0),"")</f>
        <v/>
      </c>
      <c r="C464" t="str">
        <f>IFERROR(VLOOKUP(A464,管理亚马逊库存!A:L,12,0),"")</f>
        <v/>
      </c>
      <c r="D464" t="str">
        <f>IFERROR(VLOOKUP(A464,管理亚马逊库存!A:Q,17,0),"")</f>
        <v/>
      </c>
      <c r="E464" t="str">
        <f>IFERROR(VLOOKUP(A464,管理亚马逊库存!A:R,18,0),"")</f>
        <v/>
      </c>
      <c r="F464">
        <f t="shared" si="17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8"/>
        <v>0</v>
      </c>
    </row>
    <row r="465" spans="2:14">
      <c r="B465" t="str">
        <f>IFERROR(VLOOKUP(A465,管理亚马逊库存!A:K,11,0),"")</f>
        <v/>
      </c>
      <c r="C465" t="str">
        <f>IFERROR(VLOOKUP(A465,管理亚马逊库存!A:L,12,0),"")</f>
        <v/>
      </c>
      <c r="D465" t="str">
        <f>IFERROR(VLOOKUP(A465,管理亚马逊库存!A:Q,17,0),"")</f>
        <v/>
      </c>
      <c r="E465" t="str">
        <f>IFERROR(VLOOKUP(A465,管理亚马逊库存!A:R,18,0),"")</f>
        <v/>
      </c>
      <c r="F465">
        <f t="shared" si="17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8"/>
        <v>0</v>
      </c>
    </row>
    <row r="466" spans="2:14">
      <c r="B466" t="str">
        <f>IFERROR(VLOOKUP(A466,管理亚马逊库存!A:K,11,0),"")</f>
        <v/>
      </c>
      <c r="C466" t="str">
        <f>IFERROR(VLOOKUP(A466,管理亚马逊库存!A:L,12,0),"")</f>
        <v/>
      </c>
      <c r="D466" t="str">
        <f>IFERROR(VLOOKUP(A466,管理亚马逊库存!A:Q,17,0),"")</f>
        <v/>
      </c>
      <c r="E466" t="str">
        <f>IFERROR(VLOOKUP(A466,管理亚马逊库存!A:R,18,0),"")</f>
        <v/>
      </c>
      <c r="F466">
        <f t="shared" si="17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8"/>
        <v>0</v>
      </c>
    </row>
    <row r="467" spans="2:14">
      <c r="B467" t="str">
        <f>IFERROR(VLOOKUP(A467,管理亚马逊库存!A:K,11,0),"")</f>
        <v/>
      </c>
      <c r="C467" t="str">
        <f>IFERROR(VLOOKUP(A467,管理亚马逊库存!A:L,12,0),"")</f>
        <v/>
      </c>
      <c r="D467" t="str">
        <f>IFERROR(VLOOKUP(A467,管理亚马逊库存!A:Q,17,0),"")</f>
        <v/>
      </c>
      <c r="E467" t="str">
        <f>IFERROR(VLOOKUP(A467,管理亚马逊库存!A:R,18,0),"")</f>
        <v/>
      </c>
      <c r="F467">
        <f t="shared" si="17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8"/>
        <v>0</v>
      </c>
    </row>
    <row r="468" spans="2:14">
      <c r="B468" t="str">
        <f>IFERROR(VLOOKUP(A468,管理亚马逊库存!A:K,11,0),"")</f>
        <v/>
      </c>
      <c r="C468" t="str">
        <f>IFERROR(VLOOKUP(A468,管理亚马逊库存!A:L,12,0),"")</f>
        <v/>
      </c>
      <c r="D468" t="str">
        <f>IFERROR(VLOOKUP(A468,管理亚马逊库存!A:Q,17,0),"")</f>
        <v/>
      </c>
      <c r="E468" t="str">
        <f>IFERROR(VLOOKUP(A468,管理亚马逊库存!A:R,18,0),"")</f>
        <v/>
      </c>
      <c r="F468">
        <f t="shared" si="17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8"/>
        <v>0</v>
      </c>
    </row>
    <row r="469" spans="2:14">
      <c r="B469" t="str">
        <f>IFERROR(VLOOKUP(A469,管理亚马逊库存!A:K,11,0),"")</f>
        <v/>
      </c>
      <c r="C469" t="str">
        <f>IFERROR(VLOOKUP(A469,管理亚马逊库存!A:L,12,0),"")</f>
        <v/>
      </c>
      <c r="D469" t="str">
        <f>IFERROR(VLOOKUP(A469,管理亚马逊库存!A:Q,17,0),"")</f>
        <v/>
      </c>
      <c r="E469" t="str">
        <f>IFERROR(VLOOKUP(A469,管理亚马逊库存!A:R,18,0),"")</f>
        <v/>
      </c>
      <c r="F469">
        <f t="shared" si="17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8"/>
        <v>0</v>
      </c>
    </row>
    <row r="470" spans="2:14">
      <c r="B470" t="str">
        <f>IFERROR(VLOOKUP(A470,管理亚马逊库存!A:K,11,0),"")</f>
        <v/>
      </c>
      <c r="C470" t="str">
        <f>IFERROR(VLOOKUP(A470,管理亚马逊库存!A:L,12,0),"")</f>
        <v/>
      </c>
      <c r="D470" t="str">
        <f>IFERROR(VLOOKUP(A470,管理亚马逊库存!A:Q,17,0),"")</f>
        <v/>
      </c>
      <c r="E470" t="str">
        <f>IFERROR(VLOOKUP(A470,管理亚马逊库存!A:R,18,0),"")</f>
        <v/>
      </c>
      <c r="F470">
        <f t="shared" si="17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8"/>
        <v>0</v>
      </c>
    </row>
    <row r="471" spans="2:14">
      <c r="B471" t="str">
        <f>IFERROR(VLOOKUP(A471,管理亚马逊库存!A:K,11,0),"")</f>
        <v/>
      </c>
      <c r="C471" t="str">
        <f>IFERROR(VLOOKUP(A471,管理亚马逊库存!A:L,12,0),"")</f>
        <v/>
      </c>
      <c r="D471" t="str">
        <f>IFERROR(VLOOKUP(A471,管理亚马逊库存!A:Q,17,0),"")</f>
        <v/>
      </c>
      <c r="E471" t="str">
        <f>IFERROR(VLOOKUP(A471,管理亚马逊库存!A:R,18,0),"")</f>
        <v/>
      </c>
      <c r="F471">
        <f t="shared" si="17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8"/>
        <v>0</v>
      </c>
    </row>
    <row r="472" spans="2:14">
      <c r="B472" t="str">
        <f>IFERROR(VLOOKUP(A472,管理亚马逊库存!A:K,11,0),"")</f>
        <v/>
      </c>
      <c r="C472" t="str">
        <f>IFERROR(VLOOKUP(A472,管理亚马逊库存!A:L,12,0),"")</f>
        <v/>
      </c>
      <c r="D472" t="str">
        <f>IFERROR(VLOOKUP(A472,管理亚马逊库存!A:Q,17,0),"")</f>
        <v/>
      </c>
      <c r="E472" t="str">
        <f>IFERROR(VLOOKUP(A472,管理亚马逊库存!A:R,18,0),"")</f>
        <v/>
      </c>
      <c r="F472">
        <f t="shared" si="17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8"/>
        <v>0</v>
      </c>
    </row>
    <row r="473" spans="2:14">
      <c r="B473" t="str">
        <f>IFERROR(VLOOKUP(A473,管理亚马逊库存!A:K,11,0),"")</f>
        <v/>
      </c>
      <c r="C473" t="str">
        <f>IFERROR(VLOOKUP(A473,管理亚马逊库存!A:L,12,0),"")</f>
        <v/>
      </c>
      <c r="D473" t="str">
        <f>IFERROR(VLOOKUP(A473,管理亚马逊库存!A:Q,17,0),"")</f>
        <v/>
      </c>
      <c r="E473" t="str">
        <f>IFERROR(VLOOKUP(A473,管理亚马逊库存!A:R,18,0),"")</f>
        <v/>
      </c>
      <c r="F473">
        <f t="shared" si="17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8"/>
        <v>0</v>
      </c>
    </row>
    <row r="474" spans="2:14">
      <c r="B474" t="str">
        <f>IFERROR(VLOOKUP(A474,管理亚马逊库存!A:K,11,0),"")</f>
        <v/>
      </c>
      <c r="C474" t="str">
        <f>IFERROR(VLOOKUP(A474,管理亚马逊库存!A:L,12,0),"")</f>
        <v/>
      </c>
      <c r="D474" t="str">
        <f>IFERROR(VLOOKUP(A474,管理亚马逊库存!A:Q,17,0),"")</f>
        <v/>
      </c>
      <c r="E474" t="str">
        <f>IFERROR(VLOOKUP(A474,管理亚马逊库存!A:R,18,0),"")</f>
        <v/>
      </c>
      <c r="F474">
        <f t="shared" si="17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8"/>
        <v>0</v>
      </c>
    </row>
    <row r="475" spans="2:14">
      <c r="B475" t="str">
        <f>IFERROR(VLOOKUP(A475,管理亚马逊库存!A:K,11,0),"")</f>
        <v/>
      </c>
      <c r="C475" t="str">
        <f>IFERROR(VLOOKUP(A475,管理亚马逊库存!A:L,12,0),"")</f>
        <v/>
      </c>
      <c r="D475" t="str">
        <f>IFERROR(VLOOKUP(A475,管理亚马逊库存!A:Q,17,0),"")</f>
        <v/>
      </c>
      <c r="E475" t="str">
        <f>IFERROR(VLOOKUP(A475,管理亚马逊库存!A:R,18,0),"")</f>
        <v/>
      </c>
      <c r="F475">
        <f t="shared" si="17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8"/>
        <v>0</v>
      </c>
    </row>
    <row r="476" spans="2:14">
      <c r="B476" t="str">
        <f>IFERROR(VLOOKUP(A476,管理亚马逊库存!A:K,11,0),"")</f>
        <v/>
      </c>
      <c r="C476" t="str">
        <f>IFERROR(VLOOKUP(A476,管理亚马逊库存!A:L,12,0),"")</f>
        <v/>
      </c>
      <c r="D476" t="str">
        <f>IFERROR(VLOOKUP(A476,管理亚马逊库存!A:Q,17,0),"")</f>
        <v/>
      </c>
      <c r="E476" t="str">
        <f>IFERROR(VLOOKUP(A476,管理亚马逊库存!A:R,18,0),"")</f>
        <v/>
      </c>
      <c r="F476">
        <f t="shared" si="17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8"/>
        <v>0</v>
      </c>
    </row>
    <row r="477" spans="2:14">
      <c r="B477" t="str">
        <f>IFERROR(VLOOKUP(A477,管理亚马逊库存!A:K,11,0),"")</f>
        <v/>
      </c>
      <c r="C477" t="str">
        <f>IFERROR(VLOOKUP(A477,管理亚马逊库存!A:L,12,0),"")</f>
        <v/>
      </c>
      <c r="D477" t="str">
        <f>IFERROR(VLOOKUP(A477,管理亚马逊库存!A:Q,17,0),"")</f>
        <v/>
      </c>
      <c r="E477" t="str">
        <f>IFERROR(VLOOKUP(A477,管理亚马逊库存!A:R,18,0),"")</f>
        <v/>
      </c>
      <c r="F477">
        <f t="shared" si="17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8"/>
        <v>0</v>
      </c>
    </row>
    <row r="478" spans="2:14">
      <c r="B478" t="str">
        <f>IFERROR(VLOOKUP(A478,管理亚马逊库存!A:K,11,0),"")</f>
        <v/>
      </c>
      <c r="C478" t="str">
        <f>IFERROR(VLOOKUP(A478,管理亚马逊库存!A:L,12,0),"")</f>
        <v/>
      </c>
      <c r="D478" t="str">
        <f>IFERROR(VLOOKUP(A478,管理亚马逊库存!A:Q,17,0),"")</f>
        <v/>
      </c>
      <c r="E478" t="str">
        <f>IFERROR(VLOOKUP(A478,管理亚马逊库存!A:R,18,0),"")</f>
        <v/>
      </c>
      <c r="F478">
        <f t="shared" si="17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8"/>
        <v>0</v>
      </c>
    </row>
    <row r="479" spans="2:14">
      <c r="B479" t="str">
        <f>IFERROR(VLOOKUP(A479,管理亚马逊库存!A:K,11,0),"")</f>
        <v/>
      </c>
      <c r="C479" t="str">
        <f>IFERROR(VLOOKUP(A479,管理亚马逊库存!A:L,12,0),"")</f>
        <v/>
      </c>
      <c r="D479" t="str">
        <f>IFERROR(VLOOKUP(A479,管理亚马逊库存!A:Q,17,0),"")</f>
        <v/>
      </c>
      <c r="E479" t="str">
        <f>IFERROR(VLOOKUP(A479,管理亚马逊库存!A:R,18,0),"")</f>
        <v/>
      </c>
      <c r="F479">
        <f t="shared" si="17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8"/>
        <v>0</v>
      </c>
    </row>
    <row r="480" spans="2:14">
      <c r="B480" t="str">
        <f>IFERROR(VLOOKUP(A480,管理亚马逊库存!A:K,11,0),"")</f>
        <v/>
      </c>
      <c r="C480" t="str">
        <f>IFERROR(VLOOKUP(A480,管理亚马逊库存!A:L,12,0),"")</f>
        <v/>
      </c>
      <c r="D480" t="str">
        <f>IFERROR(VLOOKUP(A480,管理亚马逊库存!A:Q,17,0),"")</f>
        <v/>
      </c>
      <c r="E480" t="str">
        <f>IFERROR(VLOOKUP(A480,管理亚马逊库存!A:R,18,0),"")</f>
        <v/>
      </c>
      <c r="F480">
        <f t="shared" si="17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8"/>
        <v>0</v>
      </c>
    </row>
    <row r="481" spans="2:14">
      <c r="B481" t="str">
        <f>IFERROR(VLOOKUP(A481,管理亚马逊库存!A:K,11,0),"")</f>
        <v/>
      </c>
      <c r="C481" t="str">
        <f>IFERROR(VLOOKUP(A481,管理亚马逊库存!A:L,12,0),"")</f>
        <v/>
      </c>
      <c r="D481" t="str">
        <f>IFERROR(VLOOKUP(A481,管理亚马逊库存!A:Q,17,0),"")</f>
        <v/>
      </c>
      <c r="E481" t="str">
        <f>IFERROR(VLOOKUP(A481,管理亚马逊库存!A:R,18,0),"")</f>
        <v/>
      </c>
      <c r="F481">
        <f t="shared" si="17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8"/>
        <v>0</v>
      </c>
    </row>
    <row r="482" spans="2:14">
      <c r="B482" t="str">
        <f>IFERROR(VLOOKUP(A482,管理亚马逊库存!A:K,11,0),"")</f>
        <v/>
      </c>
      <c r="C482" t="str">
        <f>IFERROR(VLOOKUP(A482,管理亚马逊库存!A:L,12,0),"")</f>
        <v/>
      </c>
      <c r="D482" t="str">
        <f>IFERROR(VLOOKUP(A482,管理亚马逊库存!A:Q,17,0),"")</f>
        <v/>
      </c>
      <c r="E482" t="str">
        <f>IFERROR(VLOOKUP(A482,管理亚马逊库存!A:R,18,0),"")</f>
        <v/>
      </c>
      <c r="F482">
        <f t="shared" si="17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8"/>
        <v>0</v>
      </c>
    </row>
    <row r="483" spans="2:14">
      <c r="B483" t="str">
        <f>IFERROR(VLOOKUP(A483,管理亚马逊库存!A:K,11,0),"")</f>
        <v/>
      </c>
      <c r="C483" t="str">
        <f>IFERROR(VLOOKUP(A483,管理亚马逊库存!A:L,12,0),"")</f>
        <v/>
      </c>
      <c r="D483" t="str">
        <f>IFERROR(VLOOKUP(A483,管理亚马逊库存!A:Q,17,0),"")</f>
        <v/>
      </c>
      <c r="E483" t="str">
        <f>IFERROR(VLOOKUP(A483,管理亚马逊库存!A:R,18,0),"")</f>
        <v/>
      </c>
      <c r="F483">
        <f t="shared" si="17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8"/>
        <v>0</v>
      </c>
    </row>
    <row r="484" spans="2:14">
      <c r="B484" t="str">
        <f>IFERROR(VLOOKUP(A484,管理亚马逊库存!A:K,11,0),"")</f>
        <v/>
      </c>
      <c r="C484" t="str">
        <f>IFERROR(VLOOKUP(A484,管理亚马逊库存!A:L,12,0),"")</f>
        <v/>
      </c>
      <c r="D484" t="str">
        <f>IFERROR(VLOOKUP(A484,管理亚马逊库存!A:Q,17,0),"")</f>
        <v/>
      </c>
      <c r="E484" t="str">
        <f>IFERROR(VLOOKUP(A484,管理亚马逊库存!A:R,18,0),"")</f>
        <v/>
      </c>
      <c r="F484">
        <f t="shared" si="17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8"/>
        <v>0</v>
      </c>
    </row>
    <row r="485" spans="2:14">
      <c r="B485" t="str">
        <f>IFERROR(VLOOKUP(A485,管理亚马逊库存!A:K,11,0),"")</f>
        <v/>
      </c>
      <c r="C485" t="str">
        <f>IFERROR(VLOOKUP(A485,管理亚马逊库存!A:L,12,0),"")</f>
        <v/>
      </c>
      <c r="D485" t="str">
        <f>IFERROR(VLOOKUP(A485,管理亚马逊库存!A:Q,17,0),"")</f>
        <v/>
      </c>
      <c r="E485" t="str">
        <f>IFERROR(VLOOKUP(A485,管理亚马逊库存!A:R,18,0),"")</f>
        <v/>
      </c>
      <c r="F485">
        <f t="shared" si="17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8"/>
        <v>0</v>
      </c>
    </row>
    <row r="486" spans="2:14">
      <c r="B486" t="str">
        <f>IFERROR(VLOOKUP(A486,管理亚马逊库存!A:K,11,0),"")</f>
        <v/>
      </c>
      <c r="C486" t="str">
        <f>IFERROR(VLOOKUP(A486,管理亚马逊库存!A:L,12,0),"")</f>
        <v/>
      </c>
      <c r="D486" t="str">
        <f>IFERROR(VLOOKUP(A486,管理亚马逊库存!A:Q,17,0),"")</f>
        <v/>
      </c>
      <c r="E486" t="str">
        <f>IFERROR(VLOOKUP(A486,管理亚马逊库存!A:R,18,0),"")</f>
        <v/>
      </c>
      <c r="F486">
        <f t="shared" si="17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8"/>
        <v>0</v>
      </c>
    </row>
    <row r="487" spans="2:14">
      <c r="B487" t="str">
        <f>IFERROR(VLOOKUP(A487,管理亚马逊库存!A:K,11,0),"")</f>
        <v/>
      </c>
      <c r="C487" t="str">
        <f>IFERROR(VLOOKUP(A487,管理亚马逊库存!A:L,12,0),"")</f>
        <v/>
      </c>
      <c r="D487" t="str">
        <f>IFERROR(VLOOKUP(A487,管理亚马逊库存!A:Q,17,0),"")</f>
        <v/>
      </c>
      <c r="E487" t="str">
        <f>IFERROR(VLOOKUP(A487,管理亚马逊库存!A:R,18,0),"")</f>
        <v/>
      </c>
      <c r="F487">
        <f t="shared" si="17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8"/>
        <v>0</v>
      </c>
    </row>
    <row r="488" spans="2:14">
      <c r="B488" t="str">
        <f>IFERROR(VLOOKUP(A488,管理亚马逊库存!A:K,11,0),"")</f>
        <v/>
      </c>
      <c r="C488" t="str">
        <f>IFERROR(VLOOKUP(A488,管理亚马逊库存!A:L,12,0),"")</f>
        <v/>
      </c>
      <c r="D488" t="str">
        <f>IFERROR(VLOOKUP(A488,管理亚马逊库存!A:Q,17,0),"")</f>
        <v/>
      </c>
      <c r="E488" t="str">
        <f>IFERROR(VLOOKUP(A488,管理亚马逊库存!A:R,18,0),"")</f>
        <v/>
      </c>
      <c r="F488">
        <f t="shared" si="17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8"/>
        <v>0</v>
      </c>
    </row>
    <row r="489" spans="2:14">
      <c r="B489" t="str">
        <f>IFERROR(VLOOKUP(A489,管理亚马逊库存!A:K,11,0),"")</f>
        <v/>
      </c>
      <c r="C489" t="str">
        <f>IFERROR(VLOOKUP(A489,管理亚马逊库存!A:L,12,0),"")</f>
        <v/>
      </c>
      <c r="D489" t="str">
        <f>IFERROR(VLOOKUP(A489,管理亚马逊库存!A:Q,17,0),"")</f>
        <v/>
      </c>
      <c r="E489" t="str">
        <f>IFERROR(VLOOKUP(A489,管理亚马逊库存!A:R,18,0),"")</f>
        <v/>
      </c>
      <c r="F489">
        <f t="shared" si="17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8"/>
        <v>0</v>
      </c>
    </row>
    <row r="490" spans="2:14">
      <c r="B490" t="str">
        <f>IFERROR(VLOOKUP(A490,管理亚马逊库存!A:K,11,0),"")</f>
        <v/>
      </c>
      <c r="C490" t="str">
        <f>IFERROR(VLOOKUP(A490,管理亚马逊库存!A:L,12,0),"")</f>
        <v/>
      </c>
      <c r="D490" t="str">
        <f>IFERROR(VLOOKUP(A490,管理亚马逊库存!A:Q,17,0),"")</f>
        <v/>
      </c>
      <c r="E490" t="str">
        <f>IFERROR(VLOOKUP(A490,管理亚马逊库存!A:R,18,0),"")</f>
        <v/>
      </c>
      <c r="F490">
        <f t="shared" si="17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8"/>
        <v>0</v>
      </c>
    </row>
    <row r="491" spans="2:14">
      <c r="B491" t="str">
        <f>IFERROR(VLOOKUP(A491,管理亚马逊库存!A:K,11,0),"")</f>
        <v/>
      </c>
      <c r="C491" t="str">
        <f>IFERROR(VLOOKUP(A491,管理亚马逊库存!A:L,12,0),"")</f>
        <v/>
      </c>
      <c r="D491" t="str">
        <f>IFERROR(VLOOKUP(A491,管理亚马逊库存!A:Q,17,0),"")</f>
        <v/>
      </c>
      <c r="E491" t="str">
        <f>IFERROR(VLOOKUP(A491,管理亚马逊库存!A:R,18,0),"")</f>
        <v/>
      </c>
      <c r="F491">
        <f t="shared" si="17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8"/>
        <v>0</v>
      </c>
    </row>
    <row r="492" spans="2:14">
      <c r="B492" t="str">
        <f>IFERROR(VLOOKUP(A492,管理亚马逊库存!A:K,11,0),"")</f>
        <v/>
      </c>
      <c r="C492" t="str">
        <f>IFERROR(VLOOKUP(A492,管理亚马逊库存!A:L,12,0),"")</f>
        <v/>
      </c>
      <c r="D492" t="str">
        <f>IFERROR(VLOOKUP(A492,管理亚马逊库存!A:Q,17,0),"")</f>
        <v/>
      </c>
      <c r="E492" t="str">
        <f>IFERROR(VLOOKUP(A492,管理亚马逊库存!A:R,18,0),"")</f>
        <v/>
      </c>
      <c r="F492">
        <f t="shared" si="17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8"/>
        <v>0</v>
      </c>
    </row>
    <row r="493" spans="2:14">
      <c r="B493" t="str">
        <f>IFERROR(VLOOKUP(A493,管理亚马逊库存!A:K,11,0),"")</f>
        <v/>
      </c>
      <c r="C493" t="str">
        <f>IFERROR(VLOOKUP(A493,管理亚马逊库存!A:L,12,0),"")</f>
        <v/>
      </c>
      <c r="D493" t="str">
        <f>IFERROR(VLOOKUP(A493,管理亚马逊库存!A:Q,17,0),"")</f>
        <v/>
      </c>
      <c r="E493" t="str">
        <f>IFERROR(VLOOKUP(A493,管理亚马逊库存!A:R,18,0),"")</f>
        <v/>
      </c>
      <c r="F493">
        <f t="shared" si="17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8"/>
        <v>0</v>
      </c>
    </row>
    <row r="494" spans="2:14">
      <c r="B494" t="str">
        <f>IFERROR(VLOOKUP(A494,管理亚马逊库存!A:K,11,0),"")</f>
        <v/>
      </c>
      <c r="C494" t="str">
        <f>IFERROR(VLOOKUP(A494,管理亚马逊库存!A:L,12,0),"")</f>
        <v/>
      </c>
      <c r="D494" t="str">
        <f>IFERROR(VLOOKUP(A494,管理亚马逊库存!A:Q,17,0),"")</f>
        <v/>
      </c>
      <c r="E494" t="str">
        <f>IFERROR(VLOOKUP(A494,管理亚马逊库存!A:R,18,0),"")</f>
        <v/>
      </c>
      <c r="F494">
        <f t="shared" si="17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8"/>
        <v>0</v>
      </c>
    </row>
    <row r="495" spans="2:14">
      <c r="B495" t="str">
        <f>IFERROR(VLOOKUP(A495,管理亚马逊库存!A:K,11,0),"")</f>
        <v/>
      </c>
      <c r="C495" t="str">
        <f>IFERROR(VLOOKUP(A495,管理亚马逊库存!A:L,12,0),"")</f>
        <v/>
      </c>
      <c r="D495" t="str">
        <f>IFERROR(VLOOKUP(A495,管理亚马逊库存!A:Q,17,0),"")</f>
        <v/>
      </c>
      <c r="E495" t="str">
        <f>IFERROR(VLOOKUP(A495,管理亚马逊库存!A:R,18,0),"")</f>
        <v/>
      </c>
      <c r="F495">
        <f t="shared" si="17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8"/>
        <v>0</v>
      </c>
    </row>
    <row r="496" spans="2:14">
      <c r="B496" t="str">
        <f>IFERROR(VLOOKUP(A496,管理亚马逊库存!A:K,11,0),"")</f>
        <v/>
      </c>
      <c r="C496" t="str">
        <f>IFERROR(VLOOKUP(A496,管理亚马逊库存!A:L,12,0),"")</f>
        <v/>
      </c>
      <c r="D496" t="str">
        <f>IFERROR(VLOOKUP(A496,管理亚马逊库存!A:Q,17,0),"")</f>
        <v/>
      </c>
      <c r="E496" t="str">
        <f>IFERROR(VLOOKUP(A496,管理亚马逊库存!A:R,18,0),"")</f>
        <v/>
      </c>
      <c r="F496">
        <f t="shared" si="17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8"/>
        <v>0</v>
      </c>
    </row>
    <row r="497" spans="2:14">
      <c r="B497" t="str">
        <f>IFERROR(VLOOKUP(A497,管理亚马逊库存!A:K,11,0),"")</f>
        <v/>
      </c>
      <c r="C497" t="str">
        <f>IFERROR(VLOOKUP(A497,管理亚马逊库存!A:L,12,0),"")</f>
        <v/>
      </c>
      <c r="D497" t="str">
        <f>IFERROR(VLOOKUP(A497,管理亚马逊库存!A:Q,17,0),"")</f>
        <v/>
      </c>
      <c r="E497" t="str">
        <f>IFERROR(VLOOKUP(A497,管理亚马逊库存!A:R,18,0),"")</f>
        <v/>
      </c>
      <c r="F497">
        <f t="shared" si="17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8"/>
        <v>0</v>
      </c>
    </row>
    <row r="498" spans="2:14">
      <c r="B498" t="str">
        <f>IFERROR(VLOOKUP(A498,管理亚马逊库存!A:K,11,0),"")</f>
        <v/>
      </c>
      <c r="C498" t="str">
        <f>IFERROR(VLOOKUP(A498,管理亚马逊库存!A:L,12,0),"")</f>
        <v/>
      </c>
      <c r="D498" t="str">
        <f>IFERROR(VLOOKUP(A498,管理亚马逊库存!A:Q,17,0),"")</f>
        <v/>
      </c>
      <c r="E498" t="str">
        <f>IFERROR(VLOOKUP(A498,管理亚马逊库存!A:R,18,0),"")</f>
        <v/>
      </c>
      <c r="F498">
        <f t="shared" si="17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8"/>
        <v>0</v>
      </c>
    </row>
    <row r="499" spans="2:14">
      <c r="B499" t="str">
        <f>IFERROR(VLOOKUP(A499,管理亚马逊库存!A:K,11,0),"")</f>
        <v/>
      </c>
      <c r="C499" t="str">
        <f>IFERROR(VLOOKUP(A499,管理亚马逊库存!A:L,12,0),"")</f>
        <v/>
      </c>
      <c r="D499" t="str">
        <f>IFERROR(VLOOKUP(A499,管理亚马逊库存!A:Q,17,0),"")</f>
        <v/>
      </c>
      <c r="E499" t="str">
        <f>IFERROR(VLOOKUP(A499,管理亚马逊库存!A:R,18,0),"")</f>
        <v/>
      </c>
      <c r="F499">
        <f t="shared" si="17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8"/>
        <v>0</v>
      </c>
    </row>
    <row r="500" spans="2:14">
      <c r="B500" t="str">
        <f>IFERROR(VLOOKUP(A500,管理亚马逊库存!A:K,11,0),"")</f>
        <v/>
      </c>
      <c r="C500" t="str">
        <f>IFERROR(VLOOKUP(A500,管理亚马逊库存!A:L,12,0),"")</f>
        <v/>
      </c>
      <c r="D500" t="str">
        <f>IFERROR(VLOOKUP(A500,管理亚马逊库存!A:Q,17,0),"")</f>
        <v/>
      </c>
      <c r="E500" t="str">
        <f>IFERROR(VLOOKUP(A500,管理亚马逊库存!A:R,18,0),"")</f>
        <v/>
      </c>
      <c r="F500">
        <f t="shared" si="17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8"/>
        <v>0</v>
      </c>
    </row>
    <row r="501" spans="2:14">
      <c r="B501" t="str">
        <f>IFERROR(VLOOKUP(A501,管理亚马逊库存!A:K,11,0),"")</f>
        <v/>
      </c>
      <c r="C501" t="str">
        <f>IFERROR(VLOOKUP(A501,管理亚马逊库存!A:L,12,0),"")</f>
        <v/>
      </c>
      <c r="D501" t="str">
        <f>IFERROR(VLOOKUP(A501,管理亚马逊库存!A:Q,17,0),"")</f>
        <v/>
      </c>
      <c r="E501" t="str">
        <f>IFERROR(VLOOKUP(A501,管理亚马逊库存!A:R,18,0),"")</f>
        <v/>
      </c>
      <c r="F501">
        <f t="shared" si="17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8"/>
        <v>0</v>
      </c>
    </row>
    <row r="502" spans="2:14">
      <c r="B502" t="str">
        <f>IFERROR(VLOOKUP(A502,管理亚马逊库存!A:K,11,0),"")</f>
        <v/>
      </c>
      <c r="C502" t="str">
        <f>IFERROR(VLOOKUP(A502,管理亚马逊库存!A:L,12,0),"")</f>
        <v/>
      </c>
      <c r="D502" t="str">
        <f>IFERROR(VLOOKUP(A502,管理亚马逊库存!A:Q,17,0),"")</f>
        <v/>
      </c>
      <c r="E502" t="str">
        <f>IFERROR(VLOOKUP(A502,管理亚马逊库存!A:R,18,0),"")</f>
        <v/>
      </c>
      <c r="F502">
        <f t="shared" si="17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8"/>
        <v>0</v>
      </c>
    </row>
    <row r="503" spans="2:14">
      <c r="B503" t="str">
        <f>IFERROR(VLOOKUP(A503,管理亚马逊库存!A:K,11,0),"")</f>
        <v/>
      </c>
      <c r="C503" t="str">
        <f>IFERROR(VLOOKUP(A503,管理亚马逊库存!A:L,12,0),"")</f>
        <v/>
      </c>
      <c r="D503" t="str">
        <f>IFERROR(VLOOKUP(A503,管理亚马逊库存!A:Q,17,0),"")</f>
        <v/>
      </c>
      <c r="E503" t="str">
        <f>IFERROR(VLOOKUP(A503,管理亚马逊库存!A:R,18,0),"")</f>
        <v/>
      </c>
      <c r="F503">
        <f t="shared" si="17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8"/>
        <v>0</v>
      </c>
    </row>
    <row r="504" spans="2:14">
      <c r="B504" t="str">
        <f>IFERROR(VLOOKUP(A504,管理亚马逊库存!A:K,11,0),"")</f>
        <v/>
      </c>
      <c r="C504" t="str">
        <f>IFERROR(VLOOKUP(A504,管理亚马逊库存!A:L,12,0),"")</f>
        <v/>
      </c>
      <c r="D504" t="str">
        <f>IFERROR(VLOOKUP(A504,管理亚马逊库存!A:Q,17,0),"")</f>
        <v/>
      </c>
      <c r="E504" t="str">
        <f>IFERROR(VLOOKUP(A504,管理亚马逊库存!A:R,18,0),"")</f>
        <v/>
      </c>
      <c r="F504">
        <f t="shared" si="17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8"/>
        <v>0</v>
      </c>
    </row>
    <row r="505" spans="2:14">
      <c r="B505" t="str">
        <f>IFERROR(VLOOKUP(A505,管理亚马逊库存!A:K,11,0),"")</f>
        <v/>
      </c>
      <c r="C505" t="str">
        <f>IFERROR(VLOOKUP(A505,管理亚马逊库存!A:L,12,0),"")</f>
        <v/>
      </c>
      <c r="D505" t="str">
        <f>IFERROR(VLOOKUP(A505,管理亚马逊库存!A:Q,17,0),"")</f>
        <v/>
      </c>
      <c r="E505" t="str">
        <f>IFERROR(VLOOKUP(A505,管理亚马逊库存!A:R,18,0),"")</f>
        <v/>
      </c>
      <c r="F505">
        <f t="shared" si="17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8"/>
        <v>0</v>
      </c>
    </row>
    <row r="506" spans="2:14">
      <c r="B506" t="str">
        <f>IFERROR(VLOOKUP(A506,管理亚马逊库存!A:K,11,0),"")</f>
        <v/>
      </c>
      <c r="C506" t="str">
        <f>IFERROR(VLOOKUP(A506,管理亚马逊库存!A:L,12,0),"")</f>
        <v/>
      </c>
      <c r="D506" t="str">
        <f>IFERROR(VLOOKUP(A506,管理亚马逊库存!A:Q,17,0),"")</f>
        <v/>
      </c>
      <c r="E506" t="str">
        <f>IFERROR(VLOOKUP(A506,管理亚马逊库存!A:R,18,0),"")</f>
        <v/>
      </c>
      <c r="F506">
        <f t="shared" si="17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8"/>
        <v>0</v>
      </c>
    </row>
    <row r="507" spans="2:14">
      <c r="B507" t="str">
        <f>IFERROR(VLOOKUP(A507,管理亚马逊库存!A:K,11,0),"")</f>
        <v/>
      </c>
      <c r="C507" t="str">
        <f>IFERROR(VLOOKUP(A507,管理亚马逊库存!A:L,12,0),"")</f>
        <v/>
      </c>
      <c r="D507" t="str">
        <f>IFERROR(VLOOKUP(A507,管理亚马逊库存!A:Q,17,0),"")</f>
        <v/>
      </c>
      <c r="E507" t="str">
        <f>IFERROR(VLOOKUP(A507,管理亚马逊库存!A:R,18,0),"")</f>
        <v/>
      </c>
      <c r="F507">
        <f t="shared" si="17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8"/>
        <v>0</v>
      </c>
    </row>
    <row r="508" spans="2:14">
      <c r="B508" t="str">
        <f>IFERROR(VLOOKUP(A508,管理亚马逊库存!A:K,11,0),"")</f>
        <v/>
      </c>
      <c r="C508" t="str">
        <f>IFERROR(VLOOKUP(A508,管理亚马逊库存!A:L,12,0),"")</f>
        <v/>
      </c>
      <c r="D508" t="str">
        <f>IFERROR(VLOOKUP(A508,管理亚马逊库存!A:Q,17,0),"")</f>
        <v/>
      </c>
      <c r="E508" t="str">
        <f>IFERROR(VLOOKUP(A508,管理亚马逊库存!A:R,18,0),"")</f>
        <v/>
      </c>
      <c r="F508">
        <f t="shared" si="17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8"/>
        <v>0</v>
      </c>
    </row>
    <row r="509" spans="2:14">
      <c r="B509" t="str">
        <f>IFERROR(VLOOKUP(A509,管理亚马逊库存!A:K,11,0),"")</f>
        <v/>
      </c>
      <c r="C509" t="str">
        <f>IFERROR(VLOOKUP(A509,管理亚马逊库存!A:L,12,0),"")</f>
        <v/>
      </c>
      <c r="D509" t="str">
        <f>IFERROR(VLOOKUP(A509,管理亚马逊库存!A:Q,17,0),"")</f>
        <v/>
      </c>
      <c r="E509" t="str">
        <f>IFERROR(VLOOKUP(A509,管理亚马逊库存!A:R,18,0),"")</f>
        <v/>
      </c>
      <c r="F509">
        <f t="shared" si="17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8"/>
        <v>0</v>
      </c>
    </row>
    <row r="510" spans="2:14">
      <c r="B510" t="str">
        <f>IFERROR(VLOOKUP(A510,管理亚马逊库存!A:K,11,0),"")</f>
        <v/>
      </c>
      <c r="C510" t="str">
        <f>IFERROR(VLOOKUP(A510,管理亚马逊库存!A:L,12,0),"")</f>
        <v/>
      </c>
      <c r="D510" t="str">
        <f>IFERROR(VLOOKUP(A510,管理亚马逊库存!A:Q,17,0),"")</f>
        <v/>
      </c>
      <c r="E510" t="str">
        <f>IFERROR(VLOOKUP(A510,管理亚马逊库存!A:R,18,0),"")</f>
        <v/>
      </c>
      <c r="F510">
        <f t="shared" si="17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8"/>
        <v>0</v>
      </c>
    </row>
    <row r="511" spans="2:14">
      <c r="B511" t="str">
        <f>IFERROR(VLOOKUP(A511,管理亚马逊库存!A:K,11,0),"")</f>
        <v/>
      </c>
      <c r="C511" t="str">
        <f>IFERROR(VLOOKUP(A511,管理亚马逊库存!A:L,12,0),"")</f>
        <v/>
      </c>
      <c r="D511" t="str">
        <f>IFERROR(VLOOKUP(A511,管理亚马逊库存!A:Q,17,0),"")</f>
        <v/>
      </c>
      <c r="E511" t="str">
        <f>IFERROR(VLOOKUP(A511,管理亚马逊库存!A:R,18,0),"")</f>
        <v/>
      </c>
      <c r="F511">
        <f t="shared" si="17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8"/>
        <v>0</v>
      </c>
    </row>
    <row r="512" spans="2:14">
      <c r="B512" t="str">
        <f>IFERROR(VLOOKUP(A512,管理亚马逊库存!A:K,11,0),"")</f>
        <v/>
      </c>
      <c r="C512" t="str">
        <f>IFERROR(VLOOKUP(A512,管理亚马逊库存!A:L,12,0),"")</f>
        <v/>
      </c>
      <c r="D512" t="str">
        <f>IFERROR(VLOOKUP(A512,管理亚马逊库存!A:Q,17,0),"")</f>
        <v/>
      </c>
      <c r="E512" t="str">
        <f>IFERROR(VLOOKUP(A512,管理亚马逊库存!A:R,18,0),"")</f>
        <v/>
      </c>
      <c r="F512">
        <f t="shared" si="17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8"/>
        <v>0</v>
      </c>
    </row>
    <row r="513" spans="2:14">
      <c r="B513" t="str">
        <f>IFERROR(VLOOKUP(A513,管理亚马逊库存!A:K,11,0),"")</f>
        <v/>
      </c>
      <c r="C513" t="str">
        <f>IFERROR(VLOOKUP(A513,管理亚马逊库存!A:L,12,0),"")</f>
        <v/>
      </c>
      <c r="D513" t="str">
        <f>IFERROR(VLOOKUP(A513,管理亚马逊库存!A:Q,17,0),"")</f>
        <v/>
      </c>
      <c r="E513" t="str">
        <f>IFERROR(VLOOKUP(A513,管理亚马逊库存!A:R,18,0),"")</f>
        <v/>
      </c>
      <c r="F513">
        <f t="shared" si="17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8"/>
        <v>0</v>
      </c>
    </row>
    <row r="514" spans="2:14">
      <c r="B514" t="str">
        <f>IFERROR(VLOOKUP(A514,管理亚马逊库存!A:K,11,0),"")</f>
        <v/>
      </c>
      <c r="C514" t="str">
        <f>IFERROR(VLOOKUP(A514,管理亚马逊库存!A:L,12,0),"")</f>
        <v/>
      </c>
      <c r="D514" t="str">
        <f>IFERROR(VLOOKUP(A514,管理亚马逊库存!A:Q,17,0),"")</f>
        <v/>
      </c>
      <c r="E514" t="str">
        <f>IFERROR(VLOOKUP(A514,管理亚马逊库存!A:R,18,0),"")</f>
        <v/>
      </c>
      <c r="F514">
        <f t="shared" si="17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8"/>
        <v>0</v>
      </c>
    </row>
    <row r="515" spans="2:14">
      <c r="B515" t="str">
        <f>IFERROR(VLOOKUP(A515,管理亚马逊库存!A:K,11,0),"")</f>
        <v/>
      </c>
      <c r="C515" t="str">
        <f>IFERROR(VLOOKUP(A515,管理亚马逊库存!A:L,12,0),"")</f>
        <v/>
      </c>
      <c r="D515" t="str">
        <f>IFERROR(VLOOKUP(A515,管理亚马逊库存!A:Q,17,0),"")</f>
        <v/>
      </c>
      <c r="E515" t="str">
        <f>IFERROR(VLOOKUP(A515,管理亚马逊库存!A:R,18,0),"")</f>
        <v/>
      </c>
      <c r="F515">
        <f t="shared" ref="F515:F578" si="19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20">SUM(J515:M515)</f>
        <v>0</v>
      </c>
    </row>
    <row r="516" spans="2:14">
      <c r="B516" t="str">
        <f>IFERROR(VLOOKUP(A516,管理亚马逊库存!A:K,11,0),"")</f>
        <v/>
      </c>
      <c r="C516" t="str">
        <f>IFERROR(VLOOKUP(A516,管理亚马逊库存!A:L,12,0),"")</f>
        <v/>
      </c>
      <c r="D516" t="str">
        <f>IFERROR(VLOOKUP(A516,管理亚马逊库存!A:Q,17,0),"")</f>
        <v/>
      </c>
      <c r="E516" t="str">
        <f>IFERROR(VLOOKUP(A516,管理亚马逊库存!A:R,18,0),"")</f>
        <v/>
      </c>
      <c r="F516">
        <f t="shared" si="19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20"/>
        <v>0</v>
      </c>
    </row>
    <row r="517" spans="2:14">
      <c r="B517" t="str">
        <f>IFERROR(VLOOKUP(A517,管理亚马逊库存!A:K,11,0),"")</f>
        <v/>
      </c>
      <c r="C517" t="str">
        <f>IFERROR(VLOOKUP(A517,管理亚马逊库存!A:L,12,0),"")</f>
        <v/>
      </c>
      <c r="D517" t="str">
        <f>IFERROR(VLOOKUP(A517,管理亚马逊库存!A:Q,17,0),"")</f>
        <v/>
      </c>
      <c r="E517" t="str">
        <f>IFERROR(VLOOKUP(A517,管理亚马逊库存!A:R,18,0),"")</f>
        <v/>
      </c>
      <c r="F517">
        <f t="shared" si="19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20"/>
        <v>0</v>
      </c>
    </row>
    <row r="518" spans="2:14">
      <c r="B518" t="str">
        <f>IFERROR(VLOOKUP(A518,管理亚马逊库存!A:K,11,0),"")</f>
        <v/>
      </c>
      <c r="C518" t="str">
        <f>IFERROR(VLOOKUP(A518,管理亚马逊库存!A:L,12,0),"")</f>
        <v/>
      </c>
      <c r="D518" t="str">
        <f>IFERROR(VLOOKUP(A518,管理亚马逊库存!A:Q,17,0),"")</f>
        <v/>
      </c>
      <c r="E518" t="str">
        <f>IFERROR(VLOOKUP(A518,管理亚马逊库存!A:R,18,0),"")</f>
        <v/>
      </c>
      <c r="F518">
        <f t="shared" si="19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20"/>
        <v>0</v>
      </c>
    </row>
    <row r="519" spans="2:14">
      <c r="B519" t="str">
        <f>IFERROR(VLOOKUP(A519,管理亚马逊库存!A:K,11,0),"")</f>
        <v/>
      </c>
      <c r="C519" t="str">
        <f>IFERROR(VLOOKUP(A519,管理亚马逊库存!A:L,12,0),"")</f>
        <v/>
      </c>
      <c r="D519" t="str">
        <f>IFERROR(VLOOKUP(A519,管理亚马逊库存!A:Q,17,0),"")</f>
        <v/>
      </c>
      <c r="E519" t="str">
        <f>IFERROR(VLOOKUP(A519,管理亚马逊库存!A:R,18,0),"")</f>
        <v/>
      </c>
      <c r="F519">
        <f t="shared" si="19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20"/>
        <v>0</v>
      </c>
    </row>
    <row r="520" spans="2:14">
      <c r="B520" t="str">
        <f>IFERROR(VLOOKUP(A520,管理亚马逊库存!A:K,11,0),"")</f>
        <v/>
      </c>
      <c r="C520" t="str">
        <f>IFERROR(VLOOKUP(A520,管理亚马逊库存!A:L,12,0),"")</f>
        <v/>
      </c>
      <c r="D520" t="str">
        <f>IFERROR(VLOOKUP(A520,管理亚马逊库存!A:Q,17,0),"")</f>
        <v/>
      </c>
      <c r="E520" t="str">
        <f>IFERROR(VLOOKUP(A520,管理亚马逊库存!A:R,18,0),"")</f>
        <v/>
      </c>
      <c r="F520">
        <f t="shared" si="19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20"/>
        <v>0</v>
      </c>
    </row>
    <row r="521" spans="2:14">
      <c r="B521" t="str">
        <f>IFERROR(VLOOKUP(A521,管理亚马逊库存!A:K,11,0),"")</f>
        <v/>
      </c>
      <c r="C521" t="str">
        <f>IFERROR(VLOOKUP(A521,管理亚马逊库存!A:L,12,0),"")</f>
        <v/>
      </c>
      <c r="D521" t="str">
        <f>IFERROR(VLOOKUP(A521,管理亚马逊库存!A:Q,17,0),"")</f>
        <v/>
      </c>
      <c r="E521" t="str">
        <f>IFERROR(VLOOKUP(A521,管理亚马逊库存!A:R,18,0),"")</f>
        <v/>
      </c>
      <c r="F521">
        <f t="shared" si="19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20"/>
        <v>0</v>
      </c>
    </row>
    <row r="522" spans="2:14">
      <c r="B522" t="str">
        <f>IFERROR(VLOOKUP(A522,管理亚马逊库存!A:K,11,0),"")</f>
        <v/>
      </c>
      <c r="C522" t="str">
        <f>IFERROR(VLOOKUP(A522,管理亚马逊库存!A:L,12,0),"")</f>
        <v/>
      </c>
      <c r="D522" t="str">
        <f>IFERROR(VLOOKUP(A522,管理亚马逊库存!A:Q,17,0),"")</f>
        <v/>
      </c>
      <c r="E522" t="str">
        <f>IFERROR(VLOOKUP(A522,管理亚马逊库存!A:R,18,0),"")</f>
        <v/>
      </c>
      <c r="F522">
        <f t="shared" si="19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20"/>
        <v>0</v>
      </c>
    </row>
    <row r="523" spans="2:14">
      <c r="B523" t="str">
        <f>IFERROR(VLOOKUP(A523,管理亚马逊库存!A:K,11,0),"")</f>
        <v/>
      </c>
      <c r="C523" t="str">
        <f>IFERROR(VLOOKUP(A523,管理亚马逊库存!A:L,12,0),"")</f>
        <v/>
      </c>
      <c r="D523" t="str">
        <f>IFERROR(VLOOKUP(A523,管理亚马逊库存!A:Q,17,0),"")</f>
        <v/>
      </c>
      <c r="E523" t="str">
        <f>IFERROR(VLOOKUP(A523,管理亚马逊库存!A:R,18,0),"")</f>
        <v/>
      </c>
      <c r="F523">
        <f t="shared" si="19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20"/>
        <v>0</v>
      </c>
    </row>
    <row r="524" spans="2:14">
      <c r="B524" t="str">
        <f>IFERROR(VLOOKUP(A524,管理亚马逊库存!A:K,11,0),"")</f>
        <v/>
      </c>
      <c r="C524" t="str">
        <f>IFERROR(VLOOKUP(A524,管理亚马逊库存!A:L,12,0),"")</f>
        <v/>
      </c>
      <c r="D524" t="str">
        <f>IFERROR(VLOOKUP(A524,管理亚马逊库存!A:Q,17,0),"")</f>
        <v/>
      </c>
      <c r="E524" t="str">
        <f>IFERROR(VLOOKUP(A524,管理亚马逊库存!A:R,18,0),"")</f>
        <v/>
      </c>
      <c r="F524">
        <f t="shared" si="19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20"/>
        <v>0</v>
      </c>
    </row>
    <row r="525" spans="2:14">
      <c r="B525" t="str">
        <f>IFERROR(VLOOKUP(A525,管理亚马逊库存!A:K,11,0),"")</f>
        <v/>
      </c>
      <c r="C525" t="str">
        <f>IFERROR(VLOOKUP(A525,管理亚马逊库存!A:L,12,0),"")</f>
        <v/>
      </c>
      <c r="D525" t="str">
        <f>IFERROR(VLOOKUP(A525,管理亚马逊库存!A:Q,17,0),"")</f>
        <v/>
      </c>
      <c r="E525" t="str">
        <f>IFERROR(VLOOKUP(A525,管理亚马逊库存!A:R,18,0),"")</f>
        <v/>
      </c>
      <c r="F525">
        <f t="shared" si="19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20"/>
        <v>0</v>
      </c>
    </row>
    <row r="526" spans="2:14">
      <c r="B526" t="str">
        <f>IFERROR(VLOOKUP(A526,管理亚马逊库存!A:K,11,0),"")</f>
        <v/>
      </c>
      <c r="C526" t="str">
        <f>IFERROR(VLOOKUP(A526,管理亚马逊库存!A:L,12,0),"")</f>
        <v/>
      </c>
      <c r="D526" t="str">
        <f>IFERROR(VLOOKUP(A526,管理亚马逊库存!A:Q,17,0),"")</f>
        <v/>
      </c>
      <c r="E526" t="str">
        <f>IFERROR(VLOOKUP(A526,管理亚马逊库存!A:R,18,0),"")</f>
        <v/>
      </c>
      <c r="F526">
        <f t="shared" si="19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20"/>
        <v>0</v>
      </c>
    </row>
    <row r="527" spans="2:14">
      <c r="B527" t="str">
        <f>IFERROR(VLOOKUP(A527,管理亚马逊库存!A:K,11,0),"")</f>
        <v/>
      </c>
      <c r="C527" t="str">
        <f>IFERROR(VLOOKUP(A527,管理亚马逊库存!A:L,12,0),"")</f>
        <v/>
      </c>
      <c r="D527" t="str">
        <f>IFERROR(VLOOKUP(A527,管理亚马逊库存!A:Q,17,0),"")</f>
        <v/>
      </c>
      <c r="E527" t="str">
        <f>IFERROR(VLOOKUP(A527,管理亚马逊库存!A:R,18,0),"")</f>
        <v/>
      </c>
      <c r="F527">
        <f t="shared" si="19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20"/>
        <v>0</v>
      </c>
    </row>
    <row r="528" spans="2:14">
      <c r="B528" t="str">
        <f>IFERROR(VLOOKUP(A528,管理亚马逊库存!A:K,11,0),"")</f>
        <v/>
      </c>
      <c r="C528" t="str">
        <f>IFERROR(VLOOKUP(A528,管理亚马逊库存!A:L,12,0),"")</f>
        <v/>
      </c>
      <c r="D528" t="str">
        <f>IFERROR(VLOOKUP(A528,管理亚马逊库存!A:Q,17,0),"")</f>
        <v/>
      </c>
      <c r="E528" t="str">
        <f>IFERROR(VLOOKUP(A528,管理亚马逊库存!A:R,18,0),"")</f>
        <v/>
      </c>
      <c r="F528">
        <f t="shared" si="19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20"/>
        <v>0</v>
      </c>
    </row>
    <row r="529" spans="2:14">
      <c r="B529" t="str">
        <f>IFERROR(VLOOKUP(A529,管理亚马逊库存!A:K,11,0),"")</f>
        <v/>
      </c>
      <c r="C529" t="str">
        <f>IFERROR(VLOOKUP(A529,管理亚马逊库存!A:L,12,0),"")</f>
        <v/>
      </c>
      <c r="D529" t="str">
        <f>IFERROR(VLOOKUP(A529,管理亚马逊库存!A:Q,17,0),"")</f>
        <v/>
      </c>
      <c r="E529" t="str">
        <f>IFERROR(VLOOKUP(A529,管理亚马逊库存!A:R,18,0),"")</f>
        <v/>
      </c>
      <c r="F529">
        <f t="shared" si="19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20"/>
        <v>0</v>
      </c>
    </row>
    <row r="530" spans="2:14">
      <c r="B530" t="str">
        <f>IFERROR(VLOOKUP(A530,管理亚马逊库存!A:K,11,0),"")</f>
        <v/>
      </c>
      <c r="C530" t="str">
        <f>IFERROR(VLOOKUP(A530,管理亚马逊库存!A:L,12,0),"")</f>
        <v/>
      </c>
      <c r="D530" t="str">
        <f>IFERROR(VLOOKUP(A530,管理亚马逊库存!A:Q,17,0),"")</f>
        <v/>
      </c>
      <c r="E530" t="str">
        <f>IFERROR(VLOOKUP(A530,管理亚马逊库存!A:R,18,0),"")</f>
        <v/>
      </c>
      <c r="F530">
        <f t="shared" si="19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20"/>
        <v>0</v>
      </c>
    </row>
    <row r="531" spans="2:14">
      <c r="B531" t="str">
        <f>IFERROR(VLOOKUP(A531,管理亚马逊库存!A:K,11,0),"")</f>
        <v/>
      </c>
      <c r="C531" t="str">
        <f>IFERROR(VLOOKUP(A531,管理亚马逊库存!A:L,12,0),"")</f>
        <v/>
      </c>
      <c r="D531" t="str">
        <f>IFERROR(VLOOKUP(A531,管理亚马逊库存!A:Q,17,0),"")</f>
        <v/>
      </c>
      <c r="E531" t="str">
        <f>IFERROR(VLOOKUP(A531,管理亚马逊库存!A:R,18,0),"")</f>
        <v/>
      </c>
      <c r="F531">
        <f t="shared" si="19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20"/>
        <v>0</v>
      </c>
    </row>
    <row r="532" spans="2:14">
      <c r="B532" t="str">
        <f>IFERROR(VLOOKUP(A532,管理亚马逊库存!A:K,11,0),"")</f>
        <v/>
      </c>
      <c r="C532" t="str">
        <f>IFERROR(VLOOKUP(A532,管理亚马逊库存!A:L,12,0),"")</f>
        <v/>
      </c>
      <c r="D532" t="str">
        <f>IFERROR(VLOOKUP(A532,管理亚马逊库存!A:Q,17,0),"")</f>
        <v/>
      </c>
      <c r="E532" t="str">
        <f>IFERROR(VLOOKUP(A532,管理亚马逊库存!A:R,18,0),"")</f>
        <v/>
      </c>
      <c r="F532">
        <f t="shared" si="19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20"/>
        <v>0</v>
      </c>
    </row>
    <row r="533" spans="2:14">
      <c r="B533" t="str">
        <f>IFERROR(VLOOKUP(A533,管理亚马逊库存!A:K,11,0),"")</f>
        <v/>
      </c>
      <c r="C533" t="str">
        <f>IFERROR(VLOOKUP(A533,管理亚马逊库存!A:L,12,0),"")</f>
        <v/>
      </c>
      <c r="D533" t="str">
        <f>IFERROR(VLOOKUP(A533,管理亚马逊库存!A:Q,17,0),"")</f>
        <v/>
      </c>
      <c r="E533" t="str">
        <f>IFERROR(VLOOKUP(A533,管理亚马逊库存!A:R,18,0),"")</f>
        <v/>
      </c>
      <c r="F533">
        <f t="shared" si="19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20"/>
        <v>0</v>
      </c>
    </row>
    <row r="534" spans="2:14">
      <c r="B534" t="str">
        <f>IFERROR(VLOOKUP(A534,管理亚马逊库存!A:K,11,0),"")</f>
        <v/>
      </c>
      <c r="C534" t="str">
        <f>IFERROR(VLOOKUP(A534,管理亚马逊库存!A:L,12,0),"")</f>
        <v/>
      </c>
      <c r="D534" t="str">
        <f>IFERROR(VLOOKUP(A534,管理亚马逊库存!A:Q,17,0),"")</f>
        <v/>
      </c>
      <c r="E534" t="str">
        <f>IFERROR(VLOOKUP(A534,管理亚马逊库存!A:R,18,0),"")</f>
        <v/>
      </c>
      <c r="F534">
        <f t="shared" si="19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20"/>
        <v>0</v>
      </c>
    </row>
    <row r="535" spans="2:14">
      <c r="B535" t="str">
        <f>IFERROR(VLOOKUP(A535,管理亚马逊库存!A:K,11,0),"")</f>
        <v/>
      </c>
      <c r="C535" t="str">
        <f>IFERROR(VLOOKUP(A535,管理亚马逊库存!A:L,12,0),"")</f>
        <v/>
      </c>
      <c r="D535" t="str">
        <f>IFERROR(VLOOKUP(A535,管理亚马逊库存!A:Q,17,0),"")</f>
        <v/>
      </c>
      <c r="E535" t="str">
        <f>IFERROR(VLOOKUP(A535,管理亚马逊库存!A:R,18,0),"")</f>
        <v/>
      </c>
      <c r="F535">
        <f t="shared" si="19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20"/>
        <v>0</v>
      </c>
    </row>
    <row r="536" spans="2:14">
      <c r="B536" t="str">
        <f>IFERROR(VLOOKUP(A536,管理亚马逊库存!A:K,11,0),"")</f>
        <v/>
      </c>
      <c r="C536" t="str">
        <f>IFERROR(VLOOKUP(A536,管理亚马逊库存!A:L,12,0),"")</f>
        <v/>
      </c>
      <c r="D536" t="str">
        <f>IFERROR(VLOOKUP(A536,管理亚马逊库存!A:Q,17,0),"")</f>
        <v/>
      </c>
      <c r="E536" t="str">
        <f>IFERROR(VLOOKUP(A536,管理亚马逊库存!A:R,18,0),"")</f>
        <v/>
      </c>
      <c r="F536">
        <f t="shared" si="19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20"/>
        <v>0</v>
      </c>
    </row>
    <row r="537" spans="2:14">
      <c r="B537" t="str">
        <f>IFERROR(VLOOKUP(A537,管理亚马逊库存!A:K,11,0),"")</f>
        <v/>
      </c>
      <c r="C537" t="str">
        <f>IFERROR(VLOOKUP(A537,管理亚马逊库存!A:L,12,0),"")</f>
        <v/>
      </c>
      <c r="D537" t="str">
        <f>IFERROR(VLOOKUP(A537,管理亚马逊库存!A:Q,17,0),"")</f>
        <v/>
      </c>
      <c r="E537" t="str">
        <f>IFERROR(VLOOKUP(A537,管理亚马逊库存!A:R,18,0),"")</f>
        <v/>
      </c>
      <c r="F537">
        <f t="shared" si="19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20"/>
        <v>0</v>
      </c>
    </row>
    <row r="538" spans="2:14">
      <c r="B538" t="str">
        <f>IFERROR(VLOOKUP(A538,管理亚马逊库存!A:K,11,0),"")</f>
        <v/>
      </c>
      <c r="C538" t="str">
        <f>IFERROR(VLOOKUP(A538,管理亚马逊库存!A:L,12,0),"")</f>
        <v/>
      </c>
      <c r="D538" t="str">
        <f>IFERROR(VLOOKUP(A538,管理亚马逊库存!A:Q,17,0),"")</f>
        <v/>
      </c>
      <c r="E538" t="str">
        <f>IFERROR(VLOOKUP(A538,管理亚马逊库存!A:R,18,0),"")</f>
        <v/>
      </c>
      <c r="F538">
        <f t="shared" si="19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20"/>
        <v>0</v>
      </c>
    </row>
    <row r="539" spans="2:14">
      <c r="B539" t="str">
        <f>IFERROR(VLOOKUP(A539,管理亚马逊库存!A:K,11,0),"")</f>
        <v/>
      </c>
      <c r="C539" t="str">
        <f>IFERROR(VLOOKUP(A539,管理亚马逊库存!A:L,12,0),"")</f>
        <v/>
      </c>
      <c r="D539" t="str">
        <f>IFERROR(VLOOKUP(A539,管理亚马逊库存!A:Q,17,0),"")</f>
        <v/>
      </c>
      <c r="E539" t="str">
        <f>IFERROR(VLOOKUP(A539,管理亚马逊库存!A:R,18,0),"")</f>
        <v/>
      </c>
      <c r="F539">
        <f t="shared" si="19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20"/>
        <v>0</v>
      </c>
    </row>
    <row r="540" spans="2:14">
      <c r="B540" t="str">
        <f>IFERROR(VLOOKUP(A540,管理亚马逊库存!A:K,11,0),"")</f>
        <v/>
      </c>
      <c r="C540" t="str">
        <f>IFERROR(VLOOKUP(A540,管理亚马逊库存!A:L,12,0),"")</f>
        <v/>
      </c>
      <c r="D540" t="str">
        <f>IFERROR(VLOOKUP(A540,管理亚马逊库存!A:Q,17,0),"")</f>
        <v/>
      </c>
      <c r="E540" t="str">
        <f>IFERROR(VLOOKUP(A540,管理亚马逊库存!A:R,18,0),"")</f>
        <v/>
      </c>
      <c r="F540">
        <f t="shared" si="19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20"/>
        <v>0</v>
      </c>
    </row>
    <row r="541" spans="2:14">
      <c r="B541" t="str">
        <f>IFERROR(VLOOKUP(A541,管理亚马逊库存!A:K,11,0),"")</f>
        <v/>
      </c>
      <c r="C541" t="str">
        <f>IFERROR(VLOOKUP(A541,管理亚马逊库存!A:L,12,0),"")</f>
        <v/>
      </c>
      <c r="D541" t="str">
        <f>IFERROR(VLOOKUP(A541,管理亚马逊库存!A:Q,17,0),"")</f>
        <v/>
      </c>
      <c r="E541" t="str">
        <f>IFERROR(VLOOKUP(A541,管理亚马逊库存!A:R,18,0),"")</f>
        <v/>
      </c>
      <c r="F541">
        <f t="shared" si="19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20"/>
        <v>0</v>
      </c>
    </row>
    <row r="542" spans="2:14">
      <c r="B542" t="str">
        <f>IFERROR(VLOOKUP(A542,管理亚马逊库存!A:K,11,0),"")</f>
        <v/>
      </c>
      <c r="C542" t="str">
        <f>IFERROR(VLOOKUP(A542,管理亚马逊库存!A:L,12,0),"")</f>
        <v/>
      </c>
      <c r="D542" t="str">
        <f>IFERROR(VLOOKUP(A542,管理亚马逊库存!A:Q,17,0),"")</f>
        <v/>
      </c>
      <c r="E542" t="str">
        <f>IFERROR(VLOOKUP(A542,管理亚马逊库存!A:R,18,0),"")</f>
        <v/>
      </c>
      <c r="F542">
        <f t="shared" si="19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20"/>
        <v>0</v>
      </c>
    </row>
    <row r="543" spans="2:14">
      <c r="B543" t="str">
        <f>IFERROR(VLOOKUP(A543,管理亚马逊库存!A:K,11,0),"")</f>
        <v/>
      </c>
      <c r="C543" t="str">
        <f>IFERROR(VLOOKUP(A543,管理亚马逊库存!A:L,12,0),"")</f>
        <v/>
      </c>
      <c r="D543" t="str">
        <f>IFERROR(VLOOKUP(A543,管理亚马逊库存!A:Q,17,0),"")</f>
        <v/>
      </c>
      <c r="E543" t="str">
        <f>IFERROR(VLOOKUP(A543,管理亚马逊库存!A:R,18,0),"")</f>
        <v/>
      </c>
      <c r="F543">
        <f t="shared" si="19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20"/>
        <v>0</v>
      </c>
    </row>
    <row r="544" spans="2:14">
      <c r="B544" t="str">
        <f>IFERROR(VLOOKUP(A544,管理亚马逊库存!A:K,11,0),"")</f>
        <v/>
      </c>
      <c r="C544" t="str">
        <f>IFERROR(VLOOKUP(A544,管理亚马逊库存!A:L,12,0),"")</f>
        <v/>
      </c>
      <c r="D544" t="str">
        <f>IFERROR(VLOOKUP(A544,管理亚马逊库存!A:Q,17,0),"")</f>
        <v/>
      </c>
      <c r="E544" t="str">
        <f>IFERROR(VLOOKUP(A544,管理亚马逊库存!A:R,18,0),"")</f>
        <v/>
      </c>
      <c r="F544">
        <f t="shared" si="19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20"/>
        <v>0</v>
      </c>
    </row>
    <row r="545" spans="2:14">
      <c r="B545" t="str">
        <f>IFERROR(VLOOKUP(A545,管理亚马逊库存!A:K,11,0),"")</f>
        <v/>
      </c>
      <c r="C545" t="str">
        <f>IFERROR(VLOOKUP(A545,管理亚马逊库存!A:L,12,0),"")</f>
        <v/>
      </c>
      <c r="D545" t="str">
        <f>IFERROR(VLOOKUP(A545,管理亚马逊库存!A:Q,17,0),"")</f>
        <v/>
      </c>
      <c r="E545" t="str">
        <f>IFERROR(VLOOKUP(A545,管理亚马逊库存!A:R,18,0),"")</f>
        <v/>
      </c>
      <c r="F545">
        <f t="shared" si="19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20"/>
        <v>0</v>
      </c>
    </row>
    <row r="546" spans="2:14">
      <c r="B546" t="str">
        <f>IFERROR(VLOOKUP(A546,管理亚马逊库存!A:K,11,0),"")</f>
        <v/>
      </c>
      <c r="C546" t="str">
        <f>IFERROR(VLOOKUP(A546,管理亚马逊库存!A:L,12,0),"")</f>
        <v/>
      </c>
      <c r="D546" t="str">
        <f>IFERROR(VLOOKUP(A546,管理亚马逊库存!A:Q,17,0),"")</f>
        <v/>
      </c>
      <c r="E546" t="str">
        <f>IFERROR(VLOOKUP(A546,管理亚马逊库存!A:R,18,0),"")</f>
        <v/>
      </c>
      <c r="F546">
        <f t="shared" si="19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20"/>
        <v>0</v>
      </c>
    </row>
    <row r="547" spans="2:14">
      <c r="B547" t="str">
        <f>IFERROR(VLOOKUP(A547,管理亚马逊库存!A:K,11,0),"")</f>
        <v/>
      </c>
      <c r="C547" t="str">
        <f>IFERROR(VLOOKUP(A547,管理亚马逊库存!A:L,12,0),"")</f>
        <v/>
      </c>
      <c r="D547" t="str">
        <f>IFERROR(VLOOKUP(A547,管理亚马逊库存!A:Q,17,0),"")</f>
        <v/>
      </c>
      <c r="E547" t="str">
        <f>IFERROR(VLOOKUP(A547,管理亚马逊库存!A:R,18,0),"")</f>
        <v/>
      </c>
      <c r="F547">
        <f t="shared" si="19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20"/>
        <v>0</v>
      </c>
    </row>
    <row r="548" spans="2:14">
      <c r="B548" t="str">
        <f>IFERROR(VLOOKUP(A548,管理亚马逊库存!A:K,11,0),"")</f>
        <v/>
      </c>
      <c r="C548" t="str">
        <f>IFERROR(VLOOKUP(A548,管理亚马逊库存!A:L,12,0),"")</f>
        <v/>
      </c>
      <c r="D548" t="str">
        <f>IFERROR(VLOOKUP(A548,管理亚马逊库存!A:Q,17,0),"")</f>
        <v/>
      </c>
      <c r="E548" t="str">
        <f>IFERROR(VLOOKUP(A548,管理亚马逊库存!A:R,18,0),"")</f>
        <v/>
      </c>
      <c r="F548">
        <f t="shared" si="19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20"/>
        <v>0</v>
      </c>
    </row>
    <row r="549" spans="2:14">
      <c r="B549" t="str">
        <f>IFERROR(VLOOKUP(A549,管理亚马逊库存!A:K,11,0),"")</f>
        <v/>
      </c>
      <c r="C549" t="str">
        <f>IFERROR(VLOOKUP(A549,管理亚马逊库存!A:L,12,0),"")</f>
        <v/>
      </c>
      <c r="D549" t="str">
        <f>IFERROR(VLOOKUP(A549,管理亚马逊库存!A:Q,17,0),"")</f>
        <v/>
      </c>
      <c r="E549" t="str">
        <f>IFERROR(VLOOKUP(A549,管理亚马逊库存!A:R,18,0),"")</f>
        <v/>
      </c>
      <c r="F549">
        <f t="shared" si="19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20"/>
        <v>0</v>
      </c>
    </row>
    <row r="550" spans="2:14">
      <c r="B550" t="str">
        <f>IFERROR(VLOOKUP(A550,管理亚马逊库存!A:K,11,0),"")</f>
        <v/>
      </c>
      <c r="C550" t="str">
        <f>IFERROR(VLOOKUP(A550,管理亚马逊库存!A:L,12,0),"")</f>
        <v/>
      </c>
      <c r="D550" t="str">
        <f>IFERROR(VLOOKUP(A550,管理亚马逊库存!A:Q,17,0),"")</f>
        <v/>
      </c>
      <c r="E550" t="str">
        <f>IFERROR(VLOOKUP(A550,管理亚马逊库存!A:R,18,0),"")</f>
        <v/>
      </c>
      <c r="F550">
        <f t="shared" si="19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20"/>
        <v>0</v>
      </c>
    </row>
    <row r="551" spans="2:14">
      <c r="B551" t="str">
        <f>IFERROR(VLOOKUP(A551,管理亚马逊库存!A:K,11,0),"")</f>
        <v/>
      </c>
      <c r="C551" t="str">
        <f>IFERROR(VLOOKUP(A551,管理亚马逊库存!A:L,12,0),"")</f>
        <v/>
      </c>
      <c r="D551" t="str">
        <f>IFERROR(VLOOKUP(A551,管理亚马逊库存!A:Q,17,0),"")</f>
        <v/>
      </c>
      <c r="E551" t="str">
        <f>IFERROR(VLOOKUP(A551,管理亚马逊库存!A:R,18,0),"")</f>
        <v/>
      </c>
      <c r="F551">
        <f t="shared" si="19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20"/>
        <v>0</v>
      </c>
    </row>
    <row r="552" spans="2:14">
      <c r="B552" t="str">
        <f>IFERROR(VLOOKUP(A552,管理亚马逊库存!A:K,11,0),"")</f>
        <v/>
      </c>
      <c r="C552" t="str">
        <f>IFERROR(VLOOKUP(A552,管理亚马逊库存!A:L,12,0),"")</f>
        <v/>
      </c>
      <c r="D552" t="str">
        <f>IFERROR(VLOOKUP(A552,管理亚马逊库存!A:Q,17,0),"")</f>
        <v/>
      </c>
      <c r="E552" t="str">
        <f>IFERROR(VLOOKUP(A552,管理亚马逊库存!A:R,18,0),"")</f>
        <v/>
      </c>
      <c r="F552">
        <f t="shared" si="19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20"/>
        <v>0</v>
      </c>
    </row>
    <row r="553" spans="2:14">
      <c r="B553" t="str">
        <f>IFERROR(VLOOKUP(A553,管理亚马逊库存!A:K,11,0),"")</f>
        <v/>
      </c>
      <c r="C553" t="str">
        <f>IFERROR(VLOOKUP(A553,管理亚马逊库存!A:L,12,0),"")</f>
        <v/>
      </c>
      <c r="D553" t="str">
        <f>IFERROR(VLOOKUP(A553,管理亚马逊库存!A:Q,17,0),"")</f>
        <v/>
      </c>
      <c r="E553" t="str">
        <f>IFERROR(VLOOKUP(A553,管理亚马逊库存!A:R,18,0),"")</f>
        <v/>
      </c>
      <c r="F553">
        <f t="shared" si="19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20"/>
        <v>0</v>
      </c>
    </row>
    <row r="554" spans="2:14">
      <c r="B554" t="str">
        <f>IFERROR(VLOOKUP(A554,管理亚马逊库存!A:K,11,0),"")</f>
        <v/>
      </c>
      <c r="C554" t="str">
        <f>IFERROR(VLOOKUP(A554,管理亚马逊库存!A:L,12,0),"")</f>
        <v/>
      </c>
      <c r="D554" t="str">
        <f>IFERROR(VLOOKUP(A554,管理亚马逊库存!A:Q,17,0),"")</f>
        <v/>
      </c>
      <c r="E554" t="str">
        <f>IFERROR(VLOOKUP(A554,管理亚马逊库存!A:R,18,0),"")</f>
        <v/>
      </c>
      <c r="F554">
        <f t="shared" si="19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20"/>
        <v>0</v>
      </c>
    </row>
    <row r="555" spans="2:14">
      <c r="B555" t="str">
        <f>IFERROR(VLOOKUP(A555,管理亚马逊库存!A:K,11,0),"")</f>
        <v/>
      </c>
      <c r="C555" t="str">
        <f>IFERROR(VLOOKUP(A555,管理亚马逊库存!A:L,12,0),"")</f>
        <v/>
      </c>
      <c r="D555" t="str">
        <f>IFERROR(VLOOKUP(A555,管理亚马逊库存!A:Q,17,0),"")</f>
        <v/>
      </c>
      <c r="E555" t="str">
        <f>IFERROR(VLOOKUP(A555,管理亚马逊库存!A:R,18,0),"")</f>
        <v/>
      </c>
      <c r="F555">
        <f t="shared" si="19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20"/>
        <v>0</v>
      </c>
    </row>
    <row r="556" spans="2:14">
      <c r="B556" t="str">
        <f>IFERROR(VLOOKUP(A556,管理亚马逊库存!A:K,11,0),"")</f>
        <v/>
      </c>
      <c r="C556" t="str">
        <f>IFERROR(VLOOKUP(A556,管理亚马逊库存!A:L,12,0),"")</f>
        <v/>
      </c>
      <c r="D556" t="str">
        <f>IFERROR(VLOOKUP(A556,管理亚马逊库存!A:Q,17,0),"")</f>
        <v/>
      </c>
      <c r="E556" t="str">
        <f>IFERROR(VLOOKUP(A556,管理亚马逊库存!A:R,18,0),"")</f>
        <v/>
      </c>
      <c r="F556">
        <f t="shared" si="19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20"/>
        <v>0</v>
      </c>
    </row>
    <row r="557" spans="2:14">
      <c r="B557" t="str">
        <f>IFERROR(VLOOKUP(A557,管理亚马逊库存!A:K,11,0),"")</f>
        <v/>
      </c>
      <c r="C557" t="str">
        <f>IFERROR(VLOOKUP(A557,管理亚马逊库存!A:L,12,0),"")</f>
        <v/>
      </c>
      <c r="D557" t="str">
        <f>IFERROR(VLOOKUP(A557,管理亚马逊库存!A:Q,17,0),"")</f>
        <v/>
      </c>
      <c r="E557" t="str">
        <f>IFERROR(VLOOKUP(A557,管理亚马逊库存!A:R,18,0),"")</f>
        <v/>
      </c>
      <c r="F557">
        <f t="shared" si="19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20"/>
        <v>0</v>
      </c>
    </row>
    <row r="558" spans="2:14">
      <c r="B558" t="str">
        <f>IFERROR(VLOOKUP(A558,管理亚马逊库存!A:K,11,0),"")</f>
        <v/>
      </c>
      <c r="C558" t="str">
        <f>IFERROR(VLOOKUP(A558,管理亚马逊库存!A:L,12,0),"")</f>
        <v/>
      </c>
      <c r="D558" t="str">
        <f>IFERROR(VLOOKUP(A558,管理亚马逊库存!A:Q,17,0),"")</f>
        <v/>
      </c>
      <c r="E558" t="str">
        <f>IFERROR(VLOOKUP(A558,管理亚马逊库存!A:R,18,0),"")</f>
        <v/>
      </c>
      <c r="F558">
        <f t="shared" si="19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20"/>
        <v>0</v>
      </c>
    </row>
    <row r="559" spans="2:14">
      <c r="B559" t="str">
        <f>IFERROR(VLOOKUP(A559,管理亚马逊库存!A:K,11,0),"")</f>
        <v/>
      </c>
      <c r="C559" t="str">
        <f>IFERROR(VLOOKUP(A559,管理亚马逊库存!A:L,12,0),"")</f>
        <v/>
      </c>
      <c r="D559" t="str">
        <f>IFERROR(VLOOKUP(A559,管理亚马逊库存!A:Q,17,0),"")</f>
        <v/>
      </c>
      <c r="E559" t="str">
        <f>IFERROR(VLOOKUP(A559,管理亚马逊库存!A:R,18,0),"")</f>
        <v/>
      </c>
      <c r="F559">
        <f t="shared" si="19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20"/>
        <v>0</v>
      </c>
    </row>
    <row r="560" spans="2:14">
      <c r="B560" t="str">
        <f>IFERROR(VLOOKUP(A560,管理亚马逊库存!A:K,11,0),"")</f>
        <v/>
      </c>
      <c r="C560" t="str">
        <f>IFERROR(VLOOKUP(A560,管理亚马逊库存!A:L,12,0),"")</f>
        <v/>
      </c>
      <c r="D560" t="str">
        <f>IFERROR(VLOOKUP(A560,管理亚马逊库存!A:Q,17,0),"")</f>
        <v/>
      </c>
      <c r="E560" t="str">
        <f>IFERROR(VLOOKUP(A560,管理亚马逊库存!A:R,18,0),"")</f>
        <v/>
      </c>
      <c r="F560">
        <f t="shared" si="19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20"/>
        <v>0</v>
      </c>
    </row>
    <row r="561" spans="2:14">
      <c r="B561" t="str">
        <f>IFERROR(VLOOKUP(A561,管理亚马逊库存!A:K,11,0),"")</f>
        <v/>
      </c>
      <c r="C561" t="str">
        <f>IFERROR(VLOOKUP(A561,管理亚马逊库存!A:L,12,0),"")</f>
        <v/>
      </c>
      <c r="D561" t="str">
        <f>IFERROR(VLOOKUP(A561,管理亚马逊库存!A:Q,17,0),"")</f>
        <v/>
      </c>
      <c r="E561" t="str">
        <f>IFERROR(VLOOKUP(A561,管理亚马逊库存!A:R,18,0),"")</f>
        <v/>
      </c>
      <c r="F561">
        <f t="shared" si="19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20"/>
        <v>0</v>
      </c>
    </row>
    <row r="562" spans="2:14">
      <c r="B562" t="str">
        <f>IFERROR(VLOOKUP(A562,管理亚马逊库存!A:K,11,0),"")</f>
        <v/>
      </c>
      <c r="C562" t="str">
        <f>IFERROR(VLOOKUP(A562,管理亚马逊库存!A:L,12,0),"")</f>
        <v/>
      </c>
      <c r="D562" t="str">
        <f>IFERROR(VLOOKUP(A562,管理亚马逊库存!A:Q,17,0),"")</f>
        <v/>
      </c>
      <c r="E562" t="str">
        <f>IFERROR(VLOOKUP(A562,管理亚马逊库存!A:R,18,0),"")</f>
        <v/>
      </c>
      <c r="F562">
        <f t="shared" si="19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20"/>
        <v>0</v>
      </c>
    </row>
    <row r="563" spans="2:14">
      <c r="B563" t="str">
        <f>IFERROR(VLOOKUP(A563,管理亚马逊库存!A:K,11,0),"")</f>
        <v/>
      </c>
      <c r="C563" t="str">
        <f>IFERROR(VLOOKUP(A563,管理亚马逊库存!A:L,12,0),"")</f>
        <v/>
      </c>
      <c r="D563" t="str">
        <f>IFERROR(VLOOKUP(A563,管理亚马逊库存!A:Q,17,0),"")</f>
        <v/>
      </c>
      <c r="E563" t="str">
        <f>IFERROR(VLOOKUP(A563,管理亚马逊库存!A:R,18,0),"")</f>
        <v/>
      </c>
      <c r="F563">
        <f t="shared" si="19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20"/>
        <v>0</v>
      </c>
    </row>
    <row r="564" spans="2:14">
      <c r="B564" t="str">
        <f>IFERROR(VLOOKUP(A564,管理亚马逊库存!A:K,11,0),"")</f>
        <v/>
      </c>
      <c r="C564" t="str">
        <f>IFERROR(VLOOKUP(A564,管理亚马逊库存!A:L,12,0),"")</f>
        <v/>
      </c>
      <c r="D564" t="str">
        <f>IFERROR(VLOOKUP(A564,管理亚马逊库存!A:Q,17,0),"")</f>
        <v/>
      </c>
      <c r="E564" t="str">
        <f>IFERROR(VLOOKUP(A564,管理亚马逊库存!A:R,18,0),"")</f>
        <v/>
      </c>
      <c r="F564">
        <f t="shared" si="19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20"/>
        <v>0</v>
      </c>
    </row>
    <row r="565" spans="2:14">
      <c r="B565" t="str">
        <f>IFERROR(VLOOKUP(A565,管理亚马逊库存!A:K,11,0),"")</f>
        <v/>
      </c>
      <c r="C565" t="str">
        <f>IFERROR(VLOOKUP(A565,管理亚马逊库存!A:L,12,0),"")</f>
        <v/>
      </c>
      <c r="D565" t="str">
        <f>IFERROR(VLOOKUP(A565,管理亚马逊库存!A:Q,17,0),"")</f>
        <v/>
      </c>
      <c r="E565" t="str">
        <f>IFERROR(VLOOKUP(A565,管理亚马逊库存!A:R,18,0),"")</f>
        <v/>
      </c>
      <c r="F565">
        <f t="shared" si="19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20"/>
        <v>0</v>
      </c>
    </row>
    <row r="566" spans="2:14">
      <c r="B566" t="str">
        <f>IFERROR(VLOOKUP(A566,管理亚马逊库存!A:K,11,0),"")</f>
        <v/>
      </c>
      <c r="C566" t="str">
        <f>IFERROR(VLOOKUP(A566,管理亚马逊库存!A:L,12,0),"")</f>
        <v/>
      </c>
      <c r="D566" t="str">
        <f>IFERROR(VLOOKUP(A566,管理亚马逊库存!A:Q,17,0),"")</f>
        <v/>
      </c>
      <c r="E566" t="str">
        <f>IFERROR(VLOOKUP(A566,管理亚马逊库存!A:R,18,0),"")</f>
        <v/>
      </c>
      <c r="F566">
        <f t="shared" si="19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20"/>
        <v>0</v>
      </c>
    </row>
    <row r="567" spans="2:14">
      <c r="B567" t="str">
        <f>IFERROR(VLOOKUP(A567,管理亚马逊库存!A:K,11,0),"")</f>
        <v/>
      </c>
      <c r="C567" t="str">
        <f>IFERROR(VLOOKUP(A567,管理亚马逊库存!A:L,12,0),"")</f>
        <v/>
      </c>
      <c r="D567" t="str">
        <f>IFERROR(VLOOKUP(A567,管理亚马逊库存!A:Q,17,0),"")</f>
        <v/>
      </c>
      <c r="E567" t="str">
        <f>IFERROR(VLOOKUP(A567,管理亚马逊库存!A:R,18,0),"")</f>
        <v/>
      </c>
      <c r="F567">
        <f t="shared" si="19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20"/>
        <v>0</v>
      </c>
    </row>
    <row r="568" spans="2:14">
      <c r="B568" t="str">
        <f>IFERROR(VLOOKUP(A568,管理亚马逊库存!A:K,11,0),"")</f>
        <v/>
      </c>
      <c r="C568" t="str">
        <f>IFERROR(VLOOKUP(A568,管理亚马逊库存!A:L,12,0),"")</f>
        <v/>
      </c>
      <c r="D568" t="str">
        <f>IFERROR(VLOOKUP(A568,管理亚马逊库存!A:Q,17,0),"")</f>
        <v/>
      </c>
      <c r="E568" t="str">
        <f>IFERROR(VLOOKUP(A568,管理亚马逊库存!A:R,18,0),"")</f>
        <v/>
      </c>
      <c r="F568">
        <f t="shared" si="19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20"/>
        <v>0</v>
      </c>
    </row>
    <row r="569" spans="2:14">
      <c r="B569" t="str">
        <f>IFERROR(VLOOKUP(A569,管理亚马逊库存!A:K,11,0),"")</f>
        <v/>
      </c>
      <c r="C569" t="str">
        <f>IFERROR(VLOOKUP(A569,管理亚马逊库存!A:L,12,0),"")</f>
        <v/>
      </c>
      <c r="D569" t="str">
        <f>IFERROR(VLOOKUP(A569,管理亚马逊库存!A:Q,17,0),"")</f>
        <v/>
      </c>
      <c r="E569" t="str">
        <f>IFERROR(VLOOKUP(A569,管理亚马逊库存!A:R,18,0),"")</f>
        <v/>
      </c>
      <c r="F569">
        <f t="shared" si="19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20"/>
        <v>0</v>
      </c>
    </row>
    <row r="570" spans="2:14">
      <c r="B570" t="str">
        <f>IFERROR(VLOOKUP(A570,管理亚马逊库存!A:K,11,0),"")</f>
        <v/>
      </c>
      <c r="C570" t="str">
        <f>IFERROR(VLOOKUP(A570,管理亚马逊库存!A:L,12,0),"")</f>
        <v/>
      </c>
      <c r="D570" t="str">
        <f>IFERROR(VLOOKUP(A570,管理亚马逊库存!A:Q,17,0),"")</f>
        <v/>
      </c>
      <c r="E570" t="str">
        <f>IFERROR(VLOOKUP(A570,管理亚马逊库存!A:R,18,0),"")</f>
        <v/>
      </c>
      <c r="F570">
        <f t="shared" si="19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20"/>
        <v>0</v>
      </c>
    </row>
    <row r="571" spans="2:14">
      <c r="B571" t="str">
        <f>IFERROR(VLOOKUP(A571,管理亚马逊库存!A:K,11,0),"")</f>
        <v/>
      </c>
      <c r="C571" t="str">
        <f>IFERROR(VLOOKUP(A571,管理亚马逊库存!A:L,12,0),"")</f>
        <v/>
      </c>
      <c r="D571" t="str">
        <f>IFERROR(VLOOKUP(A571,管理亚马逊库存!A:Q,17,0),"")</f>
        <v/>
      </c>
      <c r="E571" t="str">
        <f>IFERROR(VLOOKUP(A571,管理亚马逊库存!A:R,18,0),"")</f>
        <v/>
      </c>
      <c r="F571">
        <f t="shared" si="19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20"/>
        <v>0</v>
      </c>
    </row>
    <row r="572" spans="2:14">
      <c r="B572" t="str">
        <f>IFERROR(VLOOKUP(A572,管理亚马逊库存!A:K,11,0),"")</f>
        <v/>
      </c>
      <c r="C572" t="str">
        <f>IFERROR(VLOOKUP(A572,管理亚马逊库存!A:L,12,0),"")</f>
        <v/>
      </c>
      <c r="D572" t="str">
        <f>IFERROR(VLOOKUP(A572,管理亚马逊库存!A:Q,17,0),"")</f>
        <v/>
      </c>
      <c r="E572" t="str">
        <f>IFERROR(VLOOKUP(A572,管理亚马逊库存!A:R,18,0),"")</f>
        <v/>
      </c>
      <c r="F572">
        <f t="shared" si="19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20"/>
        <v>0</v>
      </c>
    </row>
    <row r="573" spans="2:14">
      <c r="B573" t="str">
        <f>IFERROR(VLOOKUP(A573,管理亚马逊库存!A:K,11,0),"")</f>
        <v/>
      </c>
      <c r="C573" t="str">
        <f>IFERROR(VLOOKUP(A573,管理亚马逊库存!A:L,12,0),"")</f>
        <v/>
      </c>
      <c r="D573" t="str">
        <f>IFERROR(VLOOKUP(A573,管理亚马逊库存!A:Q,17,0),"")</f>
        <v/>
      </c>
      <c r="E573" t="str">
        <f>IFERROR(VLOOKUP(A573,管理亚马逊库存!A:R,18,0),"")</f>
        <v/>
      </c>
      <c r="F573">
        <f t="shared" si="19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20"/>
        <v>0</v>
      </c>
    </row>
    <row r="574" spans="2:14">
      <c r="B574" t="str">
        <f>IFERROR(VLOOKUP(A574,管理亚马逊库存!A:K,11,0),"")</f>
        <v/>
      </c>
      <c r="C574" t="str">
        <f>IFERROR(VLOOKUP(A574,管理亚马逊库存!A:L,12,0),"")</f>
        <v/>
      </c>
      <c r="D574" t="str">
        <f>IFERROR(VLOOKUP(A574,管理亚马逊库存!A:Q,17,0),"")</f>
        <v/>
      </c>
      <c r="E574" t="str">
        <f>IFERROR(VLOOKUP(A574,管理亚马逊库存!A:R,18,0),"")</f>
        <v/>
      </c>
      <c r="F574">
        <f t="shared" si="19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20"/>
        <v>0</v>
      </c>
    </row>
    <row r="575" spans="2:14">
      <c r="B575" t="str">
        <f>IFERROR(VLOOKUP(A575,管理亚马逊库存!A:K,11,0),"")</f>
        <v/>
      </c>
      <c r="C575" t="str">
        <f>IFERROR(VLOOKUP(A575,管理亚马逊库存!A:L,12,0),"")</f>
        <v/>
      </c>
      <c r="D575" t="str">
        <f>IFERROR(VLOOKUP(A575,管理亚马逊库存!A:Q,17,0),"")</f>
        <v/>
      </c>
      <c r="E575" t="str">
        <f>IFERROR(VLOOKUP(A575,管理亚马逊库存!A:R,18,0),"")</f>
        <v/>
      </c>
      <c r="F575">
        <f t="shared" si="19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20"/>
        <v>0</v>
      </c>
    </row>
    <row r="576" spans="2:14">
      <c r="B576" t="str">
        <f>IFERROR(VLOOKUP(A576,管理亚马逊库存!A:K,11,0),"")</f>
        <v/>
      </c>
      <c r="C576" t="str">
        <f>IFERROR(VLOOKUP(A576,管理亚马逊库存!A:L,12,0),"")</f>
        <v/>
      </c>
      <c r="D576" t="str">
        <f>IFERROR(VLOOKUP(A576,管理亚马逊库存!A:Q,17,0),"")</f>
        <v/>
      </c>
      <c r="E576" t="str">
        <f>IFERROR(VLOOKUP(A576,管理亚马逊库存!A:R,18,0),"")</f>
        <v/>
      </c>
      <c r="F576">
        <f t="shared" si="19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20"/>
        <v>0</v>
      </c>
    </row>
    <row r="577" spans="2:14">
      <c r="B577" t="str">
        <f>IFERROR(VLOOKUP(A577,管理亚马逊库存!A:K,11,0),"")</f>
        <v/>
      </c>
      <c r="C577" t="str">
        <f>IFERROR(VLOOKUP(A577,管理亚马逊库存!A:L,12,0),"")</f>
        <v/>
      </c>
      <c r="D577" t="str">
        <f>IFERROR(VLOOKUP(A577,管理亚马逊库存!A:Q,17,0),"")</f>
        <v/>
      </c>
      <c r="E577" t="str">
        <f>IFERROR(VLOOKUP(A577,管理亚马逊库存!A:R,18,0),"")</f>
        <v/>
      </c>
      <c r="F577">
        <f t="shared" si="19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20"/>
        <v>0</v>
      </c>
    </row>
    <row r="578" spans="2:14">
      <c r="B578" t="str">
        <f>IFERROR(VLOOKUP(A578,管理亚马逊库存!A:K,11,0),"")</f>
        <v/>
      </c>
      <c r="C578" t="str">
        <f>IFERROR(VLOOKUP(A578,管理亚马逊库存!A:L,12,0),"")</f>
        <v/>
      </c>
      <c r="D578" t="str">
        <f>IFERROR(VLOOKUP(A578,管理亚马逊库存!A:Q,17,0),"")</f>
        <v/>
      </c>
      <c r="E578" t="str">
        <f>IFERROR(VLOOKUP(A578,管理亚马逊库存!A:R,18,0),"")</f>
        <v/>
      </c>
      <c r="F578">
        <f t="shared" si="19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20"/>
        <v>0</v>
      </c>
    </row>
    <row r="579" spans="2:14">
      <c r="B579" t="str">
        <f>IFERROR(VLOOKUP(A579,管理亚马逊库存!A:K,11,0),"")</f>
        <v/>
      </c>
      <c r="C579" t="str">
        <f>IFERROR(VLOOKUP(A579,管理亚马逊库存!A:L,12,0),"")</f>
        <v/>
      </c>
      <c r="D579" t="str">
        <f>IFERROR(VLOOKUP(A579,管理亚马逊库存!A:Q,17,0),"")</f>
        <v/>
      </c>
      <c r="E579" t="str">
        <f>IFERROR(VLOOKUP(A579,管理亚马逊库存!A:R,18,0),"")</f>
        <v/>
      </c>
      <c r="F579">
        <f t="shared" ref="F579:F642" si="21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2">SUM(J579:M579)</f>
        <v>0</v>
      </c>
    </row>
    <row r="580" spans="2:14">
      <c r="B580" t="str">
        <f>IFERROR(VLOOKUP(A580,管理亚马逊库存!A:K,11,0),"")</f>
        <v/>
      </c>
      <c r="C580" t="str">
        <f>IFERROR(VLOOKUP(A580,管理亚马逊库存!A:L,12,0),"")</f>
        <v/>
      </c>
      <c r="D580" t="str">
        <f>IFERROR(VLOOKUP(A580,管理亚马逊库存!A:Q,17,0),"")</f>
        <v/>
      </c>
      <c r="E580" t="str">
        <f>IFERROR(VLOOKUP(A580,管理亚马逊库存!A:R,18,0),"")</f>
        <v/>
      </c>
      <c r="F580">
        <f t="shared" si="21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2"/>
        <v>0</v>
      </c>
    </row>
    <row r="581" spans="2:14">
      <c r="B581" t="str">
        <f>IFERROR(VLOOKUP(A581,管理亚马逊库存!A:K,11,0),"")</f>
        <v/>
      </c>
      <c r="C581" t="str">
        <f>IFERROR(VLOOKUP(A581,管理亚马逊库存!A:L,12,0),"")</f>
        <v/>
      </c>
      <c r="D581" t="str">
        <f>IFERROR(VLOOKUP(A581,管理亚马逊库存!A:Q,17,0),"")</f>
        <v/>
      </c>
      <c r="E581" t="str">
        <f>IFERROR(VLOOKUP(A581,管理亚马逊库存!A:R,18,0),"")</f>
        <v/>
      </c>
      <c r="F581">
        <f t="shared" si="21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2"/>
        <v>0</v>
      </c>
    </row>
    <row r="582" spans="2:14">
      <c r="B582" t="str">
        <f>IFERROR(VLOOKUP(A582,管理亚马逊库存!A:K,11,0),"")</f>
        <v/>
      </c>
      <c r="C582" t="str">
        <f>IFERROR(VLOOKUP(A582,管理亚马逊库存!A:L,12,0),"")</f>
        <v/>
      </c>
      <c r="D582" t="str">
        <f>IFERROR(VLOOKUP(A582,管理亚马逊库存!A:Q,17,0),"")</f>
        <v/>
      </c>
      <c r="E582" t="str">
        <f>IFERROR(VLOOKUP(A582,管理亚马逊库存!A:R,18,0),"")</f>
        <v/>
      </c>
      <c r="F582">
        <f t="shared" si="21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2"/>
        <v>0</v>
      </c>
    </row>
    <row r="583" spans="2:14">
      <c r="B583" t="str">
        <f>IFERROR(VLOOKUP(A583,管理亚马逊库存!A:K,11,0),"")</f>
        <v/>
      </c>
      <c r="C583" t="str">
        <f>IFERROR(VLOOKUP(A583,管理亚马逊库存!A:L,12,0),"")</f>
        <v/>
      </c>
      <c r="D583" t="str">
        <f>IFERROR(VLOOKUP(A583,管理亚马逊库存!A:Q,17,0),"")</f>
        <v/>
      </c>
      <c r="E583" t="str">
        <f>IFERROR(VLOOKUP(A583,管理亚马逊库存!A:R,18,0),"")</f>
        <v/>
      </c>
      <c r="F583">
        <f t="shared" si="21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2"/>
        <v>0</v>
      </c>
    </row>
    <row r="584" spans="2:14">
      <c r="B584" t="str">
        <f>IFERROR(VLOOKUP(A584,管理亚马逊库存!A:K,11,0),"")</f>
        <v/>
      </c>
      <c r="C584" t="str">
        <f>IFERROR(VLOOKUP(A584,管理亚马逊库存!A:L,12,0),"")</f>
        <v/>
      </c>
      <c r="D584" t="str">
        <f>IFERROR(VLOOKUP(A584,管理亚马逊库存!A:Q,17,0),"")</f>
        <v/>
      </c>
      <c r="E584" t="str">
        <f>IFERROR(VLOOKUP(A584,管理亚马逊库存!A:R,18,0),"")</f>
        <v/>
      </c>
      <c r="F584">
        <f t="shared" si="21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2"/>
        <v>0</v>
      </c>
    </row>
    <row r="585" spans="2:14">
      <c r="B585" t="str">
        <f>IFERROR(VLOOKUP(A585,管理亚马逊库存!A:K,11,0),"")</f>
        <v/>
      </c>
      <c r="C585" t="str">
        <f>IFERROR(VLOOKUP(A585,管理亚马逊库存!A:L,12,0),"")</f>
        <v/>
      </c>
      <c r="D585" t="str">
        <f>IFERROR(VLOOKUP(A585,管理亚马逊库存!A:Q,17,0),"")</f>
        <v/>
      </c>
      <c r="E585" t="str">
        <f>IFERROR(VLOOKUP(A585,管理亚马逊库存!A:R,18,0),"")</f>
        <v/>
      </c>
      <c r="F585">
        <f t="shared" si="21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2"/>
        <v>0</v>
      </c>
    </row>
    <row r="586" spans="2:14">
      <c r="B586" t="str">
        <f>IFERROR(VLOOKUP(A586,管理亚马逊库存!A:K,11,0),"")</f>
        <v/>
      </c>
      <c r="C586" t="str">
        <f>IFERROR(VLOOKUP(A586,管理亚马逊库存!A:L,12,0),"")</f>
        <v/>
      </c>
      <c r="D586" t="str">
        <f>IFERROR(VLOOKUP(A586,管理亚马逊库存!A:Q,17,0),"")</f>
        <v/>
      </c>
      <c r="E586" t="str">
        <f>IFERROR(VLOOKUP(A586,管理亚马逊库存!A:R,18,0),"")</f>
        <v/>
      </c>
      <c r="F586">
        <f t="shared" si="21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2"/>
        <v>0</v>
      </c>
    </row>
    <row r="587" spans="2:14">
      <c r="B587" t="str">
        <f>IFERROR(VLOOKUP(A587,管理亚马逊库存!A:K,11,0),"")</f>
        <v/>
      </c>
      <c r="C587" t="str">
        <f>IFERROR(VLOOKUP(A587,管理亚马逊库存!A:L,12,0),"")</f>
        <v/>
      </c>
      <c r="D587" t="str">
        <f>IFERROR(VLOOKUP(A587,管理亚马逊库存!A:Q,17,0),"")</f>
        <v/>
      </c>
      <c r="E587" t="str">
        <f>IFERROR(VLOOKUP(A587,管理亚马逊库存!A:R,18,0),"")</f>
        <v/>
      </c>
      <c r="F587">
        <f t="shared" si="21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2"/>
        <v>0</v>
      </c>
    </row>
    <row r="588" spans="2:14">
      <c r="B588" t="str">
        <f>IFERROR(VLOOKUP(A588,管理亚马逊库存!A:K,11,0),"")</f>
        <v/>
      </c>
      <c r="C588" t="str">
        <f>IFERROR(VLOOKUP(A588,管理亚马逊库存!A:L,12,0),"")</f>
        <v/>
      </c>
      <c r="D588" t="str">
        <f>IFERROR(VLOOKUP(A588,管理亚马逊库存!A:Q,17,0),"")</f>
        <v/>
      </c>
      <c r="E588" t="str">
        <f>IFERROR(VLOOKUP(A588,管理亚马逊库存!A:R,18,0),"")</f>
        <v/>
      </c>
      <c r="F588">
        <f t="shared" si="21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2"/>
        <v>0</v>
      </c>
    </row>
    <row r="589" spans="2:14">
      <c r="B589" t="str">
        <f>IFERROR(VLOOKUP(A589,管理亚马逊库存!A:K,11,0),"")</f>
        <v/>
      </c>
      <c r="C589" t="str">
        <f>IFERROR(VLOOKUP(A589,管理亚马逊库存!A:L,12,0),"")</f>
        <v/>
      </c>
      <c r="D589" t="str">
        <f>IFERROR(VLOOKUP(A589,管理亚马逊库存!A:Q,17,0),"")</f>
        <v/>
      </c>
      <c r="E589" t="str">
        <f>IFERROR(VLOOKUP(A589,管理亚马逊库存!A:R,18,0),"")</f>
        <v/>
      </c>
      <c r="F589">
        <f t="shared" si="21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2"/>
        <v>0</v>
      </c>
    </row>
    <row r="590" spans="2:14">
      <c r="B590" t="str">
        <f>IFERROR(VLOOKUP(A590,管理亚马逊库存!A:K,11,0),"")</f>
        <v/>
      </c>
      <c r="C590" t="str">
        <f>IFERROR(VLOOKUP(A590,管理亚马逊库存!A:L,12,0),"")</f>
        <v/>
      </c>
      <c r="D590" t="str">
        <f>IFERROR(VLOOKUP(A590,管理亚马逊库存!A:Q,17,0),"")</f>
        <v/>
      </c>
      <c r="E590" t="str">
        <f>IFERROR(VLOOKUP(A590,管理亚马逊库存!A:R,18,0),"")</f>
        <v/>
      </c>
      <c r="F590">
        <f t="shared" si="21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2"/>
        <v>0</v>
      </c>
    </row>
    <row r="591" spans="2:14">
      <c r="B591" t="str">
        <f>IFERROR(VLOOKUP(A591,管理亚马逊库存!A:K,11,0),"")</f>
        <v/>
      </c>
      <c r="C591" t="str">
        <f>IFERROR(VLOOKUP(A591,管理亚马逊库存!A:L,12,0),"")</f>
        <v/>
      </c>
      <c r="D591" t="str">
        <f>IFERROR(VLOOKUP(A591,管理亚马逊库存!A:Q,17,0),"")</f>
        <v/>
      </c>
      <c r="E591" t="str">
        <f>IFERROR(VLOOKUP(A591,管理亚马逊库存!A:R,18,0),"")</f>
        <v/>
      </c>
      <c r="F591">
        <f t="shared" si="21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2"/>
        <v>0</v>
      </c>
    </row>
    <row r="592" spans="2:14">
      <c r="B592" t="str">
        <f>IFERROR(VLOOKUP(A592,管理亚马逊库存!A:K,11,0),"")</f>
        <v/>
      </c>
      <c r="C592" t="str">
        <f>IFERROR(VLOOKUP(A592,管理亚马逊库存!A:L,12,0),"")</f>
        <v/>
      </c>
      <c r="D592" t="str">
        <f>IFERROR(VLOOKUP(A592,管理亚马逊库存!A:Q,17,0),"")</f>
        <v/>
      </c>
      <c r="E592" t="str">
        <f>IFERROR(VLOOKUP(A592,管理亚马逊库存!A:R,18,0),"")</f>
        <v/>
      </c>
      <c r="F592">
        <f t="shared" si="21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2"/>
        <v>0</v>
      </c>
    </row>
    <row r="593" spans="2:14">
      <c r="B593" t="str">
        <f>IFERROR(VLOOKUP(A593,管理亚马逊库存!A:K,11,0),"")</f>
        <v/>
      </c>
      <c r="C593" t="str">
        <f>IFERROR(VLOOKUP(A593,管理亚马逊库存!A:L,12,0),"")</f>
        <v/>
      </c>
      <c r="D593" t="str">
        <f>IFERROR(VLOOKUP(A593,管理亚马逊库存!A:Q,17,0),"")</f>
        <v/>
      </c>
      <c r="E593" t="str">
        <f>IFERROR(VLOOKUP(A593,管理亚马逊库存!A:R,18,0),"")</f>
        <v/>
      </c>
      <c r="F593">
        <f t="shared" si="21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2"/>
        <v>0</v>
      </c>
    </row>
    <row r="594" spans="2:14">
      <c r="B594" t="str">
        <f>IFERROR(VLOOKUP(A594,管理亚马逊库存!A:K,11,0),"")</f>
        <v/>
      </c>
      <c r="C594" t="str">
        <f>IFERROR(VLOOKUP(A594,管理亚马逊库存!A:L,12,0),"")</f>
        <v/>
      </c>
      <c r="D594" t="str">
        <f>IFERROR(VLOOKUP(A594,管理亚马逊库存!A:Q,17,0),"")</f>
        <v/>
      </c>
      <c r="E594" t="str">
        <f>IFERROR(VLOOKUP(A594,管理亚马逊库存!A:R,18,0),"")</f>
        <v/>
      </c>
      <c r="F594">
        <f t="shared" si="21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2"/>
        <v>0</v>
      </c>
    </row>
    <row r="595" spans="2:14">
      <c r="B595" t="str">
        <f>IFERROR(VLOOKUP(A595,管理亚马逊库存!A:K,11,0),"")</f>
        <v/>
      </c>
      <c r="C595" t="str">
        <f>IFERROR(VLOOKUP(A595,管理亚马逊库存!A:L,12,0),"")</f>
        <v/>
      </c>
      <c r="D595" t="str">
        <f>IFERROR(VLOOKUP(A595,管理亚马逊库存!A:Q,17,0),"")</f>
        <v/>
      </c>
      <c r="E595" t="str">
        <f>IFERROR(VLOOKUP(A595,管理亚马逊库存!A:R,18,0),"")</f>
        <v/>
      </c>
      <c r="F595">
        <f t="shared" si="21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2"/>
        <v>0</v>
      </c>
    </row>
    <row r="596" spans="2:14">
      <c r="B596" t="str">
        <f>IFERROR(VLOOKUP(A596,管理亚马逊库存!A:K,11,0),"")</f>
        <v/>
      </c>
      <c r="C596" t="str">
        <f>IFERROR(VLOOKUP(A596,管理亚马逊库存!A:L,12,0),"")</f>
        <v/>
      </c>
      <c r="D596" t="str">
        <f>IFERROR(VLOOKUP(A596,管理亚马逊库存!A:Q,17,0),"")</f>
        <v/>
      </c>
      <c r="E596" t="str">
        <f>IFERROR(VLOOKUP(A596,管理亚马逊库存!A:R,18,0),"")</f>
        <v/>
      </c>
      <c r="F596">
        <f t="shared" si="21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2"/>
        <v>0</v>
      </c>
    </row>
    <row r="597" spans="2:14">
      <c r="B597" t="str">
        <f>IFERROR(VLOOKUP(A597,管理亚马逊库存!A:K,11,0),"")</f>
        <v/>
      </c>
      <c r="C597" t="str">
        <f>IFERROR(VLOOKUP(A597,管理亚马逊库存!A:L,12,0),"")</f>
        <v/>
      </c>
      <c r="D597" t="str">
        <f>IFERROR(VLOOKUP(A597,管理亚马逊库存!A:Q,17,0),"")</f>
        <v/>
      </c>
      <c r="E597" t="str">
        <f>IFERROR(VLOOKUP(A597,管理亚马逊库存!A:R,18,0),"")</f>
        <v/>
      </c>
      <c r="F597">
        <f t="shared" si="21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2"/>
        <v>0</v>
      </c>
    </row>
    <row r="598" spans="2:14">
      <c r="B598" t="str">
        <f>IFERROR(VLOOKUP(A598,管理亚马逊库存!A:K,11,0),"")</f>
        <v/>
      </c>
      <c r="C598" t="str">
        <f>IFERROR(VLOOKUP(A598,管理亚马逊库存!A:L,12,0),"")</f>
        <v/>
      </c>
      <c r="D598" t="str">
        <f>IFERROR(VLOOKUP(A598,管理亚马逊库存!A:Q,17,0),"")</f>
        <v/>
      </c>
      <c r="E598" t="str">
        <f>IFERROR(VLOOKUP(A598,管理亚马逊库存!A:R,18,0),"")</f>
        <v/>
      </c>
      <c r="F598">
        <f t="shared" si="21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2"/>
        <v>0</v>
      </c>
    </row>
    <row r="599" spans="2:14">
      <c r="B599" t="str">
        <f>IFERROR(VLOOKUP(A599,管理亚马逊库存!A:K,11,0),"")</f>
        <v/>
      </c>
      <c r="C599" t="str">
        <f>IFERROR(VLOOKUP(A599,管理亚马逊库存!A:L,12,0),"")</f>
        <v/>
      </c>
      <c r="D599" t="str">
        <f>IFERROR(VLOOKUP(A599,管理亚马逊库存!A:Q,17,0),"")</f>
        <v/>
      </c>
      <c r="E599" t="str">
        <f>IFERROR(VLOOKUP(A599,管理亚马逊库存!A:R,18,0),"")</f>
        <v/>
      </c>
      <c r="F599">
        <f t="shared" si="21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2"/>
        <v>0</v>
      </c>
    </row>
    <row r="600" spans="2:14">
      <c r="B600" t="str">
        <f>IFERROR(VLOOKUP(A600,管理亚马逊库存!A:K,11,0),"")</f>
        <v/>
      </c>
      <c r="C600" t="str">
        <f>IFERROR(VLOOKUP(A600,管理亚马逊库存!A:L,12,0),"")</f>
        <v/>
      </c>
      <c r="D600" t="str">
        <f>IFERROR(VLOOKUP(A600,管理亚马逊库存!A:Q,17,0),"")</f>
        <v/>
      </c>
      <c r="E600" t="str">
        <f>IFERROR(VLOOKUP(A600,管理亚马逊库存!A:R,18,0),"")</f>
        <v/>
      </c>
      <c r="F600">
        <f t="shared" si="21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2"/>
        <v>0</v>
      </c>
    </row>
    <row r="601" spans="2:14">
      <c r="B601" t="str">
        <f>IFERROR(VLOOKUP(A601,管理亚马逊库存!A:K,11,0),"")</f>
        <v/>
      </c>
      <c r="C601" t="str">
        <f>IFERROR(VLOOKUP(A601,管理亚马逊库存!A:L,12,0),"")</f>
        <v/>
      </c>
      <c r="D601" t="str">
        <f>IFERROR(VLOOKUP(A601,管理亚马逊库存!A:Q,17,0),"")</f>
        <v/>
      </c>
      <c r="E601" t="str">
        <f>IFERROR(VLOOKUP(A601,管理亚马逊库存!A:R,18,0),"")</f>
        <v/>
      </c>
      <c r="F601">
        <f t="shared" si="21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2"/>
        <v>0</v>
      </c>
    </row>
    <row r="602" spans="2:14">
      <c r="B602" t="str">
        <f>IFERROR(VLOOKUP(A602,管理亚马逊库存!A:K,11,0),"")</f>
        <v/>
      </c>
      <c r="C602" t="str">
        <f>IFERROR(VLOOKUP(A602,管理亚马逊库存!A:L,12,0),"")</f>
        <v/>
      </c>
      <c r="D602" t="str">
        <f>IFERROR(VLOOKUP(A602,管理亚马逊库存!A:Q,17,0),"")</f>
        <v/>
      </c>
      <c r="E602" t="str">
        <f>IFERROR(VLOOKUP(A602,管理亚马逊库存!A:R,18,0),"")</f>
        <v/>
      </c>
      <c r="F602">
        <f t="shared" si="21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2"/>
        <v>0</v>
      </c>
    </row>
    <row r="603" spans="2:14">
      <c r="B603" t="str">
        <f>IFERROR(VLOOKUP(A603,管理亚马逊库存!A:K,11,0),"")</f>
        <v/>
      </c>
      <c r="C603" t="str">
        <f>IFERROR(VLOOKUP(A603,管理亚马逊库存!A:L,12,0),"")</f>
        <v/>
      </c>
      <c r="D603" t="str">
        <f>IFERROR(VLOOKUP(A603,管理亚马逊库存!A:Q,17,0),"")</f>
        <v/>
      </c>
      <c r="E603" t="str">
        <f>IFERROR(VLOOKUP(A603,管理亚马逊库存!A:R,18,0),"")</f>
        <v/>
      </c>
      <c r="F603">
        <f t="shared" si="21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2"/>
        <v>0</v>
      </c>
    </row>
    <row r="604" spans="2:14">
      <c r="B604" t="str">
        <f>IFERROR(VLOOKUP(A604,管理亚马逊库存!A:K,11,0),"")</f>
        <v/>
      </c>
      <c r="C604" t="str">
        <f>IFERROR(VLOOKUP(A604,管理亚马逊库存!A:L,12,0),"")</f>
        <v/>
      </c>
      <c r="D604" t="str">
        <f>IFERROR(VLOOKUP(A604,管理亚马逊库存!A:Q,17,0),"")</f>
        <v/>
      </c>
      <c r="E604" t="str">
        <f>IFERROR(VLOOKUP(A604,管理亚马逊库存!A:R,18,0),"")</f>
        <v/>
      </c>
      <c r="F604">
        <f t="shared" si="21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2"/>
        <v>0</v>
      </c>
    </row>
    <row r="605" spans="2:14">
      <c r="B605" t="str">
        <f>IFERROR(VLOOKUP(A605,管理亚马逊库存!A:K,11,0),"")</f>
        <v/>
      </c>
      <c r="C605" t="str">
        <f>IFERROR(VLOOKUP(A605,管理亚马逊库存!A:L,12,0),"")</f>
        <v/>
      </c>
      <c r="D605" t="str">
        <f>IFERROR(VLOOKUP(A605,管理亚马逊库存!A:Q,17,0),"")</f>
        <v/>
      </c>
      <c r="E605" t="str">
        <f>IFERROR(VLOOKUP(A605,管理亚马逊库存!A:R,18,0),"")</f>
        <v/>
      </c>
      <c r="F605">
        <f t="shared" si="21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2"/>
        <v>0</v>
      </c>
    </row>
    <row r="606" spans="2:14">
      <c r="B606" t="str">
        <f>IFERROR(VLOOKUP(A606,管理亚马逊库存!A:K,11,0),"")</f>
        <v/>
      </c>
      <c r="C606" t="str">
        <f>IFERROR(VLOOKUP(A606,管理亚马逊库存!A:L,12,0),"")</f>
        <v/>
      </c>
      <c r="D606" t="str">
        <f>IFERROR(VLOOKUP(A606,管理亚马逊库存!A:Q,17,0),"")</f>
        <v/>
      </c>
      <c r="E606" t="str">
        <f>IFERROR(VLOOKUP(A606,管理亚马逊库存!A:R,18,0),"")</f>
        <v/>
      </c>
      <c r="F606">
        <f t="shared" si="21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2"/>
        <v>0</v>
      </c>
    </row>
    <row r="607" spans="2:14">
      <c r="B607" t="str">
        <f>IFERROR(VLOOKUP(A607,管理亚马逊库存!A:K,11,0),"")</f>
        <v/>
      </c>
      <c r="C607" t="str">
        <f>IFERROR(VLOOKUP(A607,管理亚马逊库存!A:L,12,0),"")</f>
        <v/>
      </c>
      <c r="D607" t="str">
        <f>IFERROR(VLOOKUP(A607,管理亚马逊库存!A:Q,17,0),"")</f>
        <v/>
      </c>
      <c r="E607" t="str">
        <f>IFERROR(VLOOKUP(A607,管理亚马逊库存!A:R,18,0),"")</f>
        <v/>
      </c>
      <c r="F607">
        <f t="shared" si="21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2"/>
        <v>0</v>
      </c>
    </row>
    <row r="608" spans="2:14">
      <c r="B608" t="str">
        <f>IFERROR(VLOOKUP(A608,管理亚马逊库存!A:K,11,0),"")</f>
        <v/>
      </c>
      <c r="C608" t="str">
        <f>IFERROR(VLOOKUP(A608,管理亚马逊库存!A:L,12,0),"")</f>
        <v/>
      </c>
      <c r="D608" t="str">
        <f>IFERROR(VLOOKUP(A608,管理亚马逊库存!A:Q,17,0),"")</f>
        <v/>
      </c>
      <c r="E608" t="str">
        <f>IFERROR(VLOOKUP(A608,管理亚马逊库存!A:R,18,0),"")</f>
        <v/>
      </c>
      <c r="F608">
        <f t="shared" si="21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2"/>
        <v>0</v>
      </c>
    </row>
    <row r="609" spans="2:14">
      <c r="B609" t="str">
        <f>IFERROR(VLOOKUP(A609,管理亚马逊库存!A:K,11,0),"")</f>
        <v/>
      </c>
      <c r="C609" t="str">
        <f>IFERROR(VLOOKUP(A609,管理亚马逊库存!A:L,12,0),"")</f>
        <v/>
      </c>
      <c r="D609" t="str">
        <f>IFERROR(VLOOKUP(A609,管理亚马逊库存!A:Q,17,0),"")</f>
        <v/>
      </c>
      <c r="E609" t="str">
        <f>IFERROR(VLOOKUP(A609,管理亚马逊库存!A:R,18,0),"")</f>
        <v/>
      </c>
      <c r="F609">
        <f t="shared" si="21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2"/>
        <v>0</v>
      </c>
    </row>
    <row r="610" spans="2:14">
      <c r="B610" t="str">
        <f>IFERROR(VLOOKUP(A610,管理亚马逊库存!A:K,11,0),"")</f>
        <v/>
      </c>
      <c r="C610" t="str">
        <f>IFERROR(VLOOKUP(A610,管理亚马逊库存!A:L,12,0),"")</f>
        <v/>
      </c>
      <c r="D610" t="str">
        <f>IFERROR(VLOOKUP(A610,管理亚马逊库存!A:Q,17,0),"")</f>
        <v/>
      </c>
      <c r="E610" t="str">
        <f>IFERROR(VLOOKUP(A610,管理亚马逊库存!A:R,18,0),"")</f>
        <v/>
      </c>
      <c r="F610">
        <f t="shared" si="21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2"/>
        <v>0</v>
      </c>
    </row>
    <row r="611" spans="2:14">
      <c r="B611" t="str">
        <f>IFERROR(VLOOKUP(A611,管理亚马逊库存!A:K,11,0),"")</f>
        <v/>
      </c>
      <c r="C611" t="str">
        <f>IFERROR(VLOOKUP(A611,管理亚马逊库存!A:L,12,0),"")</f>
        <v/>
      </c>
      <c r="D611" t="str">
        <f>IFERROR(VLOOKUP(A611,管理亚马逊库存!A:Q,17,0),"")</f>
        <v/>
      </c>
      <c r="E611" t="str">
        <f>IFERROR(VLOOKUP(A611,管理亚马逊库存!A:R,18,0),"")</f>
        <v/>
      </c>
      <c r="F611">
        <f t="shared" si="21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2"/>
        <v>0</v>
      </c>
    </row>
    <row r="612" spans="2:14">
      <c r="B612" t="str">
        <f>IFERROR(VLOOKUP(A612,管理亚马逊库存!A:K,11,0),"")</f>
        <v/>
      </c>
      <c r="C612" t="str">
        <f>IFERROR(VLOOKUP(A612,管理亚马逊库存!A:L,12,0),"")</f>
        <v/>
      </c>
      <c r="D612" t="str">
        <f>IFERROR(VLOOKUP(A612,管理亚马逊库存!A:Q,17,0),"")</f>
        <v/>
      </c>
      <c r="E612" t="str">
        <f>IFERROR(VLOOKUP(A612,管理亚马逊库存!A:R,18,0),"")</f>
        <v/>
      </c>
      <c r="F612">
        <f t="shared" si="21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2"/>
        <v>0</v>
      </c>
    </row>
    <row r="613" spans="2:14">
      <c r="B613" t="str">
        <f>IFERROR(VLOOKUP(A613,管理亚马逊库存!A:K,11,0),"")</f>
        <v/>
      </c>
      <c r="C613" t="str">
        <f>IFERROR(VLOOKUP(A613,管理亚马逊库存!A:L,12,0),"")</f>
        <v/>
      </c>
      <c r="D613" t="str">
        <f>IFERROR(VLOOKUP(A613,管理亚马逊库存!A:Q,17,0),"")</f>
        <v/>
      </c>
      <c r="E613" t="str">
        <f>IFERROR(VLOOKUP(A613,管理亚马逊库存!A:R,18,0),"")</f>
        <v/>
      </c>
      <c r="F613">
        <f t="shared" si="21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2"/>
        <v>0</v>
      </c>
    </row>
    <row r="614" spans="2:14">
      <c r="B614" t="str">
        <f>IFERROR(VLOOKUP(A614,管理亚马逊库存!A:K,11,0),"")</f>
        <v/>
      </c>
      <c r="C614" t="str">
        <f>IFERROR(VLOOKUP(A614,管理亚马逊库存!A:L,12,0),"")</f>
        <v/>
      </c>
      <c r="D614" t="str">
        <f>IFERROR(VLOOKUP(A614,管理亚马逊库存!A:Q,17,0),"")</f>
        <v/>
      </c>
      <c r="E614" t="str">
        <f>IFERROR(VLOOKUP(A614,管理亚马逊库存!A:R,18,0),"")</f>
        <v/>
      </c>
      <c r="F614">
        <f t="shared" si="21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2"/>
        <v>0</v>
      </c>
    </row>
    <row r="615" spans="2:14">
      <c r="B615" t="str">
        <f>IFERROR(VLOOKUP(A615,管理亚马逊库存!A:K,11,0),"")</f>
        <v/>
      </c>
      <c r="C615" t="str">
        <f>IFERROR(VLOOKUP(A615,管理亚马逊库存!A:L,12,0),"")</f>
        <v/>
      </c>
      <c r="D615" t="str">
        <f>IFERROR(VLOOKUP(A615,管理亚马逊库存!A:Q,17,0),"")</f>
        <v/>
      </c>
      <c r="E615" t="str">
        <f>IFERROR(VLOOKUP(A615,管理亚马逊库存!A:R,18,0),"")</f>
        <v/>
      </c>
      <c r="F615">
        <f t="shared" si="21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2"/>
        <v>0</v>
      </c>
    </row>
    <row r="616" spans="2:14">
      <c r="B616" t="str">
        <f>IFERROR(VLOOKUP(A616,管理亚马逊库存!A:K,11,0),"")</f>
        <v/>
      </c>
      <c r="C616" t="str">
        <f>IFERROR(VLOOKUP(A616,管理亚马逊库存!A:L,12,0),"")</f>
        <v/>
      </c>
      <c r="D616" t="str">
        <f>IFERROR(VLOOKUP(A616,管理亚马逊库存!A:Q,17,0),"")</f>
        <v/>
      </c>
      <c r="E616" t="str">
        <f>IFERROR(VLOOKUP(A616,管理亚马逊库存!A:R,18,0),"")</f>
        <v/>
      </c>
      <c r="F616">
        <f t="shared" si="21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2"/>
        <v>0</v>
      </c>
    </row>
    <row r="617" spans="2:14">
      <c r="B617" t="str">
        <f>IFERROR(VLOOKUP(A617,管理亚马逊库存!A:K,11,0),"")</f>
        <v/>
      </c>
      <c r="C617" t="str">
        <f>IFERROR(VLOOKUP(A617,管理亚马逊库存!A:L,12,0),"")</f>
        <v/>
      </c>
      <c r="D617" t="str">
        <f>IFERROR(VLOOKUP(A617,管理亚马逊库存!A:Q,17,0),"")</f>
        <v/>
      </c>
      <c r="E617" t="str">
        <f>IFERROR(VLOOKUP(A617,管理亚马逊库存!A:R,18,0),"")</f>
        <v/>
      </c>
      <c r="F617">
        <f t="shared" si="21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2"/>
        <v>0</v>
      </c>
    </row>
    <row r="618" spans="2:14">
      <c r="B618" t="str">
        <f>IFERROR(VLOOKUP(A618,管理亚马逊库存!A:K,11,0),"")</f>
        <v/>
      </c>
      <c r="C618" t="str">
        <f>IFERROR(VLOOKUP(A618,管理亚马逊库存!A:L,12,0),"")</f>
        <v/>
      </c>
      <c r="D618" t="str">
        <f>IFERROR(VLOOKUP(A618,管理亚马逊库存!A:Q,17,0),"")</f>
        <v/>
      </c>
      <c r="E618" t="str">
        <f>IFERROR(VLOOKUP(A618,管理亚马逊库存!A:R,18,0),"")</f>
        <v/>
      </c>
      <c r="F618">
        <f t="shared" si="21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2"/>
        <v>0</v>
      </c>
    </row>
    <row r="619" spans="2:14">
      <c r="B619" t="str">
        <f>IFERROR(VLOOKUP(A619,管理亚马逊库存!A:K,11,0),"")</f>
        <v/>
      </c>
      <c r="C619" t="str">
        <f>IFERROR(VLOOKUP(A619,管理亚马逊库存!A:L,12,0),"")</f>
        <v/>
      </c>
      <c r="D619" t="str">
        <f>IFERROR(VLOOKUP(A619,管理亚马逊库存!A:Q,17,0),"")</f>
        <v/>
      </c>
      <c r="E619" t="str">
        <f>IFERROR(VLOOKUP(A619,管理亚马逊库存!A:R,18,0),"")</f>
        <v/>
      </c>
      <c r="F619">
        <f t="shared" si="21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2"/>
        <v>0</v>
      </c>
    </row>
    <row r="620" spans="2:14">
      <c r="B620" t="str">
        <f>IFERROR(VLOOKUP(A620,管理亚马逊库存!A:K,11,0),"")</f>
        <v/>
      </c>
      <c r="C620" t="str">
        <f>IFERROR(VLOOKUP(A620,管理亚马逊库存!A:L,12,0),"")</f>
        <v/>
      </c>
      <c r="D620" t="str">
        <f>IFERROR(VLOOKUP(A620,管理亚马逊库存!A:Q,17,0),"")</f>
        <v/>
      </c>
      <c r="E620" t="str">
        <f>IFERROR(VLOOKUP(A620,管理亚马逊库存!A:R,18,0),"")</f>
        <v/>
      </c>
      <c r="F620">
        <f t="shared" si="21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2"/>
        <v>0</v>
      </c>
    </row>
    <row r="621" spans="2:14">
      <c r="B621" t="str">
        <f>IFERROR(VLOOKUP(A621,管理亚马逊库存!A:K,11,0),"")</f>
        <v/>
      </c>
      <c r="C621" t="str">
        <f>IFERROR(VLOOKUP(A621,管理亚马逊库存!A:L,12,0),"")</f>
        <v/>
      </c>
      <c r="D621" t="str">
        <f>IFERROR(VLOOKUP(A621,管理亚马逊库存!A:Q,17,0),"")</f>
        <v/>
      </c>
      <c r="E621" t="str">
        <f>IFERROR(VLOOKUP(A621,管理亚马逊库存!A:R,18,0),"")</f>
        <v/>
      </c>
      <c r="F621">
        <f t="shared" si="21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2"/>
        <v>0</v>
      </c>
    </row>
    <row r="622" spans="2:14">
      <c r="B622" t="str">
        <f>IFERROR(VLOOKUP(A622,管理亚马逊库存!A:K,11,0),"")</f>
        <v/>
      </c>
      <c r="C622" t="str">
        <f>IFERROR(VLOOKUP(A622,管理亚马逊库存!A:L,12,0),"")</f>
        <v/>
      </c>
      <c r="D622" t="str">
        <f>IFERROR(VLOOKUP(A622,管理亚马逊库存!A:Q,17,0),"")</f>
        <v/>
      </c>
      <c r="E622" t="str">
        <f>IFERROR(VLOOKUP(A622,管理亚马逊库存!A:R,18,0),"")</f>
        <v/>
      </c>
      <c r="F622">
        <f t="shared" si="21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2"/>
        <v>0</v>
      </c>
    </row>
    <row r="623" spans="2:14">
      <c r="B623" t="str">
        <f>IFERROR(VLOOKUP(A623,管理亚马逊库存!A:K,11,0),"")</f>
        <v/>
      </c>
      <c r="C623" t="str">
        <f>IFERROR(VLOOKUP(A623,管理亚马逊库存!A:L,12,0),"")</f>
        <v/>
      </c>
      <c r="D623" t="str">
        <f>IFERROR(VLOOKUP(A623,管理亚马逊库存!A:Q,17,0),"")</f>
        <v/>
      </c>
      <c r="E623" t="str">
        <f>IFERROR(VLOOKUP(A623,管理亚马逊库存!A:R,18,0),"")</f>
        <v/>
      </c>
      <c r="F623">
        <f t="shared" si="21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2"/>
        <v>0</v>
      </c>
    </row>
    <row r="624" spans="2:14">
      <c r="B624" t="str">
        <f>IFERROR(VLOOKUP(A624,管理亚马逊库存!A:K,11,0),"")</f>
        <v/>
      </c>
      <c r="C624" t="str">
        <f>IFERROR(VLOOKUP(A624,管理亚马逊库存!A:L,12,0),"")</f>
        <v/>
      </c>
      <c r="D624" t="str">
        <f>IFERROR(VLOOKUP(A624,管理亚马逊库存!A:Q,17,0),"")</f>
        <v/>
      </c>
      <c r="E624" t="str">
        <f>IFERROR(VLOOKUP(A624,管理亚马逊库存!A:R,18,0),"")</f>
        <v/>
      </c>
      <c r="F624">
        <f t="shared" si="21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2"/>
        <v>0</v>
      </c>
    </row>
    <row r="625" spans="2:14">
      <c r="B625" t="str">
        <f>IFERROR(VLOOKUP(A625,管理亚马逊库存!A:K,11,0),"")</f>
        <v/>
      </c>
      <c r="C625" t="str">
        <f>IFERROR(VLOOKUP(A625,管理亚马逊库存!A:L,12,0),"")</f>
        <v/>
      </c>
      <c r="D625" t="str">
        <f>IFERROR(VLOOKUP(A625,管理亚马逊库存!A:Q,17,0),"")</f>
        <v/>
      </c>
      <c r="E625" t="str">
        <f>IFERROR(VLOOKUP(A625,管理亚马逊库存!A:R,18,0),"")</f>
        <v/>
      </c>
      <c r="F625">
        <f t="shared" si="21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2"/>
        <v>0</v>
      </c>
    </row>
    <row r="626" spans="2:14">
      <c r="B626" t="str">
        <f>IFERROR(VLOOKUP(A626,管理亚马逊库存!A:K,11,0),"")</f>
        <v/>
      </c>
      <c r="C626" t="str">
        <f>IFERROR(VLOOKUP(A626,管理亚马逊库存!A:L,12,0),"")</f>
        <v/>
      </c>
      <c r="D626" t="str">
        <f>IFERROR(VLOOKUP(A626,管理亚马逊库存!A:Q,17,0),"")</f>
        <v/>
      </c>
      <c r="E626" t="str">
        <f>IFERROR(VLOOKUP(A626,管理亚马逊库存!A:R,18,0),"")</f>
        <v/>
      </c>
      <c r="F626">
        <f t="shared" si="21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2"/>
        <v>0</v>
      </c>
    </row>
    <row r="627" spans="2:14">
      <c r="B627" t="str">
        <f>IFERROR(VLOOKUP(A627,管理亚马逊库存!A:K,11,0),"")</f>
        <v/>
      </c>
      <c r="C627" t="str">
        <f>IFERROR(VLOOKUP(A627,管理亚马逊库存!A:L,12,0),"")</f>
        <v/>
      </c>
      <c r="D627" t="str">
        <f>IFERROR(VLOOKUP(A627,管理亚马逊库存!A:Q,17,0),"")</f>
        <v/>
      </c>
      <c r="E627" t="str">
        <f>IFERROR(VLOOKUP(A627,管理亚马逊库存!A:R,18,0),"")</f>
        <v/>
      </c>
      <c r="F627">
        <f t="shared" si="21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2"/>
        <v>0</v>
      </c>
    </row>
    <row r="628" spans="2:14">
      <c r="B628" t="str">
        <f>IFERROR(VLOOKUP(A628,管理亚马逊库存!A:K,11,0),"")</f>
        <v/>
      </c>
      <c r="C628" t="str">
        <f>IFERROR(VLOOKUP(A628,管理亚马逊库存!A:L,12,0),"")</f>
        <v/>
      </c>
      <c r="D628" t="str">
        <f>IFERROR(VLOOKUP(A628,管理亚马逊库存!A:Q,17,0),"")</f>
        <v/>
      </c>
      <c r="E628" t="str">
        <f>IFERROR(VLOOKUP(A628,管理亚马逊库存!A:R,18,0),"")</f>
        <v/>
      </c>
      <c r="F628">
        <f t="shared" si="21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2"/>
        <v>0</v>
      </c>
    </row>
    <row r="629" spans="2:14">
      <c r="B629" t="str">
        <f>IFERROR(VLOOKUP(A629,管理亚马逊库存!A:K,11,0),"")</f>
        <v/>
      </c>
      <c r="C629" t="str">
        <f>IFERROR(VLOOKUP(A629,管理亚马逊库存!A:L,12,0),"")</f>
        <v/>
      </c>
      <c r="D629" t="str">
        <f>IFERROR(VLOOKUP(A629,管理亚马逊库存!A:Q,17,0),"")</f>
        <v/>
      </c>
      <c r="E629" t="str">
        <f>IFERROR(VLOOKUP(A629,管理亚马逊库存!A:R,18,0),"")</f>
        <v/>
      </c>
      <c r="F629">
        <f t="shared" si="21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2"/>
        <v>0</v>
      </c>
    </row>
    <row r="630" spans="2:14">
      <c r="B630" t="str">
        <f>IFERROR(VLOOKUP(A630,管理亚马逊库存!A:K,11,0),"")</f>
        <v/>
      </c>
      <c r="C630" t="str">
        <f>IFERROR(VLOOKUP(A630,管理亚马逊库存!A:L,12,0),"")</f>
        <v/>
      </c>
      <c r="D630" t="str">
        <f>IFERROR(VLOOKUP(A630,管理亚马逊库存!A:Q,17,0),"")</f>
        <v/>
      </c>
      <c r="E630" t="str">
        <f>IFERROR(VLOOKUP(A630,管理亚马逊库存!A:R,18,0),"")</f>
        <v/>
      </c>
      <c r="F630">
        <f t="shared" si="21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2"/>
        <v>0</v>
      </c>
    </row>
    <row r="631" spans="2:14">
      <c r="B631" t="str">
        <f>IFERROR(VLOOKUP(A631,管理亚马逊库存!A:K,11,0),"")</f>
        <v/>
      </c>
      <c r="C631" t="str">
        <f>IFERROR(VLOOKUP(A631,管理亚马逊库存!A:L,12,0),"")</f>
        <v/>
      </c>
      <c r="D631" t="str">
        <f>IFERROR(VLOOKUP(A631,管理亚马逊库存!A:Q,17,0),"")</f>
        <v/>
      </c>
      <c r="E631" t="str">
        <f>IFERROR(VLOOKUP(A631,管理亚马逊库存!A:R,18,0),"")</f>
        <v/>
      </c>
      <c r="F631">
        <f t="shared" si="21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2"/>
        <v>0</v>
      </c>
    </row>
    <row r="632" spans="2:14">
      <c r="B632" t="str">
        <f>IFERROR(VLOOKUP(A632,管理亚马逊库存!A:K,11,0),"")</f>
        <v/>
      </c>
      <c r="C632" t="str">
        <f>IFERROR(VLOOKUP(A632,管理亚马逊库存!A:L,12,0),"")</f>
        <v/>
      </c>
      <c r="D632" t="str">
        <f>IFERROR(VLOOKUP(A632,管理亚马逊库存!A:Q,17,0),"")</f>
        <v/>
      </c>
      <c r="E632" t="str">
        <f>IFERROR(VLOOKUP(A632,管理亚马逊库存!A:R,18,0),"")</f>
        <v/>
      </c>
      <c r="F632">
        <f t="shared" si="21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2"/>
        <v>0</v>
      </c>
    </row>
    <row r="633" spans="2:14">
      <c r="B633" t="str">
        <f>IFERROR(VLOOKUP(A633,管理亚马逊库存!A:K,11,0),"")</f>
        <v/>
      </c>
      <c r="C633" t="str">
        <f>IFERROR(VLOOKUP(A633,管理亚马逊库存!A:L,12,0),"")</f>
        <v/>
      </c>
      <c r="D633" t="str">
        <f>IFERROR(VLOOKUP(A633,管理亚马逊库存!A:Q,17,0),"")</f>
        <v/>
      </c>
      <c r="E633" t="str">
        <f>IFERROR(VLOOKUP(A633,管理亚马逊库存!A:R,18,0),"")</f>
        <v/>
      </c>
      <c r="F633">
        <f t="shared" si="21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2"/>
        <v>0</v>
      </c>
    </row>
    <row r="634" spans="2:14">
      <c r="B634" t="str">
        <f>IFERROR(VLOOKUP(A634,管理亚马逊库存!A:K,11,0),"")</f>
        <v/>
      </c>
      <c r="C634" t="str">
        <f>IFERROR(VLOOKUP(A634,管理亚马逊库存!A:L,12,0),"")</f>
        <v/>
      </c>
      <c r="D634" t="str">
        <f>IFERROR(VLOOKUP(A634,管理亚马逊库存!A:Q,17,0),"")</f>
        <v/>
      </c>
      <c r="E634" t="str">
        <f>IFERROR(VLOOKUP(A634,管理亚马逊库存!A:R,18,0),"")</f>
        <v/>
      </c>
      <c r="F634">
        <f t="shared" si="21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2"/>
        <v>0</v>
      </c>
    </row>
    <row r="635" spans="2:14">
      <c r="B635" t="str">
        <f>IFERROR(VLOOKUP(A635,管理亚马逊库存!A:K,11,0),"")</f>
        <v/>
      </c>
      <c r="C635" t="str">
        <f>IFERROR(VLOOKUP(A635,管理亚马逊库存!A:L,12,0),"")</f>
        <v/>
      </c>
      <c r="D635" t="str">
        <f>IFERROR(VLOOKUP(A635,管理亚马逊库存!A:Q,17,0),"")</f>
        <v/>
      </c>
      <c r="E635" t="str">
        <f>IFERROR(VLOOKUP(A635,管理亚马逊库存!A:R,18,0),"")</f>
        <v/>
      </c>
      <c r="F635">
        <f t="shared" si="21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2"/>
        <v>0</v>
      </c>
    </row>
    <row r="636" spans="2:14">
      <c r="B636" t="str">
        <f>IFERROR(VLOOKUP(A636,管理亚马逊库存!A:K,11,0),"")</f>
        <v/>
      </c>
      <c r="C636" t="str">
        <f>IFERROR(VLOOKUP(A636,管理亚马逊库存!A:L,12,0),"")</f>
        <v/>
      </c>
      <c r="D636" t="str">
        <f>IFERROR(VLOOKUP(A636,管理亚马逊库存!A:Q,17,0),"")</f>
        <v/>
      </c>
      <c r="E636" t="str">
        <f>IFERROR(VLOOKUP(A636,管理亚马逊库存!A:R,18,0),"")</f>
        <v/>
      </c>
      <c r="F636">
        <f t="shared" si="21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2"/>
        <v>0</v>
      </c>
    </row>
    <row r="637" spans="2:14">
      <c r="B637" t="str">
        <f>IFERROR(VLOOKUP(A637,管理亚马逊库存!A:K,11,0),"")</f>
        <v/>
      </c>
      <c r="C637" t="str">
        <f>IFERROR(VLOOKUP(A637,管理亚马逊库存!A:L,12,0),"")</f>
        <v/>
      </c>
      <c r="D637" t="str">
        <f>IFERROR(VLOOKUP(A637,管理亚马逊库存!A:Q,17,0),"")</f>
        <v/>
      </c>
      <c r="E637" t="str">
        <f>IFERROR(VLOOKUP(A637,管理亚马逊库存!A:R,18,0),"")</f>
        <v/>
      </c>
      <c r="F637">
        <f t="shared" si="21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2"/>
        <v>0</v>
      </c>
    </row>
    <row r="638" spans="2:14">
      <c r="B638" t="str">
        <f>IFERROR(VLOOKUP(A638,管理亚马逊库存!A:K,11,0),"")</f>
        <v/>
      </c>
      <c r="C638" t="str">
        <f>IFERROR(VLOOKUP(A638,管理亚马逊库存!A:L,12,0),"")</f>
        <v/>
      </c>
      <c r="D638" t="str">
        <f>IFERROR(VLOOKUP(A638,管理亚马逊库存!A:Q,17,0),"")</f>
        <v/>
      </c>
      <c r="E638" t="str">
        <f>IFERROR(VLOOKUP(A638,管理亚马逊库存!A:R,18,0),"")</f>
        <v/>
      </c>
      <c r="F638">
        <f t="shared" si="21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2"/>
        <v>0</v>
      </c>
    </row>
    <row r="639" spans="2:14">
      <c r="B639" t="str">
        <f>IFERROR(VLOOKUP(A639,管理亚马逊库存!A:K,11,0),"")</f>
        <v/>
      </c>
      <c r="C639" t="str">
        <f>IFERROR(VLOOKUP(A639,管理亚马逊库存!A:L,12,0),"")</f>
        <v/>
      </c>
      <c r="D639" t="str">
        <f>IFERROR(VLOOKUP(A639,管理亚马逊库存!A:Q,17,0),"")</f>
        <v/>
      </c>
      <c r="E639" t="str">
        <f>IFERROR(VLOOKUP(A639,管理亚马逊库存!A:R,18,0),"")</f>
        <v/>
      </c>
      <c r="F639">
        <f t="shared" si="21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2"/>
        <v>0</v>
      </c>
    </row>
    <row r="640" spans="2:14">
      <c r="B640" t="str">
        <f>IFERROR(VLOOKUP(A640,管理亚马逊库存!A:K,11,0),"")</f>
        <v/>
      </c>
      <c r="C640" t="str">
        <f>IFERROR(VLOOKUP(A640,管理亚马逊库存!A:L,12,0),"")</f>
        <v/>
      </c>
      <c r="D640" t="str">
        <f>IFERROR(VLOOKUP(A640,管理亚马逊库存!A:Q,17,0),"")</f>
        <v/>
      </c>
      <c r="E640" t="str">
        <f>IFERROR(VLOOKUP(A640,管理亚马逊库存!A:R,18,0),"")</f>
        <v/>
      </c>
      <c r="F640">
        <f t="shared" si="21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2"/>
        <v>0</v>
      </c>
    </row>
    <row r="641" spans="2:14">
      <c r="B641" t="str">
        <f>IFERROR(VLOOKUP(A641,管理亚马逊库存!A:K,11,0),"")</f>
        <v/>
      </c>
      <c r="C641" t="str">
        <f>IFERROR(VLOOKUP(A641,管理亚马逊库存!A:L,12,0),"")</f>
        <v/>
      </c>
      <c r="D641" t="str">
        <f>IFERROR(VLOOKUP(A641,管理亚马逊库存!A:Q,17,0),"")</f>
        <v/>
      </c>
      <c r="E641" t="str">
        <f>IFERROR(VLOOKUP(A641,管理亚马逊库存!A:R,18,0),"")</f>
        <v/>
      </c>
      <c r="F641">
        <f t="shared" si="21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2"/>
        <v>0</v>
      </c>
    </row>
    <row r="642" spans="2:14">
      <c r="B642" t="str">
        <f>IFERROR(VLOOKUP(A642,管理亚马逊库存!A:K,11,0),"")</f>
        <v/>
      </c>
      <c r="C642" t="str">
        <f>IFERROR(VLOOKUP(A642,管理亚马逊库存!A:L,12,0),"")</f>
        <v/>
      </c>
      <c r="D642" t="str">
        <f>IFERROR(VLOOKUP(A642,管理亚马逊库存!A:Q,17,0),"")</f>
        <v/>
      </c>
      <c r="E642" t="str">
        <f>IFERROR(VLOOKUP(A642,管理亚马逊库存!A:R,18,0),"")</f>
        <v/>
      </c>
      <c r="F642">
        <f t="shared" si="21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2"/>
        <v>0</v>
      </c>
    </row>
    <row r="643" spans="2:14">
      <c r="B643" t="str">
        <f>IFERROR(VLOOKUP(A643,管理亚马逊库存!A:K,11,0),"")</f>
        <v/>
      </c>
      <c r="C643" t="str">
        <f>IFERROR(VLOOKUP(A643,管理亚马逊库存!A:L,12,0),"")</f>
        <v/>
      </c>
      <c r="D643" t="str">
        <f>IFERROR(VLOOKUP(A643,管理亚马逊库存!A:Q,17,0),"")</f>
        <v/>
      </c>
      <c r="E643" t="str">
        <f>IFERROR(VLOOKUP(A643,管理亚马逊库存!A:R,18,0),"")</f>
        <v/>
      </c>
      <c r="F643">
        <f t="shared" ref="F643:F706" si="23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4">SUM(J643:M643)</f>
        <v>0</v>
      </c>
    </row>
    <row r="644" spans="2:14">
      <c r="B644" t="str">
        <f>IFERROR(VLOOKUP(A644,管理亚马逊库存!A:K,11,0),"")</f>
        <v/>
      </c>
      <c r="C644" t="str">
        <f>IFERROR(VLOOKUP(A644,管理亚马逊库存!A:L,12,0),"")</f>
        <v/>
      </c>
      <c r="D644" t="str">
        <f>IFERROR(VLOOKUP(A644,管理亚马逊库存!A:Q,17,0),"")</f>
        <v/>
      </c>
      <c r="E644" t="str">
        <f>IFERROR(VLOOKUP(A644,管理亚马逊库存!A:R,18,0),"")</f>
        <v/>
      </c>
      <c r="F644">
        <f t="shared" si="23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4"/>
        <v>0</v>
      </c>
    </row>
    <row r="645" spans="2:14">
      <c r="B645" t="str">
        <f>IFERROR(VLOOKUP(A645,管理亚马逊库存!A:K,11,0),"")</f>
        <v/>
      </c>
      <c r="C645" t="str">
        <f>IFERROR(VLOOKUP(A645,管理亚马逊库存!A:L,12,0),"")</f>
        <v/>
      </c>
      <c r="D645" t="str">
        <f>IFERROR(VLOOKUP(A645,管理亚马逊库存!A:Q,17,0),"")</f>
        <v/>
      </c>
      <c r="E645" t="str">
        <f>IFERROR(VLOOKUP(A645,管理亚马逊库存!A:R,18,0),"")</f>
        <v/>
      </c>
      <c r="F645">
        <f t="shared" si="23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4"/>
        <v>0</v>
      </c>
    </row>
    <row r="646" spans="2:14">
      <c r="B646" t="str">
        <f>IFERROR(VLOOKUP(A646,管理亚马逊库存!A:K,11,0),"")</f>
        <v/>
      </c>
      <c r="C646" t="str">
        <f>IFERROR(VLOOKUP(A646,管理亚马逊库存!A:L,12,0),"")</f>
        <v/>
      </c>
      <c r="D646" t="str">
        <f>IFERROR(VLOOKUP(A646,管理亚马逊库存!A:Q,17,0),"")</f>
        <v/>
      </c>
      <c r="E646" t="str">
        <f>IFERROR(VLOOKUP(A646,管理亚马逊库存!A:R,18,0),"")</f>
        <v/>
      </c>
      <c r="F646">
        <f t="shared" si="23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4"/>
        <v>0</v>
      </c>
    </row>
    <row r="647" spans="2:14">
      <c r="B647" t="str">
        <f>IFERROR(VLOOKUP(A647,管理亚马逊库存!A:K,11,0),"")</f>
        <v/>
      </c>
      <c r="C647" t="str">
        <f>IFERROR(VLOOKUP(A647,管理亚马逊库存!A:L,12,0),"")</f>
        <v/>
      </c>
      <c r="D647" t="str">
        <f>IFERROR(VLOOKUP(A647,管理亚马逊库存!A:Q,17,0),"")</f>
        <v/>
      </c>
      <c r="E647" t="str">
        <f>IFERROR(VLOOKUP(A647,管理亚马逊库存!A:R,18,0),"")</f>
        <v/>
      </c>
      <c r="F647">
        <f t="shared" si="23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4"/>
        <v>0</v>
      </c>
    </row>
    <row r="648" spans="2:14">
      <c r="B648" t="str">
        <f>IFERROR(VLOOKUP(A648,管理亚马逊库存!A:K,11,0),"")</f>
        <v/>
      </c>
      <c r="C648" t="str">
        <f>IFERROR(VLOOKUP(A648,管理亚马逊库存!A:L,12,0),"")</f>
        <v/>
      </c>
      <c r="D648" t="str">
        <f>IFERROR(VLOOKUP(A648,管理亚马逊库存!A:Q,17,0),"")</f>
        <v/>
      </c>
      <c r="E648" t="str">
        <f>IFERROR(VLOOKUP(A648,管理亚马逊库存!A:R,18,0),"")</f>
        <v/>
      </c>
      <c r="F648">
        <f t="shared" si="23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4"/>
        <v>0</v>
      </c>
    </row>
    <row r="649" spans="2:14">
      <c r="B649" t="str">
        <f>IFERROR(VLOOKUP(A649,管理亚马逊库存!A:K,11,0),"")</f>
        <v/>
      </c>
      <c r="C649" t="str">
        <f>IFERROR(VLOOKUP(A649,管理亚马逊库存!A:L,12,0),"")</f>
        <v/>
      </c>
      <c r="D649" t="str">
        <f>IFERROR(VLOOKUP(A649,管理亚马逊库存!A:Q,17,0),"")</f>
        <v/>
      </c>
      <c r="E649" t="str">
        <f>IFERROR(VLOOKUP(A649,管理亚马逊库存!A:R,18,0),"")</f>
        <v/>
      </c>
      <c r="F649">
        <f t="shared" si="23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4"/>
        <v>0</v>
      </c>
    </row>
    <row r="650" spans="2:14">
      <c r="B650" t="str">
        <f>IFERROR(VLOOKUP(A650,管理亚马逊库存!A:K,11,0),"")</f>
        <v/>
      </c>
      <c r="C650" t="str">
        <f>IFERROR(VLOOKUP(A650,管理亚马逊库存!A:L,12,0),"")</f>
        <v/>
      </c>
      <c r="D650" t="str">
        <f>IFERROR(VLOOKUP(A650,管理亚马逊库存!A:Q,17,0),"")</f>
        <v/>
      </c>
      <c r="E650" t="str">
        <f>IFERROR(VLOOKUP(A650,管理亚马逊库存!A:R,18,0),"")</f>
        <v/>
      </c>
      <c r="F650">
        <f t="shared" si="23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4"/>
        <v>0</v>
      </c>
    </row>
    <row r="651" spans="2:14">
      <c r="B651" t="str">
        <f>IFERROR(VLOOKUP(A651,管理亚马逊库存!A:K,11,0),"")</f>
        <v/>
      </c>
      <c r="C651" t="str">
        <f>IFERROR(VLOOKUP(A651,管理亚马逊库存!A:L,12,0),"")</f>
        <v/>
      </c>
      <c r="D651" t="str">
        <f>IFERROR(VLOOKUP(A651,管理亚马逊库存!A:Q,17,0),"")</f>
        <v/>
      </c>
      <c r="E651" t="str">
        <f>IFERROR(VLOOKUP(A651,管理亚马逊库存!A:R,18,0),"")</f>
        <v/>
      </c>
      <c r="F651">
        <f t="shared" si="23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4"/>
        <v>0</v>
      </c>
    </row>
    <row r="652" spans="2:14">
      <c r="B652" t="str">
        <f>IFERROR(VLOOKUP(A652,管理亚马逊库存!A:K,11,0),"")</f>
        <v/>
      </c>
      <c r="C652" t="str">
        <f>IFERROR(VLOOKUP(A652,管理亚马逊库存!A:L,12,0),"")</f>
        <v/>
      </c>
      <c r="D652" t="str">
        <f>IFERROR(VLOOKUP(A652,管理亚马逊库存!A:Q,17,0),"")</f>
        <v/>
      </c>
      <c r="E652" t="str">
        <f>IFERROR(VLOOKUP(A652,管理亚马逊库存!A:R,18,0),"")</f>
        <v/>
      </c>
      <c r="F652">
        <f t="shared" si="23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4"/>
        <v>0</v>
      </c>
    </row>
    <row r="653" spans="2:14">
      <c r="B653" t="str">
        <f>IFERROR(VLOOKUP(A653,管理亚马逊库存!A:K,11,0),"")</f>
        <v/>
      </c>
      <c r="C653" t="str">
        <f>IFERROR(VLOOKUP(A653,管理亚马逊库存!A:L,12,0),"")</f>
        <v/>
      </c>
      <c r="D653" t="str">
        <f>IFERROR(VLOOKUP(A653,管理亚马逊库存!A:Q,17,0),"")</f>
        <v/>
      </c>
      <c r="E653" t="str">
        <f>IFERROR(VLOOKUP(A653,管理亚马逊库存!A:R,18,0),"")</f>
        <v/>
      </c>
      <c r="F653">
        <f t="shared" si="23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4"/>
        <v>0</v>
      </c>
    </row>
    <row r="654" spans="2:14">
      <c r="B654" t="str">
        <f>IFERROR(VLOOKUP(A654,管理亚马逊库存!A:K,11,0),"")</f>
        <v/>
      </c>
      <c r="C654" t="str">
        <f>IFERROR(VLOOKUP(A654,管理亚马逊库存!A:L,12,0),"")</f>
        <v/>
      </c>
      <c r="D654" t="str">
        <f>IFERROR(VLOOKUP(A654,管理亚马逊库存!A:Q,17,0),"")</f>
        <v/>
      </c>
      <c r="E654" t="str">
        <f>IFERROR(VLOOKUP(A654,管理亚马逊库存!A:R,18,0),"")</f>
        <v/>
      </c>
      <c r="F654">
        <f t="shared" si="23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4"/>
        <v>0</v>
      </c>
    </row>
    <row r="655" spans="2:14">
      <c r="B655" t="str">
        <f>IFERROR(VLOOKUP(A655,管理亚马逊库存!A:K,11,0),"")</f>
        <v/>
      </c>
      <c r="C655" t="str">
        <f>IFERROR(VLOOKUP(A655,管理亚马逊库存!A:L,12,0),"")</f>
        <v/>
      </c>
      <c r="D655" t="str">
        <f>IFERROR(VLOOKUP(A655,管理亚马逊库存!A:Q,17,0),"")</f>
        <v/>
      </c>
      <c r="E655" t="str">
        <f>IFERROR(VLOOKUP(A655,管理亚马逊库存!A:R,18,0),"")</f>
        <v/>
      </c>
      <c r="F655">
        <f t="shared" si="23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4"/>
        <v>0</v>
      </c>
    </row>
    <row r="656" spans="2:14">
      <c r="B656" t="str">
        <f>IFERROR(VLOOKUP(A656,管理亚马逊库存!A:K,11,0),"")</f>
        <v/>
      </c>
      <c r="C656" t="str">
        <f>IFERROR(VLOOKUP(A656,管理亚马逊库存!A:L,12,0),"")</f>
        <v/>
      </c>
      <c r="D656" t="str">
        <f>IFERROR(VLOOKUP(A656,管理亚马逊库存!A:Q,17,0),"")</f>
        <v/>
      </c>
      <c r="E656" t="str">
        <f>IFERROR(VLOOKUP(A656,管理亚马逊库存!A:R,18,0),"")</f>
        <v/>
      </c>
      <c r="F656">
        <f t="shared" si="23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4"/>
        <v>0</v>
      </c>
    </row>
    <row r="657" spans="2:14">
      <c r="B657" t="str">
        <f>IFERROR(VLOOKUP(A657,管理亚马逊库存!A:K,11,0),"")</f>
        <v/>
      </c>
      <c r="C657" t="str">
        <f>IFERROR(VLOOKUP(A657,管理亚马逊库存!A:L,12,0),"")</f>
        <v/>
      </c>
      <c r="D657" t="str">
        <f>IFERROR(VLOOKUP(A657,管理亚马逊库存!A:Q,17,0),"")</f>
        <v/>
      </c>
      <c r="E657" t="str">
        <f>IFERROR(VLOOKUP(A657,管理亚马逊库存!A:R,18,0),"")</f>
        <v/>
      </c>
      <c r="F657">
        <f t="shared" si="23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4"/>
        <v>0</v>
      </c>
    </row>
    <row r="658" spans="2:14">
      <c r="B658" t="str">
        <f>IFERROR(VLOOKUP(A658,管理亚马逊库存!A:K,11,0),"")</f>
        <v/>
      </c>
      <c r="C658" t="str">
        <f>IFERROR(VLOOKUP(A658,管理亚马逊库存!A:L,12,0),"")</f>
        <v/>
      </c>
      <c r="D658" t="str">
        <f>IFERROR(VLOOKUP(A658,管理亚马逊库存!A:Q,17,0),"")</f>
        <v/>
      </c>
      <c r="E658" t="str">
        <f>IFERROR(VLOOKUP(A658,管理亚马逊库存!A:R,18,0),"")</f>
        <v/>
      </c>
      <c r="F658">
        <f t="shared" si="23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4"/>
        <v>0</v>
      </c>
    </row>
    <row r="659" spans="2:14">
      <c r="B659" t="str">
        <f>IFERROR(VLOOKUP(A659,管理亚马逊库存!A:K,11,0),"")</f>
        <v/>
      </c>
      <c r="C659" t="str">
        <f>IFERROR(VLOOKUP(A659,管理亚马逊库存!A:L,12,0),"")</f>
        <v/>
      </c>
      <c r="D659" t="str">
        <f>IFERROR(VLOOKUP(A659,管理亚马逊库存!A:Q,17,0),"")</f>
        <v/>
      </c>
      <c r="E659" t="str">
        <f>IFERROR(VLOOKUP(A659,管理亚马逊库存!A:R,18,0),"")</f>
        <v/>
      </c>
      <c r="F659">
        <f t="shared" si="23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4"/>
        <v>0</v>
      </c>
    </row>
    <row r="660" spans="2:14">
      <c r="B660" t="str">
        <f>IFERROR(VLOOKUP(A660,管理亚马逊库存!A:K,11,0),"")</f>
        <v/>
      </c>
      <c r="C660" t="str">
        <f>IFERROR(VLOOKUP(A660,管理亚马逊库存!A:L,12,0),"")</f>
        <v/>
      </c>
      <c r="D660" t="str">
        <f>IFERROR(VLOOKUP(A660,管理亚马逊库存!A:Q,17,0),"")</f>
        <v/>
      </c>
      <c r="E660" t="str">
        <f>IFERROR(VLOOKUP(A660,管理亚马逊库存!A:R,18,0),"")</f>
        <v/>
      </c>
      <c r="F660">
        <f t="shared" si="23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4"/>
        <v>0</v>
      </c>
    </row>
    <row r="661" spans="2:14">
      <c r="B661" t="str">
        <f>IFERROR(VLOOKUP(A661,管理亚马逊库存!A:K,11,0),"")</f>
        <v/>
      </c>
      <c r="C661" t="str">
        <f>IFERROR(VLOOKUP(A661,管理亚马逊库存!A:L,12,0),"")</f>
        <v/>
      </c>
      <c r="D661" t="str">
        <f>IFERROR(VLOOKUP(A661,管理亚马逊库存!A:Q,17,0),"")</f>
        <v/>
      </c>
      <c r="E661" t="str">
        <f>IFERROR(VLOOKUP(A661,管理亚马逊库存!A:R,18,0),"")</f>
        <v/>
      </c>
      <c r="F661">
        <f t="shared" si="23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4"/>
        <v>0</v>
      </c>
    </row>
    <row r="662" spans="2:14">
      <c r="B662" t="str">
        <f>IFERROR(VLOOKUP(A662,管理亚马逊库存!A:K,11,0),"")</f>
        <v/>
      </c>
      <c r="C662" t="str">
        <f>IFERROR(VLOOKUP(A662,管理亚马逊库存!A:L,12,0),"")</f>
        <v/>
      </c>
      <c r="D662" t="str">
        <f>IFERROR(VLOOKUP(A662,管理亚马逊库存!A:Q,17,0),"")</f>
        <v/>
      </c>
      <c r="E662" t="str">
        <f>IFERROR(VLOOKUP(A662,管理亚马逊库存!A:R,18,0),"")</f>
        <v/>
      </c>
      <c r="F662">
        <f t="shared" si="23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4"/>
        <v>0</v>
      </c>
    </row>
    <row r="663" spans="2:14">
      <c r="B663" t="str">
        <f>IFERROR(VLOOKUP(A663,管理亚马逊库存!A:K,11,0),"")</f>
        <v/>
      </c>
      <c r="C663" t="str">
        <f>IFERROR(VLOOKUP(A663,管理亚马逊库存!A:L,12,0),"")</f>
        <v/>
      </c>
      <c r="D663" t="str">
        <f>IFERROR(VLOOKUP(A663,管理亚马逊库存!A:Q,17,0),"")</f>
        <v/>
      </c>
      <c r="E663" t="str">
        <f>IFERROR(VLOOKUP(A663,管理亚马逊库存!A:R,18,0),"")</f>
        <v/>
      </c>
      <c r="F663">
        <f t="shared" si="23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4"/>
        <v>0</v>
      </c>
    </row>
    <row r="664" spans="2:14">
      <c r="B664" t="str">
        <f>IFERROR(VLOOKUP(A664,管理亚马逊库存!A:K,11,0),"")</f>
        <v/>
      </c>
      <c r="C664" t="str">
        <f>IFERROR(VLOOKUP(A664,管理亚马逊库存!A:L,12,0),"")</f>
        <v/>
      </c>
      <c r="D664" t="str">
        <f>IFERROR(VLOOKUP(A664,管理亚马逊库存!A:Q,17,0),"")</f>
        <v/>
      </c>
      <c r="E664" t="str">
        <f>IFERROR(VLOOKUP(A664,管理亚马逊库存!A:R,18,0),"")</f>
        <v/>
      </c>
      <c r="F664">
        <f t="shared" si="23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4"/>
        <v>0</v>
      </c>
    </row>
    <row r="665" spans="2:14">
      <c r="B665" t="str">
        <f>IFERROR(VLOOKUP(A665,管理亚马逊库存!A:K,11,0),"")</f>
        <v/>
      </c>
      <c r="C665" t="str">
        <f>IFERROR(VLOOKUP(A665,管理亚马逊库存!A:L,12,0),"")</f>
        <v/>
      </c>
      <c r="D665" t="str">
        <f>IFERROR(VLOOKUP(A665,管理亚马逊库存!A:Q,17,0),"")</f>
        <v/>
      </c>
      <c r="E665" t="str">
        <f>IFERROR(VLOOKUP(A665,管理亚马逊库存!A:R,18,0),"")</f>
        <v/>
      </c>
      <c r="F665">
        <f t="shared" si="23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4"/>
        <v>0</v>
      </c>
    </row>
    <row r="666" spans="2:14">
      <c r="B666" t="str">
        <f>IFERROR(VLOOKUP(A666,管理亚马逊库存!A:K,11,0),"")</f>
        <v/>
      </c>
      <c r="C666" t="str">
        <f>IFERROR(VLOOKUP(A666,管理亚马逊库存!A:L,12,0),"")</f>
        <v/>
      </c>
      <c r="D666" t="str">
        <f>IFERROR(VLOOKUP(A666,管理亚马逊库存!A:Q,17,0),"")</f>
        <v/>
      </c>
      <c r="E666" t="str">
        <f>IFERROR(VLOOKUP(A666,管理亚马逊库存!A:R,18,0),"")</f>
        <v/>
      </c>
      <c r="F666">
        <f t="shared" si="23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4"/>
        <v>0</v>
      </c>
    </row>
    <row r="667" spans="2:14">
      <c r="B667" t="str">
        <f>IFERROR(VLOOKUP(A667,管理亚马逊库存!A:K,11,0),"")</f>
        <v/>
      </c>
      <c r="C667" t="str">
        <f>IFERROR(VLOOKUP(A667,管理亚马逊库存!A:L,12,0),"")</f>
        <v/>
      </c>
      <c r="D667" t="str">
        <f>IFERROR(VLOOKUP(A667,管理亚马逊库存!A:Q,17,0),"")</f>
        <v/>
      </c>
      <c r="E667" t="str">
        <f>IFERROR(VLOOKUP(A667,管理亚马逊库存!A:R,18,0),"")</f>
        <v/>
      </c>
      <c r="F667">
        <f t="shared" si="23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4"/>
        <v>0</v>
      </c>
    </row>
    <row r="668" spans="2:14">
      <c r="B668" t="str">
        <f>IFERROR(VLOOKUP(A668,管理亚马逊库存!A:K,11,0),"")</f>
        <v/>
      </c>
      <c r="C668" t="str">
        <f>IFERROR(VLOOKUP(A668,管理亚马逊库存!A:L,12,0),"")</f>
        <v/>
      </c>
      <c r="D668" t="str">
        <f>IFERROR(VLOOKUP(A668,管理亚马逊库存!A:Q,17,0),"")</f>
        <v/>
      </c>
      <c r="E668" t="str">
        <f>IFERROR(VLOOKUP(A668,管理亚马逊库存!A:R,18,0),"")</f>
        <v/>
      </c>
      <c r="F668">
        <f t="shared" si="23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4"/>
        <v>0</v>
      </c>
    </row>
    <row r="669" spans="2:14">
      <c r="B669" t="str">
        <f>IFERROR(VLOOKUP(A669,管理亚马逊库存!A:K,11,0),"")</f>
        <v/>
      </c>
      <c r="C669" t="str">
        <f>IFERROR(VLOOKUP(A669,管理亚马逊库存!A:L,12,0),"")</f>
        <v/>
      </c>
      <c r="D669" t="str">
        <f>IFERROR(VLOOKUP(A669,管理亚马逊库存!A:Q,17,0),"")</f>
        <v/>
      </c>
      <c r="E669" t="str">
        <f>IFERROR(VLOOKUP(A669,管理亚马逊库存!A:R,18,0),"")</f>
        <v/>
      </c>
      <c r="F669">
        <f t="shared" si="23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4"/>
        <v>0</v>
      </c>
    </row>
    <row r="670" spans="2:14">
      <c r="B670" t="str">
        <f>IFERROR(VLOOKUP(A670,管理亚马逊库存!A:K,11,0),"")</f>
        <v/>
      </c>
      <c r="C670" t="str">
        <f>IFERROR(VLOOKUP(A670,管理亚马逊库存!A:L,12,0),"")</f>
        <v/>
      </c>
      <c r="D670" t="str">
        <f>IFERROR(VLOOKUP(A670,管理亚马逊库存!A:Q,17,0),"")</f>
        <v/>
      </c>
      <c r="E670" t="str">
        <f>IFERROR(VLOOKUP(A670,管理亚马逊库存!A:R,18,0),"")</f>
        <v/>
      </c>
      <c r="F670">
        <f t="shared" si="23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4"/>
        <v>0</v>
      </c>
    </row>
    <row r="671" spans="2:14">
      <c r="B671" t="str">
        <f>IFERROR(VLOOKUP(A671,管理亚马逊库存!A:K,11,0),"")</f>
        <v/>
      </c>
      <c r="C671" t="str">
        <f>IFERROR(VLOOKUP(A671,管理亚马逊库存!A:L,12,0),"")</f>
        <v/>
      </c>
      <c r="D671" t="str">
        <f>IFERROR(VLOOKUP(A671,管理亚马逊库存!A:Q,17,0),"")</f>
        <v/>
      </c>
      <c r="E671" t="str">
        <f>IFERROR(VLOOKUP(A671,管理亚马逊库存!A:R,18,0),"")</f>
        <v/>
      </c>
      <c r="F671">
        <f t="shared" si="23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4"/>
        <v>0</v>
      </c>
    </row>
    <row r="672" spans="2:14">
      <c r="B672" t="str">
        <f>IFERROR(VLOOKUP(A672,管理亚马逊库存!A:K,11,0),"")</f>
        <v/>
      </c>
      <c r="C672" t="str">
        <f>IFERROR(VLOOKUP(A672,管理亚马逊库存!A:L,12,0),"")</f>
        <v/>
      </c>
      <c r="D672" t="str">
        <f>IFERROR(VLOOKUP(A672,管理亚马逊库存!A:Q,17,0),"")</f>
        <v/>
      </c>
      <c r="E672" t="str">
        <f>IFERROR(VLOOKUP(A672,管理亚马逊库存!A:R,18,0),"")</f>
        <v/>
      </c>
      <c r="F672">
        <f t="shared" si="23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4"/>
        <v>0</v>
      </c>
    </row>
    <row r="673" spans="2:14">
      <c r="B673" t="str">
        <f>IFERROR(VLOOKUP(A673,管理亚马逊库存!A:K,11,0),"")</f>
        <v/>
      </c>
      <c r="C673" t="str">
        <f>IFERROR(VLOOKUP(A673,管理亚马逊库存!A:L,12,0),"")</f>
        <v/>
      </c>
      <c r="D673" t="str">
        <f>IFERROR(VLOOKUP(A673,管理亚马逊库存!A:Q,17,0),"")</f>
        <v/>
      </c>
      <c r="E673" t="str">
        <f>IFERROR(VLOOKUP(A673,管理亚马逊库存!A:R,18,0),"")</f>
        <v/>
      </c>
      <c r="F673">
        <f t="shared" si="23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4"/>
        <v>0</v>
      </c>
    </row>
    <row r="674" spans="2:14">
      <c r="B674" t="str">
        <f>IFERROR(VLOOKUP(A674,管理亚马逊库存!A:K,11,0),"")</f>
        <v/>
      </c>
      <c r="C674" t="str">
        <f>IFERROR(VLOOKUP(A674,管理亚马逊库存!A:L,12,0),"")</f>
        <v/>
      </c>
      <c r="D674" t="str">
        <f>IFERROR(VLOOKUP(A674,管理亚马逊库存!A:Q,17,0),"")</f>
        <v/>
      </c>
      <c r="E674" t="str">
        <f>IFERROR(VLOOKUP(A674,管理亚马逊库存!A:R,18,0),"")</f>
        <v/>
      </c>
      <c r="F674">
        <f t="shared" si="23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4"/>
        <v>0</v>
      </c>
    </row>
    <row r="675" spans="2:14">
      <c r="B675" t="str">
        <f>IFERROR(VLOOKUP(A675,管理亚马逊库存!A:K,11,0),"")</f>
        <v/>
      </c>
      <c r="C675" t="str">
        <f>IFERROR(VLOOKUP(A675,管理亚马逊库存!A:L,12,0),"")</f>
        <v/>
      </c>
      <c r="D675" t="str">
        <f>IFERROR(VLOOKUP(A675,管理亚马逊库存!A:Q,17,0),"")</f>
        <v/>
      </c>
      <c r="E675" t="str">
        <f>IFERROR(VLOOKUP(A675,管理亚马逊库存!A:R,18,0),"")</f>
        <v/>
      </c>
      <c r="F675">
        <f t="shared" si="23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4"/>
        <v>0</v>
      </c>
    </row>
    <row r="676" spans="2:14">
      <c r="B676" t="str">
        <f>IFERROR(VLOOKUP(A676,管理亚马逊库存!A:K,11,0),"")</f>
        <v/>
      </c>
      <c r="C676" t="str">
        <f>IFERROR(VLOOKUP(A676,管理亚马逊库存!A:L,12,0),"")</f>
        <v/>
      </c>
      <c r="D676" t="str">
        <f>IFERROR(VLOOKUP(A676,管理亚马逊库存!A:Q,17,0),"")</f>
        <v/>
      </c>
      <c r="E676" t="str">
        <f>IFERROR(VLOOKUP(A676,管理亚马逊库存!A:R,18,0),"")</f>
        <v/>
      </c>
      <c r="F676">
        <f t="shared" si="23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4"/>
        <v>0</v>
      </c>
    </row>
    <row r="677" spans="2:14">
      <c r="B677" t="str">
        <f>IFERROR(VLOOKUP(A677,管理亚马逊库存!A:K,11,0),"")</f>
        <v/>
      </c>
      <c r="C677" t="str">
        <f>IFERROR(VLOOKUP(A677,管理亚马逊库存!A:L,12,0),"")</f>
        <v/>
      </c>
      <c r="D677" t="str">
        <f>IFERROR(VLOOKUP(A677,管理亚马逊库存!A:Q,17,0),"")</f>
        <v/>
      </c>
      <c r="E677" t="str">
        <f>IFERROR(VLOOKUP(A677,管理亚马逊库存!A:R,18,0),"")</f>
        <v/>
      </c>
      <c r="F677">
        <f t="shared" si="23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4"/>
        <v>0</v>
      </c>
    </row>
    <row r="678" spans="2:14">
      <c r="B678" t="str">
        <f>IFERROR(VLOOKUP(A678,管理亚马逊库存!A:K,11,0),"")</f>
        <v/>
      </c>
      <c r="C678" t="str">
        <f>IFERROR(VLOOKUP(A678,管理亚马逊库存!A:L,12,0),"")</f>
        <v/>
      </c>
      <c r="D678" t="str">
        <f>IFERROR(VLOOKUP(A678,管理亚马逊库存!A:Q,17,0),"")</f>
        <v/>
      </c>
      <c r="E678" t="str">
        <f>IFERROR(VLOOKUP(A678,管理亚马逊库存!A:R,18,0),"")</f>
        <v/>
      </c>
      <c r="F678">
        <f t="shared" si="23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4"/>
        <v>0</v>
      </c>
    </row>
    <row r="679" spans="2:14">
      <c r="B679" t="str">
        <f>IFERROR(VLOOKUP(A679,管理亚马逊库存!A:K,11,0),"")</f>
        <v/>
      </c>
      <c r="C679" t="str">
        <f>IFERROR(VLOOKUP(A679,管理亚马逊库存!A:L,12,0),"")</f>
        <v/>
      </c>
      <c r="D679" t="str">
        <f>IFERROR(VLOOKUP(A679,管理亚马逊库存!A:Q,17,0),"")</f>
        <v/>
      </c>
      <c r="E679" t="str">
        <f>IFERROR(VLOOKUP(A679,管理亚马逊库存!A:R,18,0),"")</f>
        <v/>
      </c>
      <c r="F679">
        <f t="shared" si="23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4"/>
        <v>0</v>
      </c>
    </row>
    <row r="680" spans="2:14">
      <c r="B680" t="str">
        <f>IFERROR(VLOOKUP(A680,管理亚马逊库存!A:K,11,0),"")</f>
        <v/>
      </c>
      <c r="C680" t="str">
        <f>IFERROR(VLOOKUP(A680,管理亚马逊库存!A:L,12,0),"")</f>
        <v/>
      </c>
      <c r="D680" t="str">
        <f>IFERROR(VLOOKUP(A680,管理亚马逊库存!A:Q,17,0),"")</f>
        <v/>
      </c>
      <c r="E680" t="str">
        <f>IFERROR(VLOOKUP(A680,管理亚马逊库存!A:R,18,0),"")</f>
        <v/>
      </c>
      <c r="F680">
        <f t="shared" si="23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4"/>
        <v>0</v>
      </c>
    </row>
    <row r="681" spans="2:14">
      <c r="B681" t="str">
        <f>IFERROR(VLOOKUP(A681,管理亚马逊库存!A:K,11,0),"")</f>
        <v/>
      </c>
      <c r="C681" t="str">
        <f>IFERROR(VLOOKUP(A681,管理亚马逊库存!A:L,12,0),"")</f>
        <v/>
      </c>
      <c r="D681" t="str">
        <f>IFERROR(VLOOKUP(A681,管理亚马逊库存!A:Q,17,0),"")</f>
        <v/>
      </c>
      <c r="E681" t="str">
        <f>IFERROR(VLOOKUP(A681,管理亚马逊库存!A:R,18,0),"")</f>
        <v/>
      </c>
      <c r="F681">
        <f t="shared" si="23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4"/>
        <v>0</v>
      </c>
    </row>
    <row r="682" spans="2:14">
      <c r="B682" t="str">
        <f>IFERROR(VLOOKUP(A682,管理亚马逊库存!A:K,11,0),"")</f>
        <v/>
      </c>
      <c r="C682" t="str">
        <f>IFERROR(VLOOKUP(A682,管理亚马逊库存!A:L,12,0),"")</f>
        <v/>
      </c>
      <c r="D682" t="str">
        <f>IFERROR(VLOOKUP(A682,管理亚马逊库存!A:Q,17,0),"")</f>
        <v/>
      </c>
      <c r="E682" t="str">
        <f>IFERROR(VLOOKUP(A682,管理亚马逊库存!A:R,18,0),"")</f>
        <v/>
      </c>
      <c r="F682">
        <f t="shared" si="23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4"/>
        <v>0</v>
      </c>
    </row>
    <row r="683" spans="2:14">
      <c r="B683" t="str">
        <f>IFERROR(VLOOKUP(A683,管理亚马逊库存!A:K,11,0),"")</f>
        <v/>
      </c>
      <c r="C683" t="str">
        <f>IFERROR(VLOOKUP(A683,管理亚马逊库存!A:L,12,0),"")</f>
        <v/>
      </c>
      <c r="D683" t="str">
        <f>IFERROR(VLOOKUP(A683,管理亚马逊库存!A:Q,17,0),"")</f>
        <v/>
      </c>
      <c r="E683" t="str">
        <f>IFERROR(VLOOKUP(A683,管理亚马逊库存!A:R,18,0),"")</f>
        <v/>
      </c>
      <c r="F683">
        <f t="shared" si="23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4"/>
        <v>0</v>
      </c>
    </row>
    <row r="684" spans="2:14">
      <c r="B684" t="str">
        <f>IFERROR(VLOOKUP(A684,管理亚马逊库存!A:K,11,0),"")</f>
        <v/>
      </c>
      <c r="C684" t="str">
        <f>IFERROR(VLOOKUP(A684,管理亚马逊库存!A:L,12,0),"")</f>
        <v/>
      </c>
      <c r="D684" t="str">
        <f>IFERROR(VLOOKUP(A684,管理亚马逊库存!A:Q,17,0),"")</f>
        <v/>
      </c>
      <c r="E684" t="str">
        <f>IFERROR(VLOOKUP(A684,管理亚马逊库存!A:R,18,0),"")</f>
        <v/>
      </c>
      <c r="F684">
        <f t="shared" si="23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4"/>
        <v>0</v>
      </c>
    </row>
    <row r="685" spans="2:14">
      <c r="B685" t="str">
        <f>IFERROR(VLOOKUP(A685,管理亚马逊库存!A:K,11,0),"")</f>
        <v/>
      </c>
      <c r="C685" t="str">
        <f>IFERROR(VLOOKUP(A685,管理亚马逊库存!A:L,12,0),"")</f>
        <v/>
      </c>
      <c r="D685" t="str">
        <f>IFERROR(VLOOKUP(A685,管理亚马逊库存!A:Q,17,0),"")</f>
        <v/>
      </c>
      <c r="E685" t="str">
        <f>IFERROR(VLOOKUP(A685,管理亚马逊库存!A:R,18,0),"")</f>
        <v/>
      </c>
      <c r="F685">
        <f t="shared" si="23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4"/>
        <v>0</v>
      </c>
    </row>
    <row r="686" spans="2:14">
      <c r="B686" t="str">
        <f>IFERROR(VLOOKUP(A686,管理亚马逊库存!A:K,11,0),"")</f>
        <v/>
      </c>
      <c r="C686" t="str">
        <f>IFERROR(VLOOKUP(A686,管理亚马逊库存!A:L,12,0),"")</f>
        <v/>
      </c>
      <c r="D686" t="str">
        <f>IFERROR(VLOOKUP(A686,管理亚马逊库存!A:Q,17,0),"")</f>
        <v/>
      </c>
      <c r="E686" t="str">
        <f>IFERROR(VLOOKUP(A686,管理亚马逊库存!A:R,18,0),"")</f>
        <v/>
      </c>
      <c r="F686">
        <f t="shared" si="23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4"/>
        <v>0</v>
      </c>
    </row>
    <row r="687" spans="2:14">
      <c r="B687" t="str">
        <f>IFERROR(VLOOKUP(A687,管理亚马逊库存!A:K,11,0),"")</f>
        <v/>
      </c>
      <c r="C687" t="str">
        <f>IFERROR(VLOOKUP(A687,管理亚马逊库存!A:L,12,0),"")</f>
        <v/>
      </c>
      <c r="D687" t="str">
        <f>IFERROR(VLOOKUP(A687,管理亚马逊库存!A:Q,17,0),"")</f>
        <v/>
      </c>
      <c r="E687" t="str">
        <f>IFERROR(VLOOKUP(A687,管理亚马逊库存!A:R,18,0),"")</f>
        <v/>
      </c>
      <c r="F687">
        <f t="shared" si="23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4"/>
        <v>0</v>
      </c>
    </row>
    <row r="688" spans="2:14">
      <c r="B688" t="str">
        <f>IFERROR(VLOOKUP(A688,管理亚马逊库存!A:K,11,0),"")</f>
        <v/>
      </c>
      <c r="C688" t="str">
        <f>IFERROR(VLOOKUP(A688,管理亚马逊库存!A:L,12,0),"")</f>
        <v/>
      </c>
      <c r="D688" t="str">
        <f>IFERROR(VLOOKUP(A688,管理亚马逊库存!A:Q,17,0),"")</f>
        <v/>
      </c>
      <c r="E688" t="str">
        <f>IFERROR(VLOOKUP(A688,管理亚马逊库存!A:R,18,0),"")</f>
        <v/>
      </c>
      <c r="F688">
        <f t="shared" si="23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4"/>
        <v>0</v>
      </c>
    </row>
    <row r="689" spans="2:14">
      <c r="B689" t="str">
        <f>IFERROR(VLOOKUP(A689,管理亚马逊库存!A:K,11,0),"")</f>
        <v/>
      </c>
      <c r="C689" t="str">
        <f>IFERROR(VLOOKUP(A689,管理亚马逊库存!A:L,12,0),"")</f>
        <v/>
      </c>
      <c r="D689" t="str">
        <f>IFERROR(VLOOKUP(A689,管理亚马逊库存!A:Q,17,0),"")</f>
        <v/>
      </c>
      <c r="E689" t="str">
        <f>IFERROR(VLOOKUP(A689,管理亚马逊库存!A:R,18,0),"")</f>
        <v/>
      </c>
      <c r="F689">
        <f t="shared" si="23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4"/>
        <v>0</v>
      </c>
    </row>
    <row r="690" spans="2:14">
      <c r="B690" t="str">
        <f>IFERROR(VLOOKUP(A690,管理亚马逊库存!A:K,11,0),"")</f>
        <v/>
      </c>
      <c r="C690" t="str">
        <f>IFERROR(VLOOKUP(A690,管理亚马逊库存!A:L,12,0),"")</f>
        <v/>
      </c>
      <c r="D690" t="str">
        <f>IFERROR(VLOOKUP(A690,管理亚马逊库存!A:Q,17,0),"")</f>
        <v/>
      </c>
      <c r="E690" t="str">
        <f>IFERROR(VLOOKUP(A690,管理亚马逊库存!A:R,18,0),"")</f>
        <v/>
      </c>
      <c r="F690">
        <f t="shared" si="23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4"/>
        <v>0</v>
      </c>
    </row>
    <row r="691" spans="2:14">
      <c r="B691" t="str">
        <f>IFERROR(VLOOKUP(A691,管理亚马逊库存!A:K,11,0),"")</f>
        <v/>
      </c>
      <c r="C691" t="str">
        <f>IFERROR(VLOOKUP(A691,管理亚马逊库存!A:L,12,0),"")</f>
        <v/>
      </c>
      <c r="D691" t="str">
        <f>IFERROR(VLOOKUP(A691,管理亚马逊库存!A:Q,17,0),"")</f>
        <v/>
      </c>
      <c r="E691" t="str">
        <f>IFERROR(VLOOKUP(A691,管理亚马逊库存!A:R,18,0),"")</f>
        <v/>
      </c>
      <c r="F691">
        <f t="shared" si="23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4"/>
        <v>0</v>
      </c>
    </row>
    <row r="692" spans="2:14">
      <c r="B692" t="str">
        <f>IFERROR(VLOOKUP(A692,管理亚马逊库存!A:K,11,0),"")</f>
        <v/>
      </c>
      <c r="C692" t="str">
        <f>IFERROR(VLOOKUP(A692,管理亚马逊库存!A:L,12,0),"")</f>
        <v/>
      </c>
      <c r="D692" t="str">
        <f>IFERROR(VLOOKUP(A692,管理亚马逊库存!A:Q,17,0),"")</f>
        <v/>
      </c>
      <c r="E692" t="str">
        <f>IFERROR(VLOOKUP(A692,管理亚马逊库存!A:R,18,0),"")</f>
        <v/>
      </c>
      <c r="F692">
        <f t="shared" si="23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4"/>
        <v>0</v>
      </c>
    </row>
    <row r="693" spans="2:14">
      <c r="B693" t="str">
        <f>IFERROR(VLOOKUP(A693,管理亚马逊库存!A:K,11,0),"")</f>
        <v/>
      </c>
      <c r="C693" t="str">
        <f>IFERROR(VLOOKUP(A693,管理亚马逊库存!A:L,12,0),"")</f>
        <v/>
      </c>
      <c r="D693" t="str">
        <f>IFERROR(VLOOKUP(A693,管理亚马逊库存!A:Q,17,0),"")</f>
        <v/>
      </c>
      <c r="E693" t="str">
        <f>IFERROR(VLOOKUP(A693,管理亚马逊库存!A:R,18,0),"")</f>
        <v/>
      </c>
      <c r="F693">
        <f t="shared" si="23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4"/>
        <v>0</v>
      </c>
    </row>
    <row r="694" spans="2:14">
      <c r="B694" t="str">
        <f>IFERROR(VLOOKUP(A694,管理亚马逊库存!A:K,11,0),"")</f>
        <v/>
      </c>
      <c r="C694" t="str">
        <f>IFERROR(VLOOKUP(A694,管理亚马逊库存!A:L,12,0),"")</f>
        <v/>
      </c>
      <c r="D694" t="str">
        <f>IFERROR(VLOOKUP(A694,管理亚马逊库存!A:Q,17,0),"")</f>
        <v/>
      </c>
      <c r="E694" t="str">
        <f>IFERROR(VLOOKUP(A694,管理亚马逊库存!A:R,18,0),"")</f>
        <v/>
      </c>
      <c r="F694">
        <f t="shared" si="23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4"/>
        <v>0</v>
      </c>
    </row>
    <row r="695" spans="2:14">
      <c r="B695" t="str">
        <f>IFERROR(VLOOKUP(A695,管理亚马逊库存!A:K,11,0),"")</f>
        <v/>
      </c>
      <c r="C695" t="str">
        <f>IFERROR(VLOOKUP(A695,管理亚马逊库存!A:L,12,0),"")</f>
        <v/>
      </c>
      <c r="D695" t="str">
        <f>IFERROR(VLOOKUP(A695,管理亚马逊库存!A:Q,17,0),"")</f>
        <v/>
      </c>
      <c r="E695" t="str">
        <f>IFERROR(VLOOKUP(A695,管理亚马逊库存!A:R,18,0),"")</f>
        <v/>
      </c>
      <c r="F695">
        <f t="shared" si="23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4"/>
        <v>0</v>
      </c>
    </row>
    <row r="696" spans="2:14">
      <c r="B696" t="str">
        <f>IFERROR(VLOOKUP(A696,管理亚马逊库存!A:K,11,0),"")</f>
        <v/>
      </c>
      <c r="C696" t="str">
        <f>IFERROR(VLOOKUP(A696,管理亚马逊库存!A:L,12,0),"")</f>
        <v/>
      </c>
      <c r="D696" t="str">
        <f>IFERROR(VLOOKUP(A696,管理亚马逊库存!A:Q,17,0),"")</f>
        <v/>
      </c>
      <c r="E696" t="str">
        <f>IFERROR(VLOOKUP(A696,管理亚马逊库存!A:R,18,0),"")</f>
        <v/>
      </c>
      <c r="F696">
        <f t="shared" si="23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4"/>
        <v>0</v>
      </c>
    </row>
    <row r="697" spans="2:14">
      <c r="B697" t="str">
        <f>IFERROR(VLOOKUP(A697,管理亚马逊库存!A:K,11,0),"")</f>
        <v/>
      </c>
      <c r="C697" t="str">
        <f>IFERROR(VLOOKUP(A697,管理亚马逊库存!A:L,12,0),"")</f>
        <v/>
      </c>
      <c r="D697" t="str">
        <f>IFERROR(VLOOKUP(A697,管理亚马逊库存!A:Q,17,0),"")</f>
        <v/>
      </c>
      <c r="E697" t="str">
        <f>IFERROR(VLOOKUP(A697,管理亚马逊库存!A:R,18,0),"")</f>
        <v/>
      </c>
      <c r="F697">
        <f t="shared" si="23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4"/>
        <v>0</v>
      </c>
    </row>
    <row r="698" spans="2:14">
      <c r="B698" t="str">
        <f>IFERROR(VLOOKUP(A698,管理亚马逊库存!A:K,11,0),"")</f>
        <v/>
      </c>
      <c r="C698" t="str">
        <f>IFERROR(VLOOKUP(A698,管理亚马逊库存!A:L,12,0),"")</f>
        <v/>
      </c>
      <c r="D698" t="str">
        <f>IFERROR(VLOOKUP(A698,管理亚马逊库存!A:Q,17,0),"")</f>
        <v/>
      </c>
      <c r="E698" t="str">
        <f>IFERROR(VLOOKUP(A698,管理亚马逊库存!A:R,18,0),"")</f>
        <v/>
      </c>
      <c r="F698">
        <f t="shared" si="23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4"/>
        <v>0</v>
      </c>
    </row>
    <row r="699" spans="2:14">
      <c r="B699" t="str">
        <f>IFERROR(VLOOKUP(A699,管理亚马逊库存!A:K,11,0),"")</f>
        <v/>
      </c>
      <c r="C699" t="str">
        <f>IFERROR(VLOOKUP(A699,管理亚马逊库存!A:L,12,0),"")</f>
        <v/>
      </c>
      <c r="D699" t="str">
        <f>IFERROR(VLOOKUP(A699,管理亚马逊库存!A:Q,17,0),"")</f>
        <v/>
      </c>
      <c r="E699" t="str">
        <f>IFERROR(VLOOKUP(A699,管理亚马逊库存!A:R,18,0),"")</f>
        <v/>
      </c>
      <c r="F699">
        <f t="shared" si="23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4"/>
        <v>0</v>
      </c>
    </row>
    <row r="700" spans="2:14">
      <c r="B700" t="str">
        <f>IFERROR(VLOOKUP(A700,管理亚马逊库存!A:K,11,0),"")</f>
        <v/>
      </c>
      <c r="C700" t="str">
        <f>IFERROR(VLOOKUP(A700,管理亚马逊库存!A:L,12,0),"")</f>
        <v/>
      </c>
      <c r="D700" t="str">
        <f>IFERROR(VLOOKUP(A700,管理亚马逊库存!A:Q,17,0),"")</f>
        <v/>
      </c>
      <c r="E700" t="str">
        <f>IFERROR(VLOOKUP(A700,管理亚马逊库存!A:R,18,0),"")</f>
        <v/>
      </c>
      <c r="F700">
        <f t="shared" si="23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4"/>
        <v>0</v>
      </c>
    </row>
    <row r="701" spans="2:14">
      <c r="B701" t="str">
        <f>IFERROR(VLOOKUP(A701,管理亚马逊库存!A:K,11,0),"")</f>
        <v/>
      </c>
      <c r="C701" t="str">
        <f>IFERROR(VLOOKUP(A701,管理亚马逊库存!A:L,12,0),"")</f>
        <v/>
      </c>
      <c r="D701" t="str">
        <f>IFERROR(VLOOKUP(A701,管理亚马逊库存!A:Q,17,0),"")</f>
        <v/>
      </c>
      <c r="E701" t="str">
        <f>IFERROR(VLOOKUP(A701,管理亚马逊库存!A:R,18,0),"")</f>
        <v/>
      </c>
      <c r="F701">
        <f t="shared" si="23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4"/>
        <v>0</v>
      </c>
    </row>
    <row r="702" spans="2:14">
      <c r="B702" t="str">
        <f>IFERROR(VLOOKUP(A702,管理亚马逊库存!A:K,11,0),"")</f>
        <v/>
      </c>
      <c r="C702" t="str">
        <f>IFERROR(VLOOKUP(A702,管理亚马逊库存!A:L,12,0),"")</f>
        <v/>
      </c>
      <c r="D702" t="str">
        <f>IFERROR(VLOOKUP(A702,管理亚马逊库存!A:Q,17,0),"")</f>
        <v/>
      </c>
      <c r="E702" t="str">
        <f>IFERROR(VLOOKUP(A702,管理亚马逊库存!A:R,18,0),"")</f>
        <v/>
      </c>
      <c r="F702">
        <f t="shared" si="23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4"/>
        <v>0</v>
      </c>
    </row>
    <row r="703" spans="2:14">
      <c r="B703" t="str">
        <f>IFERROR(VLOOKUP(A703,管理亚马逊库存!A:K,11,0),"")</f>
        <v/>
      </c>
      <c r="C703" t="str">
        <f>IFERROR(VLOOKUP(A703,管理亚马逊库存!A:L,12,0),"")</f>
        <v/>
      </c>
      <c r="D703" t="str">
        <f>IFERROR(VLOOKUP(A703,管理亚马逊库存!A:Q,17,0),"")</f>
        <v/>
      </c>
      <c r="E703" t="str">
        <f>IFERROR(VLOOKUP(A703,管理亚马逊库存!A:R,18,0),"")</f>
        <v/>
      </c>
      <c r="F703">
        <f t="shared" si="23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4"/>
        <v>0</v>
      </c>
    </row>
    <row r="704" spans="2:14">
      <c r="B704" t="str">
        <f>IFERROR(VLOOKUP(A704,管理亚马逊库存!A:K,11,0),"")</f>
        <v/>
      </c>
      <c r="C704" t="str">
        <f>IFERROR(VLOOKUP(A704,管理亚马逊库存!A:L,12,0),"")</f>
        <v/>
      </c>
      <c r="D704" t="str">
        <f>IFERROR(VLOOKUP(A704,管理亚马逊库存!A:Q,17,0),"")</f>
        <v/>
      </c>
      <c r="E704" t="str">
        <f>IFERROR(VLOOKUP(A704,管理亚马逊库存!A:R,18,0),"")</f>
        <v/>
      </c>
      <c r="F704">
        <f t="shared" si="23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4"/>
        <v>0</v>
      </c>
    </row>
    <row r="705" spans="2:14">
      <c r="B705" t="str">
        <f>IFERROR(VLOOKUP(A705,管理亚马逊库存!A:K,11,0),"")</f>
        <v/>
      </c>
      <c r="C705" t="str">
        <f>IFERROR(VLOOKUP(A705,管理亚马逊库存!A:L,12,0),"")</f>
        <v/>
      </c>
      <c r="D705" t="str">
        <f>IFERROR(VLOOKUP(A705,管理亚马逊库存!A:Q,17,0),"")</f>
        <v/>
      </c>
      <c r="E705" t="str">
        <f>IFERROR(VLOOKUP(A705,管理亚马逊库存!A:R,18,0),"")</f>
        <v/>
      </c>
      <c r="F705">
        <f t="shared" si="23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4"/>
        <v>0</v>
      </c>
    </row>
    <row r="706" spans="2:14">
      <c r="B706" t="str">
        <f>IFERROR(VLOOKUP(A706,管理亚马逊库存!A:K,11,0),"")</f>
        <v/>
      </c>
      <c r="C706" t="str">
        <f>IFERROR(VLOOKUP(A706,管理亚马逊库存!A:L,12,0),"")</f>
        <v/>
      </c>
      <c r="D706" t="str">
        <f>IFERROR(VLOOKUP(A706,管理亚马逊库存!A:Q,17,0),"")</f>
        <v/>
      </c>
      <c r="E706" t="str">
        <f>IFERROR(VLOOKUP(A706,管理亚马逊库存!A:R,18,0),"")</f>
        <v/>
      </c>
      <c r="F706">
        <f t="shared" si="23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4"/>
        <v>0</v>
      </c>
    </row>
    <row r="707" spans="2:14">
      <c r="B707" t="str">
        <f>IFERROR(VLOOKUP(A707,管理亚马逊库存!A:K,11,0),"")</f>
        <v/>
      </c>
      <c r="C707" t="str">
        <f>IFERROR(VLOOKUP(A707,管理亚马逊库存!A:L,12,0),"")</f>
        <v/>
      </c>
      <c r="D707" t="str">
        <f>IFERROR(VLOOKUP(A707,管理亚马逊库存!A:Q,17,0),"")</f>
        <v/>
      </c>
      <c r="E707" t="str">
        <f>IFERROR(VLOOKUP(A707,管理亚马逊库存!A:R,18,0),"")</f>
        <v/>
      </c>
      <c r="F707">
        <f t="shared" ref="F707:F770" si="25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6">SUM(J707:M707)</f>
        <v>0</v>
      </c>
    </row>
    <row r="708" spans="2:14">
      <c r="B708" t="str">
        <f>IFERROR(VLOOKUP(A708,管理亚马逊库存!A:K,11,0),"")</f>
        <v/>
      </c>
      <c r="C708" t="str">
        <f>IFERROR(VLOOKUP(A708,管理亚马逊库存!A:L,12,0),"")</f>
        <v/>
      </c>
      <c r="D708" t="str">
        <f>IFERROR(VLOOKUP(A708,管理亚马逊库存!A:Q,17,0),"")</f>
        <v/>
      </c>
      <c r="E708" t="str">
        <f>IFERROR(VLOOKUP(A708,管理亚马逊库存!A:R,18,0),"")</f>
        <v/>
      </c>
      <c r="F708">
        <f t="shared" si="25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6"/>
        <v>0</v>
      </c>
    </row>
    <row r="709" spans="2:14">
      <c r="B709" t="str">
        <f>IFERROR(VLOOKUP(A709,管理亚马逊库存!A:K,11,0),"")</f>
        <v/>
      </c>
      <c r="C709" t="str">
        <f>IFERROR(VLOOKUP(A709,管理亚马逊库存!A:L,12,0),"")</f>
        <v/>
      </c>
      <c r="D709" t="str">
        <f>IFERROR(VLOOKUP(A709,管理亚马逊库存!A:Q,17,0),"")</f>
        <v/>
      </c>
      <c r="E709" t="str">
        <f>IFERROR(VLOOKUP(A709,管理亚马逊库存!A:R,18,0),"")</f>
        <v/>
      </c>
      <c r="F709">
        <f t="shared" si="25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6"/>
        <v>0</v>
      </c>
    </row>
    <row r="710" spans="2:14">
      <c r="B710" t="str">
        <f>IFERROR(VLOOKUP(A710,管理亚马逊库存!A:K,11,0),"")</f>
        <v/>
      </c>
      <c r="C710" t="str">
        <f>IFERROR(VLOOKUP(A710,管理亚马逊库存!A:L,12,0),"")</f>
        <v/>
      </c>
      <c r="D710" t="str">
        <f>IFERROR(VLOOKUP(A710,管理亚马逊库存!A:Q,17,0),"")</f>
        <v/>
      </c>
      <c r="E710" t="str">
        <f>IFERROR(VLOOKUP(A710,管理亚马逊库存!A:R,18,0),"")</f>
        <v/>
      </c>
      <c r="F710">
        <f t="shared" si="25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6"/>
        <v>0</v>
      </c>
    </row>
    <row r="711" spans="2:14">
      <c r="B711" t="str">
        <f>IFERROR(VLOOKUP(A711,管理亚马逊库存!A:K,11,0),"")</f>
        <v/>
      </c>
      <c r="C711" t="str">
        <f>IFERROR(VLOOKUP(A711,管理亚马逊库存!A:L,12,0),"")</f>
        <v/>
      </c>
      <c r="D711" t="str">
        <f>IFERROR(VLOOKUP(A711,管理亚马逊库存!A:Q,17,0),"")</f>
        <v/>
      </c>
      <c r="E711" t="str">
        <f>IFERROR(VLOOKUP(A711,管理亚马逊库存!A:R,18,0),"")</f>
        <v/>
      </c>
      <c r="F711">
        <f t="shared" si="25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6"/>
        <v>0</v>
      </c>
    </row>
    <row r="712" spans="2:14">
      <c r="B712" t="str">
        <f>IFERROR(VLOOKUP(A712,管理亚马逊库存!A:K,11,0),"")</f>
        <v/>
      </c>
      <c r="C712" t="str">
        <f>IFERROR(VLOOKUP(A712,管理亚马逊库存!A:L,12,0),"")</f>
        <v/>
      </c>
      <c r="D712" t="str">
        <f>IFERROR(VLOOKUP(A712,管理亚马逊库存!A:Q,17,0),"")</f>
        <v/>
      </c>
      <c r="E712" t="str">
        <f>IFERROR(VLOOKUP(A712,管理亚马逊库存!A:R,18,0),"")</f>
        <v/>
      </c>
      <c r="F712">
        <f t="shared" si="25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6"/>
        <v>0</v>
      </c>
    </row>
    <row r="713" spans="2:14">
      <c r="B713" t="str">
        <f>IFERROR(VLOOKUP(A713,管理亚马逊库存!A:K,11,0),"")</f>
        <v/>
      </c>
      <c r="C713" t="str">
        <f>IFERROR(VLOOKUP(A713,管理亚马逊库存!A:L,12,0),"")</f>
        <v/>
      </c>
      <c r="D713" t="str">
        <f>IFERROR(VLOOKUP(A713,管理亚马逊库存!A:Q,17,0),"")</f>
        <v/>
      </c>
      <c r="E713" t="str">
        <f>IFERROR(VLOOKUP(A713,管理亚马逊库存!A:R,18,0),"")</f>
        <v/>
      </c>
      <c r="F713">
        <f t="shared" si="25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6"/>
        <v>0</v>
      </c>
    </row>
    <row r="714" spans="2:14">
      <c r="B714" t="str">
        <f>IFERROR(VLOOKUP(A714,管理亚马逊库存!A:K,11,0),"")</f>
        <v/>
      </c>
      <c r="C714" t="str">
        <f>IFERROR(VLOOKUP(A714,管理亚马逊库存!A:L,12,0),"")</f>
        <v/>
      </c>
      <c r="D714" t="str">
        <f>IFERROR(VLOOKUP(A714,管理亚马逊库存!A:Q,17,0),"")</f>
        <v/>
      </c>
      <c r="E714" t="str">
        <f>IFERROR(VLOOKUP(A714,管理亚马逊库存!A:R,18,0),"")</f>
        <v/>
      </c>
      <c r="F714">
        <f t="shared" si="25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6"/>
        <v>0</v>
      </c>
    </row>
    <row r="715" spans="2:14">
      <c r="B715" t="str">
        <f>IFERROR(VLOOKUP(A715,管理亚马逊库存!A:K,11,0),"")</f>
        <v/>
      </c>
      <c r="C715" t="str">
        <f>IFERROR(VLOOKUP(A715,管理亚马逊库存!A:L,12,0),"")</f>
        <v/>
      </c>
      <c r="D715" t="str">
        <f>IFERROR(VLOOKUP(A715,管理亚马逊库存!A:Q,17,0),"")</f>
        <v/>
      </c>
      <c r="E715" t="str">
        <f>IFERROR(VLOOKUP(A715,管理亚马逊库存!A:R,18,0),"")</f>
        <v/>
      </c>
      <c r="F715">
        <f t="shared" si="25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6"/>
        <v>0</v>
      </c>
    </row>
    <row r="716" spans="2:14">
      <c r="B716" t="str">
        <f>IFERROR(VLOOKUP(A716,管理亚马逊库存!A:K,11,0),"")</f>
        <v/>
      </c>
      <c r="C716" t="str">
        <f>IFERROR(VLOOKUP(A716,管理亚马逊库存!A:L,12,0),"")</f>
        <v/>
      </c>
      <c r="D716" t="str">
        <f>IFERROR(VLOOKUP(A716,管理亚马逊库存!A:Q,17,0),"")</f>
        <v/>
      </c>
      <c r="E716" t="str">
        <f>IFERROR(VLOOKUP(A716,管理亚马逊库存!A:R,18,0),"")</f>
        <v/>
      </c>
      <c r="F716">
        <f t="shared" si="25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6"/>
        <v>0</v>
      </c>
    </row>
    <row r="717" spans="2:14">
      <c r="B717" t="str">
        <f>IFERROR(VLOOKUP(A717,管理亚马逊库存!A:K,11,0),"")</f>
        <v/>
      </c>
      <c r="C717" t="str">
        <f>IFERROR(VLOOKUP(A717,管理亚马逊库存!A:L,12,0),"")</f>
        <v/>
      </c>
      <c r="D717" t="str">
        <f>IFERROR(VLOOKUP(A717,管理亚马逊库存!A:Q,17,0),"")</f>
        <v/>
      </c>
      <c r="E717" t="str">
        <f>IFERROR(VLOOKUP(A717,管理亚马逊库存!A:R,18,0),"")</f>
        <v/>
      </c>
      <c r="F717">
        <f t="shared" si="25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6"/>
        <v>0</v>
      </c>
    </row>
    <row r="718" spans="2:14">
      <c r="B718" t="str">
        <f>IFERROR(VLOOKUP(A718,管理亚马逊库存!A:K,11,0),"")</f>
        <v/>
      </c>
      <c r="C718" t="str">
        <f>IFERROR(VLOOKUP(A718,管理亚马逊库存!A:L,12,0),"")</f>
        <v/>
      </c>
      <c r="D718" t="str">
        <f>IFERROR(VLOOKUP(A718,管理亚马逊库存!A:Q,17,0),"")</f>
        <v/>
      </c>
      <c r="E718" t="str">
        <f>IFERROR(VLOOKUP(A718,管理亚马逊库存!A:R,18,0),"")</f>
        <v/>
      </c>
      <c r="F718">
        <f t="shared" si="25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6"/>
        <v>0</v>
      </c>
    </row>
    <row r="719" spans="2:14">
      <c r="B719" t="str">
        <f>IFERROR(VLOOKUP(A719,管理亚马逊库存!A:K,11,0),"")</f>
        <v/>
      </c>
      <c r="C719" t="str">
        <f>IFERROR(VLOOKUP(A719,管理亚马逊库存!A:L,12,0),"")</f>
        <v/>
      </c>
      <c r="D719" t="str">
        <f>IFERROR(VLOOKUP(A719,管理亚马逊库存!A:Q,17,0),"")</f>
        <v/>
      </c>
      <c r="E719" t="str">
        <f>IFERROR(VLOOKUP(A719,管理亚马逊库存!A:R,18,0),"")</f>
        <v/>
      </c>
      <c r="F719">
        <f t="shared" si="25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6"/>
        <v>0</v>
      </c>
    </row>
    <row r="720" spans="2:14">
      <c r="B720" t="str">
        <f>IFERROR(VLOOKUP(A720,管理亚马逊库存!A:K,11,0),"")</f>
        <v/>
      </c>
      <c r="C720" t="str">
        <f>IFERROR(VLOOKUP(A720,管理亚马逊库存!A:L,12,0),"")</f>
        <v/>
      </c>
      <c r="D720" t="str">
        <f>IFERROR(VLOOKUP(A720,管理亚马逊库存!A:Q,17,0),"")</f>
        <v/>
      </c>
      <c r="E720" t="str">
        <f>IFERROR(VLOOKUP(A720,管理亚马逊库存!A:R,18,0),"")</f>
        <v/>
      </c>
      <c r="F720">
        <f t="shared" si="25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6"/>
        <v>0</v>
      </c>
    </row>
    <row r="721" spans="2:14">
      <c r="B721" t="str">
        <f>IFERROR(VLOOKUP(A721,管理亚马逊库存!A:K,11,0),"")</f>
        <v/>
      </c>
      <c r="C721" t="str">
        <f>IFERROR(VLOOKUP(A721,管理亚马逊库存!A:L,12,0),"")</f>
        <v/>
      </c>
      <c r="D721" t="str">
        <f>IFERROR(VLOOKUP(A721,管理亚马逊库存!A:Q,17,0),"")</f>
        <v/>
      </c>
      <c r="E721" t="str">
        <f>IFERROR(VLOOKUP(A721,管理亚马逊库存!A:R,18,0),"")</f>
        <v/>
      </c>
      <c r="F721">
        <f t="shared" si="25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6"/>
        <v>0</v>
      </c>
    </row>
    <row r="722" spans="2:14">
      <c r="B722" t="str">
        <f>IFERROR(VLOOKUP(A722,管理亚马逊库存!A:K,11,0),"")</f>
        <v/>
      </c>
      <c r="C722" t="str">
        <f>IFERROR(VLOOKUP(A722,管理亚马逊库存!A:L,12,0),"")</f>
        <v/>
      </c>
      <c r="D722" t="str">
        <f>IFERROR(VLOOKUP(A722,管理亚马逊库存!A:Q,17,0),"")</f>
        <v/>
      </c>
      <c r="E722" t="str">
        <f>IFERROR(VLOOKUP(A722,管理亚马逊库存!A:R,18,0),"")</f>
        <v/>
      </c>
      <c r="F722">
        <f t="shared" si="25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6"/>
        <v>0</v>
      </c>
    </row>
    <row r="723" spans="2:14">
      <c r="B723" t="str">
        <f>IFERROR(VLOOKUP(A723,管理亚马逊库存!A:K,11,0),"")</f>
        <v/>
      </c>
      <c r="C723" t="str">
        <f>IFERROR(VLOOKUP(A723,管理亚马逊库存!A:L,12,0),"")</f>
        <v/>
      </c>
      <c r="D723" t="str">
        <f>IFERROR(VLOOKUP(A723,管理亚马逊库存!A:Q,17,0),"")</f>
        <v/>
      </c>
      <c r="E723" t="str">
        <f>IFERROR(VLOOKUP(A723,管理亚马逊库存!A:R,18,0),"")</f>
        <v/>
      </c>
      <c r="F723">
        <f t="shared" si="25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6"/>
        <v>0</v>
      </c>
    </row>
    <row r="724" spans="2:14">
      <c r="B724" t="str">
        <f>IFERROR(VLOOKUP(A724,管理亚马逊库存!A:K,11,0),"")</f>
        <v/>
      </c>
      <c r="C724" t="str">
        <f>IFERROR(VLOOKUP(A724,管理亚马逊库存!A:L,12,0),"")</f>
        <v/>
      </c>
      <c r="D724" t="str">
        <f>IFERROR(VLOOKUP(A724,管理亚马逊库存!A:Q,17,0),"")</f>
        <v/>
      </c>
      <c r="E724" t="str">
        <f>IFERROR(VLOOKUP(A724,管理亚马逊库存!A:R,18,0),"")</f>
        <v/>
      </c>
      <c r="F724">
        <f t="shared" si="25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6"/>
        <v>0</v>
      </c>
    </row>
    <row r="725" spans="2:14">
      <c r="B725" t="str">
        <f>IFERROR(VLOOKUP(A725,管理亚马逊库存!A:K,11,0),"")</f>
        <v/>
      </c>
      <c r="C725" t="str">
        <f>IFERROR(VLOOKUP(A725,管理亚马逊库存!A:L,12,0),"")</f>
        <v/>
      </c>
      <c r="D725" t="str">
        <f>IFERROR(VLOOKUP(A725,管理亚马逊库存!A:Q,17,0),"")</f>
        <v/>
      </c>
      <c r="E725" t="str">
        <f>IFERROR(VLOOKUP(A725,管理亚马逊库存!A:R,18,0),"")</f>
        <v/>
      </c>
      <c r="F725">
        <f t="shared" si="25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6"/>
        <v>0</v>
      </c>
    </row>
    <row r="726" spans="2:14">
      <c r="B726" t="str">
        <f>IFERROR(VLOOKUP(A726,管理亚马逊库存!A:K,11,0),"")</f>
        <v/>
      </c>
      <c r="C726" t="str">
        <f>IFERROR(VLOOKUP(A726,管理亚马逊库存!A:L,12,0),"")</f>
        <v/>
      </c>
      <c r="D726" t="str">
        <f>IFERROR(VLOOKUP(A726,管理亚马逊库存!A:Q,17,0),"")</f>
        <v/>
      </c>
      <c r="E726" t="str">
        <f>IFERROR(VLOOKUP(A726,管理亚马逊库存!A:R,18,0),"")</f>
        <v/>
      </c>
      <c r="F726">
        <f t="shared" si="25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6"/>
        <v>0</v>
      </c>
    </row>
    <row r="727" spans="2:14">
      <c r="B727" t="str">
        <f>IFERROR(VLOOKUP(A727,管理亚马逊库存!A:K,11,0),"")</f>
        <v/>
      </c>
      <c r="C727" t="str">
        <f>IFERROR(VLOOKUP(A727,管理亚马逊库存!A:L,12,0),"")</f>
        <v/>
      </c>
      <c r="D727" t="str">
        <f>IFERROR(VLOOKUP(A727,管理亚马逊库存!A:Q,17,0),"")</f>
        <v/>
      </c>
      <c r="E727" t="str">
        <f>IFERROR(VLOOKUP(A727,管理亚马逊库存!A:R,18,0),"")</f>
        <v/>
      </c>
      <c r="F727">
        <f t="shared" si="25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6"/>
        <v>0</v>
      </c>
    </row>
    <row r="728" spans="2:14">
      <c r="B728" t="str">
        <f>IFERROR(VLOOKUP(A728,管理亚马逊库存!A:K,11,0),"")</f>
        <v/>
      </c>
      <c r="C728" t="str">
        <f>IFERROR(VLOOKUP(A728,管理亚马逊库存!A:L,12,0),"")</f>
        <v/>
      </c>
      <c r="D728" t="str">
        <f>IFERROR(VLOOKUP(A728,管理亚马逊库存!A:Q,17,0),"")</f>
        <v/>
      </c>
      <c r="E728" t="str">
        <f>IFERROR(VLOOKUP(A728,管理亚马逊库存!A:R,18,0),"")</f>
        <v/>
      </c>
      <c r="F728">
        <f t="shared" si="25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6"/>
        <v>0</v>
      </c>
    </row>
    <row r="729" spans="2:14">
      <c r="B729" t="str">
        <f>IFERROR(VLOOKUP(A729,管理亚马逊库存!A:K,11,0),"")</f>
        <v/>
      </c>
      <c r="C729" t="str">
        <f>IFERROR(VLOOKUP(A729,管理亚马逊库存!A:L,12,0),"")</f>
        <v/>
      </c>
      <c r="D729" t="str">
        <f>IFERROR(VLOOKUP(A729,管理亚马逊库存!A:Q,17,0),"")</f>
        <v/>
      </c>
      <c r="E729" t="str">
        <f>IFERROR(VLOOKUP(A729,管理亚马逊库存!A:R,18,0),"")</f>
        <v/>
      </c>
      <c r="F729">
        <f t="shared" si="25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6"/>
        <v>0</v>
      </c>
    </row>
    <row r="730" spans="2:14">
      <c r="B730" t="str">
        <f>IFERROR(VLOOKUP(A730,管理亚马逊库存!A:K,11,0),"")</f>
        <v/>
      </c>
      <c r="C730" t="str">
        <f>IFERROR(VLOOKUP(A730,管理亚马逊库存!A:L,12,0),"")</f>
        <v/>
      </c>
      <c r="D730" t="str">
        <f>IFERROR(VLOOKUP(A730,管理亚马逊库存!A:Q,17,0),"")</f>
        <v/>
      </c>
      <c r="E730" t="str">
        <f>IFERROR(VLOOKUP(A730,管理亚马逊库存!A:R,18,0),"")</f>
        <v/>
      </c>
      <c r="F730">
        <f t="shared" si="25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6"/>
        <v>0</v>
      </c>
    </row>
    <row r="731" spans="2:14">
      <c r="B731" t="str">
        <f>IFERROR(VLOOKUP(A731,管理亚马逊库存!A:K,11,0),"")</f>
        <v/>
      </c>
      <c r="C731" t="str">
        <f>IFERROR(VLOOKUP(A731,管理亚马逊库存!A:L,12,0),"")</f>
        <v/>
      </c>
      <c r="D731" t="str">
        <f>IFERROR(VLOOKUP(A731,管理亚马逊库存!A:Q,17,0),"")</f>
        <v/>
      </c>
      <c r="E731" t="str">
        <f>IFERROR(VLOOKUP(A731,管理亚马逊库存!A:R,18,0),"")</f>
        <v/>
      </c>
      <c r="F731">
        <f t="shared" si="25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6"/>
        <v>0</v>
      </c>
    </row>
    <row r="732" spans="2:14">
      <c r="B732" t="str">
        <f>IFERROR(VLOOKUP(A732,管理亚马逊库存!A:K,11,0),"")</f>
        <v/>
      </c>
      <c r="C732" t="str">
        <f>IFERROR(VLOOKUP(A732,管理亚马逊库存!A:L,12,0),"")</f>
        <v/>
      </c>
      <c r="D732" t="str">
        <f>IFERROR(VLOOKUP(A732,管理亚马逊库存!A:Q,17,0),"")</f>
        <v/>
      </c>
      <c r="E732" t="str">
        <f>IFERROR(VLOOKUP(A732,管理亚马逊库存!A:R,18,0),"")</f>
        <v/>
      </c>
      <c r="F732">
        <f t="shared" si="25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6"/>
        <v>0</v>
      </c>
    </row>
    <row r="733" spans="2:14">
      <c r="B733" t="str">
        <f>IFERROR(VLOOKUP(A733,管理亚马逊库存!A:K,11,0),"")</f>
        <v/>
      </c>
      <c r="C733" t="str">
        <f>IFERROR(VLOOKUP(A733,管理亚马逊库存!A:L,12,0),"")</f>
        <v/>
      </c>
      <c r="D733" t="str">
        <f>IFERROR(VLOOKUP(A733,管理亚马逊库存!A:Q,17,0),"")</f>
        <v/>
      </c>
      <c r="E733" t="str">
        <f>IFERROR(VLOOKUP(A733,管理亚马逊库存!A:R,18,0),"")</f>
        <v/>
      </c>
      <c r="F733">
        <f t="shared" si="25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6"/>
        <v>0</v>
      </c>
    </row>
    <row r="734" spans="2:14">
      <c r="B734" t="str">
        <f>IFERROR(VLOOKUP(A734,管理亚马逊库存!A:K,11,0),"")</f>
        <v/>
      </c>
      <c r="C734" t="str">
        <f>IFERROR(VLOOKUP(A734,管理亚马逊库存!A:L,12,0),"")</f>
        <v/>
      </c>
      <c r="D734" t="str">
        <f>IFERROR(VLOOKUP(A734,管理亚马逊库存!A:Q,17,0),"")</f>
        <v/>
      </c>
      <c r="E734" t="str">
        <f>IFERROR(VLOOKUP(A734,管理亚马逊库存!A:R,18,0),"")</f>
        <v/>
      </c>
      <c r="F734">
        <f t="shared" si="25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6"/>
        <v>0</v>
      </c>
    </row>
    <row r="735" spans="2:14">
      <c r="B735" t="str">
        <f>IFERROR(VLOOKUP(A735,管理亚马逊库存!A:K,11,0),"")</f>
        <v/>
      </c>
      <c r="C735" t="str">
        <f>IFERROR(VLOOKUP(A735,管理亚马逊库存!A:L,12,0),"")</f>
        <v/>
      </c>
      <c r="D735" t="str">
        <f>IFERROR(VLOOKUP(A735,管理亚马逊库存!A:Q,17,0),"")</f>
        <v/>
      </c>
      <c r="E735" t="str">
        <f>IFERROR(VLOOKUP(A735,管理亚马逊库存!A:R,18,0),"")</f>
        <v/>
      </c>
      <c r="F735">
        <f t="shared" si="25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6"/>
        <v>0</v>
      </c>
    </row>
    <row r="736" spans="2:14">
      <c r="B736" t="str">
        <f>IFERROR(VLOOKUP(A736,管理亚马逊库存!A:K,11,0),"")</f>
        <v/>
      </c>
      <c r="C736" t="str">
        <f>IFERROR(VLOOKUP(A736,管理亚马逊库存!A:L,12,0),"")</f>
        <v/>
      </c>
      <c r="D736" t="str">
        <f>IFERROR(VLOOKUP(A736,管理亚马逊库存!A:Q,17,0),"")</f>
        <v/>
      </c>
      <c r="E736" t="str">
        <f>IFERROR(VLOOKUP(A736,管理亚马逊库存!A:R,18,0),"")</f>
        <v/>
      </c>
      <c r="F736">
        <f t="shared" si="25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6"/>
        <v>0</v>
      </c>
    </row>
    <row r="737" spans="2:14">
      <c r="B737" t="str">
        <f>IFERROR(VLOOKUP(A737,管理亚马逊库存!A:K,11,0),"")</f>
        <v/>
      </c>
      <c r="C737" t="str">
        <f>IFERROR(VLOOKUP(A737,管理亚马逊库存!A:L,12,0),"")</f>
        <v/>
      </c>
      <c r="D737" t="str">
        <f>IFERROR(VLOOKUP(A737,管理亚马逊库存!A:Q,17,0),"")</f>
        <v/>
      </c>
      <c r="E737" t="str">
        <f>IFERROR(VLOOKUP(A737,管理亚马逊库存!A:R,18,0),"")</f>
        <v/>
      </c>
      <c r="F737">
        <f t="shared" si="25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6"/>
        <v>0</v>
      </c>
    </row>
    <row r="738" spans="2:14">
      <c r="B738" t="str">
        <f>IFERROR(VLOOKUP(A738,管理亚马逊库存!A:K,11,0),"")</f>
        <v/>
      </c>
      <c r="C738" t="str">
        <f>IFERROR(VLOOKUP(A738,管理亚马逊库存!A:L,12,0),"")</f>
        <v/>
      </c>
      <c r="D738" t="str">
        <f>IFERROR(VLOOKUP(A738,管理亚马逊库存!A:Q,17,0),"")</f>
        <v/>
      </c>
      <c r="E738" t="str">
        <f>IFERROR(VLOOKUP(A738,管理亚马逊库存!A:R,18,0),"")</f>
        <v/>
      </c>
      <c r="F738">
        <f t="shared" si="25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6"/>
        <v>0</v>
      </c>
    </row>
    <row r="739" spans="2:14">
      <c r="B739" t="str">
        <f>IFERROR(VLOOKUP(A739,管理亚马逊库存!A:K,11,0),"")</f>
        <v/>
      </c>
      <c r="C739" t="str">
        <f>IFERROR(VLOOKUP(A739,管理亚马逊库存!A:L,12,0),"")</f>
        <v/>
      </c>
      <c r="D739" t="str">
        <f>IFERROR(VLOOKUP(A739,管理亚马逊库存!A:Q,17,0),"")</f>
        <v/>
      </c>
      <c r="E739" t="str">
        <f>IFERROR(VLOOKUP(A739,管理亚马逊库存!A:R,18,0),"")</f>
        <v/>
      </c>
      <c r="F739">
        <f t="shared" si="25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6"/>
        <v>0</v>
      </c>
    </row>
    <row r="740" spans="2:14">
      <c r="B740" t="str">
        <f>IFERROR(VLOOKUP(A740,管理亚马逊库存!A:K,11,0),"")</f>
        <v/>
      </c>
      <c r="C740" t="str">
        <f>IFERROR(VLOOKUP(A740,管理亚马逊库存!A:L,12,0),"")</f>
        <v/>
      </c>
      <c r="D740" t="str">
        <f>IFERROR(VLOOKUP(A740,管理亚马逊库存!A:Q,17,0),"")</f>
        <v/>
      </c>
      <c r="E740" t="str">
        <f>IFERROR(VLOOKUP(A740,管理亚马逊库存!A:R,18,0),"")</f>
        <v/>
      </c>
      <c r="F740">
        <f t="shared" si="25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6"/>
        <v>0</v>
      </c>
    </row>
    <row r="741" spans="2:14">
      <c r="B741" t="str">
        <f>IFERROR(VLOOKUP(A741,管理亚马逊库存!A:K,11,0),"")</f>
        <v/>
      </c>
      <c r="C741" t="str">
        <f>IFERROR(VLOOKUP(A741,管理亚马逊库存!A:L,12,0),"")</f>
        <v/>
      </c>
      <c r="D741" t="str">
        <f>IFERROR(VLOOKUP(A741,管理亚马逊库存!A:Q,17,0),"")</f>
        <v/>
      </c>
      <c r="E741" t="str">
        <f>IFERROR(VLOOKUP(A741,管理亚马逊库存!A:R,18,0),"")</f>
        <v/>
      </c>
      <c r="F741">
        <f t="shared" si="25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6"/>
        <v>0</v>
      </c>
    </row>
    <row r="742" spans="2:14">
      <c r="B742" t="str">
        <f>IFERROR(VLOOKUP(A742,管理亚马逊库存!A:K,11,0),"")</f>
        <v/>
      </c>
      <c r="C742" t="str">
        <f>IFERROR(VLOOKUP(A742,管理亚马逊库存!A:L,12,0),"")</f>
        <v/>
      </c>
      <c r="D742" t="str">
        <f>IFERROR(VLOOKUP(A742,管理亚马逊库存!A:Q,17,0),"")</f>
        <v/>
      </c>
      <c r="E742" t="str">
        <f>IFERROR(VLOOKUP(A742,管理亚马逊库存!A:R,18,0),"")</f>
        <v/>
      </c>
      <c r="F742">
        <f t="shared" si="25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6"/>
        <v>0</v>
      </c>
    </row>
    <row r="743" spans="2:14">
      <c r="B743" t="str">
        <f>IFERROR(VLOOKUP(A743,管理亚马逊库存!A:K,11,0),"")</f>
        <v/>
      </c>
      <c r="C743" t="str">
        <f>IFERROR(VLOOKUP(A743,管理亚马逊库存!A:L,12,0),"")</f>
        <v/>
      </c>
      <c r="D743" t="str">
        <f>IFERROR(VLOOKUP(A743,管理亚马逊库存!A:Q,17,0),"")</f>
        <v/>
      </c>
      <c r="E743" t="str">
        <f>IFERROR(VLOOKUP(A743,管理亚马逊库存!A:R,18,0),"")</f>
        <v/>
      </c>
      <c r="F743">
        <f t="shared" si="25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6"/>
        <v>0</v>
      </c>
    </row>
    <row r="744" spans="2:14">
      <c r="B744" t="str">
        <f>IFERROR(VLOOKUP(A744,管理亚马逊库存!A:K,11,0),"")</f>
        <v/>
      </c>
      <c r="C744" t="str">
        <f>IFERROR(VLOOKUP(A744,管理亚马逊库存!A:L,12,0),"")</f>
        <v/>
      </c>
      <c r="D744" t="str">
        <f>IFERROR(VLOOKUP(A744,管理亚马逊库存!A:Q,17,0),"")</f>
        <v/>
      </c>
      <c r="E744" t="str">
        <f>IFERROR(VLOOKUP(A744,管理亚马逊库存!A:R,18,0),"")</f>
        <v/>
      </c>
      <c r="F744">
        <f t="shared" si="25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6"/>
        <v>0</v>
      </c>
    </row>
    <row r="745" spans="2:14">
      <c r="B745" t="str">
        <f>IFERROR(VLOOKUP(A745,管理亚马逊库存!A:K,11,0),"")</f>
        <v/>
      </c>
      <c r="C745" t="str">
        <f>IFERROR(VLOOKUP(A745,管理亚马逊库存!A:L,12,0),"")</f>
        <v/>
      </c>
      <c r="D745" t="str">
        <f>IFERROR(VLOOKUP(A745,管理亚马逊库存!A:Q,17,0),"")</f>
        <v/>
      </c>
      <c r="E745" t="str">
        <f>IFERROR(VLOOKUP(A745,管理亚马逊库存!A:R,18,0),"")</f>
        <v/>
      </c>
      <c r="F745">
        <f t="shared" si="25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6"/>
        <v>0</v>
      </c>
    </row>
    <row r="746" spans="2:14">
      <c r="B746" t="str">
        <f>IFERROR(VLOOKUP(A746,管理亚马逊库存!A:K,11,0),"")</f>
        <v/>
      </c>
      <c r="C746" t="str">
        <f>IFERROR(VLOOKUP(A746,管理亚马逊库存!A:L,12,0),"")</f>
        <v/>
      </c>
      <c r="D746" t="str">
        <f>IFERROR(VLOOKUP(A746,管理亚马逊库存!A:Q,17,0),"")</f>
        <v/>
      </c>
      <c r="E746" t="str">
        <f>IFERROR(VLOOKUP(A746,管理亚马逊库存!A:R,18,0),"")</f>
        <v/>
      </c>
      <c r="F746">
        <f t="shared" si="25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6"/>
        <v>0</v>
      </c>
    </row>
    <row r="747" spans="2:14">
      <c r="B747" t="str">
        <f>IFERROR(VLOOKUP(A747,管理亚马逊库存!A:K,11,0),"")</f>
        <v/>
      </c>
      <c r="C747" t="str">
        <f>IFERROR(VLOOKUP(A747,管理亚马逊库存!A:L,12,0),"")</f>
        <v/>
      </c>
      <c r="D747" t="str">
        <f>IFERROR(VLOOKUP(A747,管理亚马逊库存!A:Q,17,0),"")</f>
        <v/>
      </c>
      <c r="E747" t="str">
        <f>IFERROR(VLOOKUP(A747,管理亚马逊库存!A:R,18,0),"")</f>
        <v/>
      </c>
      <c r="F747">
        <f t="shared" si="25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6"/>
        <v>0</v>
      </c>
    </row>
    <row r="748" spans="2:14">
      <c r="B748" t="str">
        <f>IFERROR(VLOOKUP(A748,管理亚马逊库存!A:K,11,0),"")</f>
        <v/>
      </c>
      <c r="C748" t="str">
        <f>IFERROR(VLOOKUP(A748,管理亚马逊库存!A:L,12,0),"")</f>
        <v/>
      </c>
      <c r="D748" t="str">
        <f>IFERROR(VLOOKUP(A748,管理亚马逊库存!A:Q,17,0),"")</f>
        <v/>
      </c>
      <c r="E748" t="str">
        <f>IFERROR(VLOOKUP(A748,管理亚马逊库存!A:R,18,0),"")</f>
        <v/>
      </c>
      <c r="F748">
        <f t="shared" si="25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6"/>
        <v>0</v>
      </c>
    </row>
    <row r="749" spans="2:14">
      <c r="B749" t="str">
        <f>IFERROR(VLOOKUP(A749,管理亚马逊库存!A:K,11,0),"")</f>
        <v/>
      </c>
      <c r="C749" t="str">
        <f>IFERROR(VLOOKUP(A749,管理亚马逊库存!A:L,12,0),"")</f>
        <v/>
      </c>
      <c r="D749" t="str">
        <f>IFERROR(VLOOKUP(A749,管理亚马逊库存!A:Q,17,0),"")</f>
        <v/>
      </c>
      <c r="E749" t="str">
        <f>IFERROR(VLOOKUP(A749,管理亚马逊库存!A:R,18,0),"")</f>
        <v/>
      </c>
      <c r="F749">
        <f t="shared" si="25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6"/>
        <v>0</v>
      </c>
    </row>
    <row r="750" spans="2:14">
      <c r="B750" t="str">
        <f>IFERROR(VLOOKUP(A750,管理亚马逊库存!A:K,11,0),"")</f>
        <v/>
      </c>
      <c r="C750" t="str">
        <f>IFERROR(VLOOKUP(A750,管理亚马逊库存!A:L,12,0),"")</f>
        <v/>
      </c>
      <c r="D750" t="str">
        <f>IFERROR(VLOOKUP(A750,管理亚马逊库存!A:Q,17,0),"")</f>
        <v/>
      </c>
      <c r="E750" t="str">
        <f>IFERROR(VLOOKUP(A750,管理亚马逊库存!A:R,18,0),"")</f>
        <v/>
      </c>
      <c r="F750">
        <f t="shared" si="25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6"/>
        <v>0</v>
      </c>
    </row>
    <row r="751" spans="2:14">
      <c r="B751" t="str">
        <f>IFERROR(VLOOKUP(A751,管理亚马逊库存!A:K,11,0),"")</f>
        <v/>
      </c>
      <c r="C751" t="str">
        <f>IFERROR(VLOOKUP(A751,管理亚马逊库存!A:L,12,0),"")</f>
        <v/>
      </c>
      <c r="D751" t="str">
        <f>IFERROR(VLOOKUP(A751,管理亚马逊库存!A:Q,17,0),"")</f>
        <v/>
      </c>
      <c r="E751" t="str">
        <f>IFERROR(VLOOKUP(A751,管理亚马逊库存!A:R,18,0),"")</f>
        <v/>
      </c>
      <c r="F751">
        <f t="shared" si="25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6"/>
        <v>0</v>
      </c>
    </row>
    <row r="752" spans="2:14">
      <c r="B752" t="str">
        <f>IFERROR(VLOOKUP(A752,管理亚马逊库存!A:K,11,0),"")</f>
        <v/>
      </c>
      <c r="C752" t="str">
        <f>IFERROR(VLOOKUP(A752,管理亚马逊库存!A:L,12,0),"")</f>
        <v/>
      </c>
      <c r="D752" t="str">
        <f>IFERROR(VLOOKUP(A752,管理亚马逊库存!A:Q,17,0),"")</f>
        <v/>
      </c>
      <c r="E752" t="str">
        <f>IFERROR(VLOOKUP(A752,管理亚马逊库存!A:R,18,0),"")</f>
        <v/>
      </c>
      <c r="F752">
        <f t="shared" si="25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6"/>
        <v>0</v>
      </c>
    </row>
    <row r="753" spans="2:14">
      <c r="B753" t="str">
        <f>IFERROR(VLOOKUP(A753,管理亚马逊库存!A:K,11,0),"")</f>
        <v/>
      </c>
      <c r="C753" t="str">
        <f>IFERROR(VLOOKUP(A753,管理亚马逊库存!A:L,12,0),"")</f>
        <v/>
      </c>
      <c r="D753" t="str">
        <f>IFERROR(VLOOKUP(A753,管理亚马逊库存!A:Q,17,0),"")</f>
        <v/>
      </c>
      <c r="E753" t="str">
        <f>IFERROR(VLOOKUP(A753,管理亚马逊库存!A:R,18,0),"")</f>
        <v/>
      </c>
      <c r="F753">
        <f t="shared" si="25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6"/>
        <v>0</v>
      </c>
    </row>
    <row r="754" spans="2:14">
      <c r="B754" t="str">
        <f>IFERROR(VLOOKUP(A754,管理亚马逊库存!A:K,11,0),"")</f>
        <v/>
      </c>
      <c r="C754" t="str">
        <f>IFERROR(VLOOKUP(A754,管理亚马逊库存!A:L,12,0),"")</f>
        <v/>
      </c>
      <c r="D754" t="str">
        <f>IFERROR(VLOOKUP(A754,管理亚马逊库存!A:Q,17,0),"")</f>
        <v/>
      </c>
      <c r="E754" t="str">
        <f>IFERROR(VLOOKUP(A754,管理亚马逊库存!A:R,18,0),"")</f>
        <v/>
      </c>
      <c r="F754">
        <f t="shared" si="25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6"/>
        <v>0</v>
      </c>
    </row>
    <row r="755" spans="2:14">
      <c r="B755" t="str">
        <f>IFERROR(VLOOKUP(A755,管理亚马逊库存!A:K,11,0),"")</f>
        <v/>
      </c>
      <c r="C755" t="str">
        <f>IFERROR(VLOOKUP(A755,管理亚马逊库存!A:L,12,0),"")</f>
        <v/>
      </c>
      <c r="D755" t="str">
        <f>IFERROR(VLOOKUP(A755,管理亚马逊库存!A:Q,17,0),"")</f>
        <v/>
      </c>
      <c r="E755" t="str">
        <f>IFERROR(VLOOKUP(A755,管理亚马逊库存!A:R,18,0),"")</f>
        <v/>
      </c>
      <c r="F755">
        <f t="shared" si="25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6"/>
        <v>0</v>
      </c>
    </row>
    <row r="756" spans="2:14">
      <c r="B756" t="str">
        <f>IFERROR(VLOOKUP(A756,管理亚马逊库存!A:K,11,0),"")</f>
        <v/>
      </c>
      <c r="C756" t="str">
        <f>IFERROR(VLOOKUP(A756,管理亚马逊库存!A:L,12,0),"")</f>
        <v/>
      </c>
      <c r="D756" t="str">
        <f>IFERROR(VLOOKUP(A756,管理亚马逊库存!A:Q,17,0),"")</f>
        <v/>
      </c>
      <c r="E756" t="str">
        <f>IFERROR(VLOOKUP(A756,管理亚马逊库存!A:R,18,0),"")</f>
        <v/>
      </c>
      <c r="F756">
        <f t="shared" si="25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6"/>
        <v>0</v>
      </c>
    </row>
    <row r="757" spans="2:14">
      <c r="B757" t="str">
        <f>IFERROR(VLOOKUP(A757,管理亚马逊库存!A:K,11,0),"")</f>
        <v/>
      </c>
      <c r="C757" t="str">
        <f>IFERROR(VLOOKUP(A757,管理亚马逊库存!A:L,12,0),"")</f>
        <v/>
      </c>
      <c r="D757" t="str">
        <f>IFERROR(VLOOKUP(A757,管理亚马逊库存!A:Q,17,0),"")</f>
        <v/>
      </c>
      <c r="E757" t="str">
        <f>IFERROR(VLOOKUP(A757,管理亚马逊库存!A:R,18,0),"")</f>
        <v/>
      </c>
      <c r="F757">
        <f t="shared" si="25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6"/>
        <v>0</v>
      </c>
    </row>
    <row r="758" spans="2:14">
      <c r="B758" t="str">
        <f>IFERROR(VLOOKUP(A758,管理亚马逊库存!A:K,11,0),"")</f>
        <v/>
      </c>
      <c r="C758" t="str">
        <f>IFERROR(VLOOKUP(A758,管理亚马逊库存!A:L,12,0),"")</f>
        <v/>
      </c>
      <c r="D758" t="str">
        <f>IFERROR(VLOOKUP(A758,管理亚马逊库存!A:Q,17,0),"")</f>
        <v/>
      </c>
      <c r="E758" t="str">
        <f>IFERROR(VLOOKUP(A758,管理亚马逊库存!A:R,18,0),"")</f>
        <v/>
      </c>
      <c r="F758">
        <f t="shared" si="25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6"/>
        <v>0</v>
      </c>
    </row>
    <row r="759" spans="2:14">
      <c r="B759" t="str">
        <f>IFERROR(VLOOKUP(A759,管理亚马逊库存!A:K,11,0),"")</f>
        <v/>
      </c>
      <c r="C759" t="str">
        <f>IFERROR(VLOOKUP(A759,管理亚马逊库存!A:L,12,0),"")</f>
        <v/>
      </c>
      <c r="D759" t="str">
        <f>IFERROR(VLOOKUP(A759,管理亚马逊库存!A:Q,17,0),"")</f>
        <v/>
      </c>
      <c r="E759" t="str">
        <f>IFERROR(VLOOKUP(A759,管理亚马逊库存!A:R,18,0),"")</f>
        <v/>
      </c>
      <c r="F759">
        <f t="shared" si="25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6"/>
        <v>0</v>
      </c>
    </row>
    <row r="760" spans="2:14">
      <c r="B760" t="str">
        <f>IFERROR(VLOOKUP(A760,管理亚马逊库存!A:K,11,0),"")</f>
        <v/>
      </c>
      <c r="C760" t="str">
        <f>IFERROR(VLOOKUP(A760,管理亚马逊库存!A:L,12,0),"")</f>
        <v/>
      </c>
      <c r="D760" t="str">
        <f>IFERROR(VLOOKUP(A760,管理亚马逊库存!A:Q,17,0),"")</f>
        <v/>
      </c>
      <c r="E760" t="str">
        <f>IFERROR(VLOOKUP(A760,管理亚马逊库存!A:R,18,0),"")</f>
        <v/>
      </c>
      <c r="F760">
        <f t="shared" si="25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6"/>
        <v>0</v>
      </c>
    </row>
    <row r="761" spans="2:14">
      <c r="B761" t="str">
        <f>IFERROR(VLOOKUP(A761,管理亚马逊库存!A:K,11,0),"")</f>
        <v/>
      </c>
      <c r="C761" t="str">
        <f>IFERROR(VLOOKUP(A761,管理亚马逊库存!A:L,12,0),"")</f>
        <v/>
      </c>
      <c r="D761" t="str">
        <f>IFERROR(VLOOKUP(A761,管理亚马逊库存!A:Q,17,0),"")</f>
        <v/>
      </c>
      <c r="E761" t="str">
        <f>IFERROR(VLOOKUP(A761,管理亚马逊库存!A:R,18,0),"")</f>
        <v/>
      </c>
      <c r="F761">
        <f t="shared" si="25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6"/>
        <v>0</v>
      </c>
    </row>
    <row r="762" spans="2:14">
      <c r="B762" t="str">
        <f>IFERROR(VLOOKUP(A762,管理亚马逊库存!A:K,11,0),"")</f>
        <v/>
      </c>
      <c r="C762" t="str">
        <f>IFERROR(VLOOKUP(A762,管理亚马逊库存!A:L,12,0),"")</f>
        <v/>
      </c>
      <c r="D762" t="str">
        <f>IFERROR(VLOOKUP(A762,管理亚马逊库存!A:Q,17,0),"")</f>
        <v/>
      </c>
      <c r="E762" t="str">
        <f>IFERROR(VLOOKUP(A762,管理亚马逊库存!A:R,18,0),"")</f>
        <v/>
      </c>
      <c r="F762">
        <f t="shared" si="25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6"/>
        <v>0</v>
      </c>
    </row>
    <row r="763" spans="2:14">
      <c r="B763" t="str">
        <f>IFERROR(VLOOKUP(A763,管理亚马逊库存!A:K,11,0),"")</f>
        <v/>
      </c>
      <c r="C763" t="str">
        <f>IFERROR(VLOOKUP(A763,管理亚马逊库存!A:L,12,0),"")</f>
        <v/>
      </c>
      <c r="D763" t="str">
        <f>IFERROR(VLOOKUP(A763,管理亚马逊库存!A:Q,17,0),"")</f>
        <v/>
      </c>
      <c r="E763" t="str">
        <f>IFERROR(VLOOKUP(A763,管理亚马逊库存!A:R,18,0),"")</f>
        <v/>
      </c>
      <c r="F763">
        <f t="shared" si="25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6"/>
        <v>0</v>
      </c>
    </row>
    <row r="764" spans="2:14">
      <c r="B764" t="str">
        <f>IFERROR(VLOOKUP(A764,管理亚马逊库存!A:K,11,0),"")</f>
        <v/>
      </c>
      <c r="C764" t="str">
        <f>IFERROR(VLOOKUP(A764,管理亚马逊库存!A:L,12,0),"")</f>
        <v/>
      </c>
      <c r="D764" t="str">
        <f>IFERROR(VLOOKUP(A764,管理亚马逊库存!A:Q,17,0),"")</f>
        <v/>
      </c>
      <c r="E764" t="str">
        <f>IFERROR(VLOOKUP(A764,管理亚马逊库存!A:R,18,0),"")</f>
        <v/>
      </c>
      <c r="F764">
        <f t="shared" si="25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6"/>
        <v>0</v>
      </c>
    </row>
    <row r="765" spans="2:14">
      <c r="B765" t="str">
        <f>IFERROR(VLOOKUP(A765,管理亚马逊库存!A:K,11,0),"")</f>
        <v/>
      </c>
      <c r="C765" t="str">
        <f>IFERROR(VLOOKUP(A765,管理亚马逊库存!A:L,12,0),"")</f>
        <v/>
      </c>
      <c r="D765" t="str">
        <f>IFERROR(VLOOKUP(A765,管理亚马逊库存!A:Q,17,0),"")</f>
        <v/>
      </c>
      <c r="E765" t="str">
        <f>IFERROR(VLOOKUP(A765,管理亚马逊库存!A:R,18,0),"")</f>
        <v/>
      </c>
      <c r="F765">
        <f t="shared" si="25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6"/>
        <v>0</v>
      </c>
    </row>
    <row r="766" spans="1:14">
      <c r="A766" s="4"/>
      <c r="B766" t="str">
        <f>IFERROR(VLOOKUP(A766,管理亚马逊库存!A:K,11,0),"")</f>
        <v/>
      </c>
      <c r="C766" t="str">
        <f>IFERROR(VLOOKUP(A766,管理亚马逊库存!A:L,12,0),"")</f>
        <v/>
      </c>
      <c r="D766" t="str">
        <f>IFERROR(VLOOKUP(A766,管理亚马逊库存!A:Q,17,0),"")</f>
        <v/>
      </c>
      <c r="E766" t="str">
        <f>IFERROR(VLOOKUP(A766,管理亚马逊库存!A:R,18,0),"")</f>
        <v/>
      </c>
      <c r="F766">
        <f t="shared" si="25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6"/>
        <v>0</v>
      </c>
    </row>
    <row r="767" spans="1:14">
      <c r="A767" s="4"/>
      <c r="B767" t="str">
        <f>IFERROR(VLOOKUP(A767,管理亚马逊库存!A:K,11,0),"")</f>
        <v/>
      </c>
      <c r="C767" t="str">
        <f>IFERROR(VLOOKUP(A767,管理亚马逊库存!A:L,12,0),"")</f>
        <v/>
      </c>
      <c r="D767" t="str">
        <f>IFERROR(VLOOKUP(A767,管理亚马逊库存!A:Q,17,0),"")</f>
        <v/>
      </c>
      <c r="E767" t="str">
        <f>IFERROR(VLOOKUP(A767,管理亚马逊库存!A:R,18,0),"")</f>
        <v/>
      </c>
      <c r="F767">
        <f t="shared" si="25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6"/>
        <v>0</v>
      </c>
    </row>
    <row r="768" spans="1:14">
      <c r="A768" s="4"/>
      <c r="B768" t="str">
        <f>IFERROR(VLOOKUP(A768,管理亚马逊库存!A:K,11,0),"")</f>
        <v/>
      </c>
      <c r="C768" t="str">
        <f>IFERROR(VLOOKUP(A768,管理亚马逊库存!A:L,12,0),"")</f>
        <v/>
      </c>
      <c r="D768" t="str">
        <f>IFERROR(VLOOKUP(A768,管理亚马逊库存!A:Q,17,0),"")</f>
        <v/>
      </c>
      <c r="E768" t="str">
        <f>IFERROR(VLOOKUP(A768,管理亚马逊库存!A:R,18,0),"")</f>
        <v/>
      </c>
      <c r="F768">
        <f t="shared" si="25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6"/>
        <v>0</v>
      </c>
    </row>
    <row r="769" spans="1:14">
      <c r="A769" s="4"/>
      <c r="B769" t="str">
        <f>IFERROR(VLOOKUP(A769,管理亚马逊库存!A:K,11,0),"")</f>
        <v/>
      </c>
      <c r="C769" t="str">
        <f>IFERROR(VLOOKUP(A769,管理亚马逊库存!A:L,12,0),"")</f>
        <v/>
      </c>
      <c r="D769" t="str">
        <f>IFERROR(VLOOKUP(A769,管理亚马逊库存!A:Q,17,0),"")</f>
        <v/>
      </c>
      <c r="E769" t="str">
        <f>IFERROR(VLOOKUP(A769,管理亚马逊库存!A:R,18,0),"")</f>
        <v/>
      </c>
      <c r="F769">
        <f t="shared" si="25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6"/>
        <v>0</v>
      </c>
    </row>
    <row r="770" spans="1:14">
      <c r="A770" s="4"/>
      <c r="B770" t="str">
        <f>IFERROR(VLOOKUP(A770,管理亚马逊库存!A:K,11,0),"")</f>
        <v/>
      </c>
      <c r="C770" t="str">
        <f>IFERROR(VLOOKUP(A770,管理亚马逊库存!A:L,12,0),"")</f>
        <v/>
      </c>
      <c r="D770" t="str">
        <f>IFERROR(VLOOKUP(A770,管理亚马逊库存!A:Q,17,0),"")</f>
        <v/>
      </c>
      <c r="E770" t="str">
        <f>IFERROR(VLOOKUP(A770,管理亚马逊库存!A:R,18,0),"")</f>
        <v/>
      </c>
      <c r="F770">
        <f t="shared" si="25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6"/>
        <v>0</v>
      </c>
    </row>
    <row r="771" spans="1:14">
      <c r="A771" s="4"/>
      <c r="B771" t="str">
        <f>IFERROR(VLOOKUP(A771,管理亚马逊库存!A:K,11,0),"")</f>
        <v/>
      </c>
      <c r="C771" t="str">
        <f>IFERROR(VLOOKUP(A771,管理亚马逊库存!A:L,12,0),"")</f>
        <v/>
      </c>
      <c r="D771" t="str">
        <f>IFERROR(VLOOKUP(A771,管理亚马逊库存!A:Q,17,0),"")</f>
        <v/>
      </c>
      <c r="E771" t="str">
        <f>IFERROR(VLOOKUP(A771,管理亚马逊库存!A:R,18,0),"")</f>
        <v/>
      </c>
      <c r="F771">
        <f t="shared" ref="F771:F834" si="27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8">SUM(J771:M771)</f>
        <v>0</v>
      </c>
    </row>
    <row r="772" spans="1:14">
      <c r="A772" s="4"/>
      <c r="B772" t="str">
        <f>IFERROR(VLOOKUP(A772,管理亚马逊库存!A:K,11,0),"")</f>
        <v/>
      </c>
      <c r="C772" t="str">
        <f>IFERROR(VLOOKUP(A772,管理亚马逊库存!A:L,12,0),"")</f>
        <v/>
      </c>
      <c r="D772" t="str">
        <f>IFERROR(VLOOKUP(A772,管理亚马逊库存!A:Q,17,0),"")</f>
        <v/>
      </c>
      <c r="E772" t="str">
        <f>IFERROR(VLOOKUP(A772,管理亚马逊库存!A:R,18,0),"")</f>
        <v/>
      </c>
      <c r="F772">
        <f t="shared" si="27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8"/>
        <v>0</v>
      </c>
    </row>
    <row r="773" spans="1:14">
      <c r="A773" s="4"/>
      <c r="B773" t="str">
        <f>IFERROR(VLOOKUP(A773,管理亚马逊库存!A:K,11,0),"")</f>
        <v/>
      </c>
      <c r="C773" t="str">
        <f>IFERROR(VLOOKUP(A773,管理亚马逊库存!A:L,12,0),"")</f>
        <v/>
      </c>
      <c r="D773" t="str">
        <f>IFERROR(VLOOKUP(A773,管理亚马逊库存!A:Q,17,0),"")</f>
        <v/>
      </c>
      <c r="E773" t="str">
        <f>IFERROR(VLOOKUP(A773,管理亚马逊库存!A:R,18,0),"")</f>
        <v/>
      </c>
      <c r="F773">
        <f t="shared" si="27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8"/>
        <v>0</v>
      </c>
    </row>
    <row r="774" spans="1:14">
      <c r="A774" s="4"/>
      <c r="B774" t="str">
        <f>IFERROR(VLOOKUP(A774,管理亚马逊库存!A:K,11,0),"")</f>
        <v/>
      </c>
      <c r="C774" t="str">
        <f>IFERROR(VLOOKUP(A774,管理亚马逊库存!A:L,12,0),"")</f>
        <v/>
      </c>
      <c r="D774" t="str">
        <f>IFERROR(VLOOKUP(A774,管理亚马逊库存!A:Q,17,0),"")</f>
        <v/>
      </c>
      <c r="E774" t="str">
        <f>IFERROR(VLOOKUP(A774,管理亚马逊库存!A:R,18,0),"")</f>
        <v/>
      </c>
      <c r="F774">
        <f t="shared" si="27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8"/>
        <v>0</v>
      </c>
    </row>
    <row r="775" spans="1:14">
      <c r="A775" s="4"/>
      <c r="B775" t="str">
        <f>IFERROR(VLOOKUP(A775,管理亚马逊库存!A:K,11,0),"")</f>
        <v/>
      </c>
      <c r="C775" t="str">
        <f>IFERROR(VLOOKUP(A775,管理亚马逊库存!A:L,12,0),"")</f>
        <v/>
      </c>
      <c r="D775" t="str">
        <f>IFERROR(VLOOKUP(A775,管理亚马逊库存!A:Q,17,0),"")</f>
        <v/>
      </c>
      <c r="E775" t="str">
        <f>IFERROR(VLOOKUP(A775,管理亚马逊库存!A:R,18,0),"")</f>
        <v/>
      </c>
      <c r="F775">
        <f t="shared" si="27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8"/>
        <v>0</v>
      </c>
    </row>
    <row r="776" spans="1:14">
      <c r="A776" s="4"/>
      <c r="B776" t="str">
        <f>IFERROR(VLOOKUP(A776,管理亚马逊库存!A:K,11,0),"")</f>
        <v/>
      </c>
      <c r="C776" t="str">
        <f>IFERROR(VLOOKUP(A776,管理亚马逊库存!A:L,12,0),"")</f>
        <v/>
      </c>
      <c r="D776" t="str">
        <f>IFERROR(VLOOKUP(A776,管理亚马逊库存!A:Q,17,0),"")</f>
        <v/>
      </c>
      <c r="E776" t="str">
        <f>IFERROR(VLOOKUP(A776,管理亚马逊库存!A:R,18,0),"")</f>
        <v/>
      </c>
      <c r="F776">
        <f t="shared" si="27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8"/>
        <v>0</v>
      </c>
    </row>
    <row r="777" spans="1:14">
      <c r="A777" s="4"/>
      <c r="B777" t="str">
        <f>IFERROR(VLOOKUP(A777,管理亚马逊库存!A:K,11,0),"")</f>
        <v/>
      </c>
      <c r="C777" t="str">
        <f>IFERROR(VLOOKUP(A777,管理亚马逊库存!A:L,12,0),"")</f>
        <v/>
      </c>
      <c r="D777" t="str">
        <f>IFERROR(VLOOKUP(A777,管理亚马逊库存!A:Q,17,0),"")</f>
        <v/>
      </c>
      <c r="E777" t="str">
        <f>IFERROR(VLOOKUP(A777,管理亚马逊库存!A:R,18,0),"")</f>
        <v/>
      </c>
      <c r="F777">
        <f t="shared" si="27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8"/>
        <v>0</v>
      </c>
    </row>
    <row r="778" spans="1:14">
      <c r="A778" s="4"/>
      <c r="B778" t="str">
        <f>IFERROR(VLOOKUP(A778,管理亚马逊库存!A:K,11,0),"")</f>
        <v/>
      </c>
      <c r="C778" t="str">
        <f>IFERROR(VLOOKUP(A778,管理亚马逊库存!A:L,12,0),"")</f>
        <v/>
      </c>
      <c r="D778" t="str">
        <f>IFERROR(VLOOKUP(A778,管理亚马逊库存!A:Q,17,0),"")</f>
        <v/>
      </c>
      <c r="E778" t="str">
        <f>IFERROR(VLOOKUP(A778,管理亚马逊库存!A:R,18,0),"")</f>
        <v/>
      </c>
      <c r="F778">
        <f t="shared" si="27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8"/>
        <v>0</v>
      </c>
    </row>
    <row r="779" spans="1:14">
      <c r="A779" s="4"/>
      <c r="B779" t="str">
        <f>IFERROR(VLOOKUP(A779,管理亚马逊库存!A:K,11,0),"")</f>
        <v/>
      </c>
      <c r="C779" t="str">
        <f>IFERROR(VLOOKUP(A779,管理亚马逊库存!A:L,12,0),"")</f>
        <v/>
      </c>
      <c r="D779" t="str">
        <f>IFERROR(VLOOKUP(A779,管理亚马逊库存!A:Q,17,0),"")</f>
        <v/>
      </c>
      <c r="E779" t="str">
        <f>IFERROR(VLOOKUP(A779,管理亚马逊库存!A:R,18,0),"")</f>
        <v/>
      </c>
      <c r="F779">
        <f t="shared" si="27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8"/>
        <v>0</v>
      </c>
    </row>
    <row r="780" spans="1:14">
      <c r="A780" s="4"/>
      <c r="B780" t="str">
        <f>IFERROR(VLOOKUP(A780,管理亚马逊库存!A:K,11,0),"")</f>
        <v/>
      </c>
      <c r="C780" t="str">
        <f>IFERROR(VLOOKUP(A780,管理亚马逊库存!A:L,12,0),"")</f>
        <v/>
      </c>
      <c r="D780" t="str">
        <f>IFERROR(VLOOKUP(A780,管理亚马逊库存!A:Q,17,0),"")</f>
        <v/>
      </c>
      <c r="E780" t="str">
        <f>IFERROR(VLOOKUP(A780,管理亚马逊库存!A:R,18,0),"")</f>
        <v/>
      </c>
      <c r="F780">
        <f t="shared" si="27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8"/>
        <v>0</v>
      </c>
    </row>
    <row r="781" spans="1:14">
      <c r="A781" s="4"/>
      <c r="B781" t="str">
        <f>IFERROR(VLOOKUP(A781,管理亚马逊库存!A:K,11,0),"")</f>
        <v/>
      </c>
      <c r="C781" t="str">
        <f>IFERROR(VLOOKUP(A781,管理亚马逊库存!A:L,12,0),"")</f>
        <v/>
      </c>
      <c r="D781" t="str">
        <f>IFERROR(VLOOKUP(A781,管理亚马逊库存!A:Q,17,0),"")</f>
        <v/>
      </c>
      <c r="E781" t="str">
        <f>IFERROR(VLOOKUP(A781,管理亚马逊库存!A:R,18,0),"")</f>
        <v/>
      </c>
      <c r="F781">
        <f t="shared" si="27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8"/>
        <v>0</v>
      </c>
    </row>
    <row r="782" spans="1:14">
      <c r="A782" s="4"/>
      <c r="B782" t="str">
        <f>IFERROR(VLOOKUP(A782,管理亚马逊库存!A:K,11,0),"")</f>
        <v/>
      </c>
      <c r="C782" t="str">
        <f>IFERROR(VLOOKUP(A782,管理亚马逊库存!A:L,12,0),"")</f>
        <v/>
      </c>
      <c r="D782" t="str">
        <f>IFERROR(VLOOKUP(A782,管理亚马逊库存!A:Q,17,0),"")</f>
        <v/>
      </c>
      <c r="E782" t="str">
        <f>IFERROR(VLOOKUP(A782,管理亚马逊库存!A:R,18,0),"")</f>
        <v/>
      </c>
      <c r="F782">
        <f t="shared" si="27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8"/>
        <v>0</v>
      </c>
    </row>
    <row r="783" spans="1:14">
      <c r="A783" s="4"/>
      <c r="B783" t="str">
        <f>IFERROR(VLOOKUP(A783,管理亚马逊库存!A:K,11,0),"")</f>
        <v/>
      </c>
      <c r="C783" t="str">
        <f>IFERROR(VLOOKUP(A783,管理亚马逊库存!A:L,12,0),"")</f>
        <v/>
      </c>
      <c r="D783" t="str">
        <f>IFERROR(VLOOKUP(A783,管理亚马逊库存!A:Q,17,0),"")</f>
        <v/>
      </c>
      <c r="E783" t="str">
        <f>IFERROR(VLOOKUP(A783,管理亚马逊库存!A:R,18,0),"")</f>
        <v/>
      </c>
      <c r="F783">
        <f t="shared" si="27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8"/>
        <v>0</v>
      </c>
    </row>
    <row r="784" spans="1:14">
      <c r="A784" s="4"/>
      <c r="B784" t="str">
        <f>IFERROR(VLOOKUP(A784,管理亚马逊库存!A:K,11,0),"")</f>
        <v/>
      </c>
      <c r="C784" t="str">
        <f>IFERROR(VLOOKUP(A784,管理亚马逊库存!A:L,12,0),"")</f>
        <v/>
      </c>
      <c r="D784" t="str">
        <f>IFERROR(VLOOKUP(A784,管理亚马逊库存!A:Q,17,0),"")</f>
        <v/>
      </c>
      <c r="E784" t="str">
        <f>IFERROR(VLOOKUP(A784,管理亚马逊库存!A:R,18,0),"")</f>
        <v/>
      </c>
      <c r="F784">
        <f t="shared" si="27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8"/>
        <v>0</v>
      </c>
    </row>
    <row r="785" spans="1:14">
      <c r="A785" s="4"/>
      <c r="B785" t="str">
        <f>IFERROR(VLOOKUP(A785,管理亚马逊库存!A:K,11,0),"")</f>
        <v/>
      </c>
      <c r="C785" t="str">
        <f>IFERROR(VLOOKUP(A785,管理亚马逊库存!A:L,12,0),"")</f>
        <v/>
      </c>
      <c r="D785" t="str">
        <f>IFERROR(VLOOKUP(A785,管理亚马逊库存!A:Q,17,0),"")</f>
        <v/>
      </c>
      <c r="E785" t="str">
        <f>IFERROR(VLOOKUP(A785,管理亚马逊库存!A:R,18,0),"")</f>
        <v/>
      </c>
      <c r="F785">
        <f t="shared" si="27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8"/>
        <v>0</v>
      </c>
    </row>
    <row r="786" spans="1:14">
      <c r="A786" s="4"/>
      <c r="B786" t="str">
        <f>IFERROR(VLOOKUP(A786,管理亚马逊库存!A:K,11,0),"")</f>
        <v/>
      </c>
      <c r="C786" t="str">
        <f>IFERROR(VLOOKUP(A786,管理亚马逊库存!A:L,12,0),"")</f>
        <v/>
      </c>
      <c r="D786" t="str">
        <f>IFERROR(VLOOKUP(A786,管理亚马逊库存!A:Q,17,0),"")</f>
        <v/>
      </c>
      <c r="E786" t="str">
        <f>IFERROR(VLOOKUP(A786,管理亚马逊库存!A:R,18,0),"")</f>
        <v/>
      </c>
      <c r="F786">
        <f t="shared" si="27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8"/>
        <v>0</v>
      </c>
    </row>
    <row r="787" spans="1:14">
      <c r="A787" s="4"/>
      <c r="B787" t="str">
        <f>IFERROR(VLOOKUP(A787,管理亚马逊库存!A:K,11,0),"")</f>
        <v/>
      </c>
      <c r="C787" t="str">
        <f>IFERROR(VLOOKUP(A787,管理亚马逊库存!A:L,12,0),"")</f>
        <v/>
      </c>
      <c r="D787" t="str">
        <f>IFERROR(VLOOKUP(A787,管理亚马逊库存!A:Q,17,0),"")</f>
        <v/>
      </c>
      <c r="E787" t="str">
        <f>IFERROR(VLOOKUP(A787,管理亚马逊库存!A:R,18,0),"")</f>
        <v/>
      </c>
      <c r="F787">
        <f t="shared" si="27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8"/>
        <v>0</v>
      </c>
    </row>
    <row r="788" spans="1:14">
      <c r="A788" s="4"/>
      <c r="B788" t="str">
        <f>IFERROR(VLOOKUP(A788,管理亚马逊库存!A:K,11,0),"")</f>
        <v/>
      </c>
      <c r="C788" t="str">
        <f>IFERROR(VLOOKUP(A788,管理亚马逊库存!A:L,12,0),"")</f>
        <v/>
      </c>
      <c r="D788" t="str">
        <f>IFERROR(VLOOKUP(A788,管理亚马逊库存!A:Q,17,0),"")</f>
        <v/>
      </c>
      <c r="E788" t="str">
        <f>IFERROR(VLOOKUP(A788,管理亚马逊库存!A:R,18,0),"")</f>
        <v/>
      </c>
      <c r="F788">
        <f t="shared" si="27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8"/>
        <v>0</v>
      </c>
    </row>
    <row r="789" spans="1:14">
      <c r="A789" s="4"/>
      <c r="B789" t="str">
        <f>IFERROR(VLOOKUP(A789,管理亚马逊库存!A:K,11,0),"")</f>
        <v/>
      </c>
      <c r="C789" t="str">
        <f>IFERROR(VLOOKUP(A789,管理亚马逊库存!A:L,12,0),"")</f>
        <v/>
      </c>
      <c r="D789" t="str">
        <f>IFERROR(VLOOKUP(A789,管理亚马逊库存!A:Q,17,0),"")</f>
        <v/>
      </c>
      <c r="E789" t="str">
        <f>IFERROR(VLOOKUP(A789,管理亚马逊库存!A:R,18,0),"")</f>
        <v/>
      </c>
      <c r="F789">
        <f t="shared" si="27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8"/>
        <v>0</v>
      </c>
    </row>
    <row r="790" spans="1:14">
      <c r="A790" s="4"/>
      <c r="B790" t="str">
        <f>IFERROR(VLOOKUP(A790,管理亚马逊库存!A:K,11,0),"")</f>
        <v/>
      </c>
      <c r="C790" t="str">
        <f>IFERROR(VLOOKUP(A790,管理亚马逊库存!A:L,12,0),"")</f>
        <v/>
      </c>
      <c r="D790" t="str">
        <f>IFERROR(VLOOKUP(A790,管理亚马逊库存!A:Q,17,0),"")</f>
        <v/>
      </c>
      <c r="E790" t="str">
        <f>IFERROR(VLOOKUP(A790,管理亚马逊库存!A:R,18,0),"")</f>
        <v/>
      </c>
      <c r="F790">
        <f t="shared" si="27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8"/>
        <v>0</v>
      </c>
    </row>
    <row r="791" spans="1:14">
      <c r="A791" s="4"/>
      <c r="B791" t="str">
        <f>IFERROR(VLOOKUP(A791,管理亚马逊库存!A:K,11,0),"")</f>
        <v/>
      </c>
      <c r="C791" t="str">
        <f>IFERROR(VLOOKUP(A791,管理亚马逊库存!A:L,12,0),"")</f>
        <v/>
      </c>
      <c r="D791" t="str">
        <f>IFERROR(VLOOKUP(A791,管理亚马逊库存!A:Q,17,0),"")</f>
        <v/>
      </c>
      <c r="E791" t="str">
        <f>IFERROR(VLOOKUP(A791,管理亚马逊库存!A:R,18,0),"")</f>
        <v/>
      </c>
      <c r="F791">
        <f t="shared" si="27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8"/>
        <v>0</v>
      </c>
    </row>
    <row r="792" spans="1:14">
      <c r="A792" s="4"/>
      <c r="B792" t="str">
        <f>IFERROR(VLOOKUP(A792,管理亚马逊库存!A:K,11,0),"")</f>
        <v/>
      </c>
      <c r="C792" t="str">
        <f>IFERROR(VLOOKUP(A792,管理亚马逊库存!A:L,12,0),"")</f>
        <v/>
      </c>
      <c r="D792" t="str">
        <f>IFERROR(VLOOKUP(A792,管理亚马逊库存!A:Q,17,0),"")</f>
        <v/>
      </c>
      <c r="E792" t="str">
        <f>IFERROR(VLOOKUP(A792,管理亚马逊库存!A:R,18,0),"")</f>
        <v/>
      </c>
      <c r="F792">
        <f t="shared" si="27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8"/>
        <v>0</v>
      </c>
    </row>
    <row r="793" spans="1:14">
      <c r="A793" s="4"/>
      <c r="B793" t="str">
        <f>IFERROR(VLOOKUP(A793,管理亚马逊库存!A:K,11,0),"")</f>
        <v/>
      </c>
      <c r="C793" t="str">
        <f>IFERROR(VLOOKUP(A793,管理亚马逊库存!A:L,12,0),"")</f>
        <v/>
      </c>
      <c r="D793" t="str">
        <f>IFERROR(VLOOKUP(A793,管理亚马逊库存!A:Q,17,0),"")</f>
        <v/>
      </c>
      <c r="E793" t="str">
        <f>IFERROR(VLOOKUP(A793,管理亚马逊库存!A:R,18,0),"")</f>
        <v/>
      </c>
      <c r="F793">
        <f t="shared" si="27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8"/>
        <v>0</v>
      </c>
    </row>
    <row r="794" spans="1:14">
      <c r="A794" s="4"/>
      <c r="B794" t="str">
        <f>IFERROR(VLOOKUP(A794,管理亚马逊库存!A:K,11,0),"")</f>
        <v/>
      </c>
      <c r="C794" t="str">
        <f>IFERROR(VLOOKUP(A794,管理亚马逊库存!A:L,12,0),"")</f>
        <v/>
      </c>
      <c r="D794" t="str">
        <f>IFERROR(VLOOKUP(A794,管理亚马逊库存!A:Q,17,0),"")</f>
        <v/>
      </c>
      <c r="E794" t="str">
        <f>IFERROR(VLOOKUP(A794,管理亚马逊库存!A:R,18,0),"")</f>
        <v/>
      </c>
      <c r="F794">
        <f t="shared" si="27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8"/>
        <v>0</v>
      </c>
    </row>
    <row r="795" spans="1:14">
      <c r="A795" s="4"/>
      <c r="B795" t="str">
        <f>IFERROR(VLOOKUP(A795,管理亚马逊库存!A:K,11,0),"")</f>
        <v/>
      </c>
      <c r="C795" t="str">
        <f>IFERROR(VLOOKUP(A795,管理亚马逊库存!A:L,12,0),"")</f>
        <v/>
      </c>
      <c r="D795" t="str">
        <f>IFERROR(VLOOKUP(A795,管理亚马逊库存!A:Q,17,0),"")</f>
        <v/>
      </c>
      <c r="E795" t="str">
        <f>IFERROR(VLOOKUP(A795,管理亚马逊库存!A:R,18,0),"")</f>
        <v/>
      </c>
      <c r="F795">
        <f t="shared" si="27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8"/>
        <v>0</v>
      </c>
    </row>
    <row r="796" spans="1:14">
      <c r="A796" s="4"/>
      <c r="B796" t="str">
        <f>IFERROR(VLOOKUP(A796,管理亚马逊库存!A:K,11,0),"")</f>
        <v/>
      </c>
      <c r="C796" t="str">
        <f>IFERROR(VLOOKUP(A796,管理亚马逊库存!A:L,12,0),"")</f>
        <v/>
      </c>
      <c r="D796" t="str">
        <f>IFERROR(VLOOKUP(A796,管理亚马逊库存!A:Q,17,0),"")</f>
        <v/>
      </c>
      <c r="E796" t="str">
        <f>IFERROR(VLOOKUP(A796,管理亚马逊库存!A:R,18,0),"")</f>
        <v/>
      </c>
      <c r="F796">
        <f t="shared" si="27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8"/>
        <v>0</v>
      </c>
    </row>
    <row r="797" spans="1:14">
      <c r="A797" s="4"/>
      <c r="B797" t="str">
        <f>IFERROR(VLOOKUP(A797,管理亚马逊库存!A:K,11,0),"")</f>
        <v/>
      </c>
      <c r="C797" t="str">
        <f>IFERROR(VLOOKUP(A797,管理亚马逊库存!A:L,12,0),"")</f>
        <v/>
      </c>
      <c r="D797" t="str">
        <f>IFERROR(VLOOKUP(A797,管理亚马逊库存!A:Q,17,0),"")</f>
        <v/>
      </c>
      <c r="E797" t="str">
        <f>IFERROR(VLOOKUP(A797,管理亚马逊库存!A:R,18,0),"")</f>
        <v/>
      </c>
      <c r="F797">
        <f t="shared" si="27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8"/>
        <v>0</v>
      </c>
    </row>
    <row r="798" spans="1:14">
      <c r="A798" s="4"/>
      <c r="B798" t="str">
        <f>IFERROR(VLOOKUP(A798,管理亚马逊库存!A:K,11,0),"")</f>
        <v/>
      </c>
      <c r="C798" t="str">
        <f>IFERROR(VLOOKUP(A798,管理亚马逊库存!A:L,12,0),"")</f>
        <v/>
      </c>
      <c r="D798" t="str">
        <f>IFERROR(VLOOKUP(A798,管理亚马逊库存!A:Q,17,0),"")</f>
        <v/>
      </c>
      <c r="E798" t="str">
        <f>IFERROR(VLOOKUP(A798,管理亚马逊库存!A:R,18,0),"")</f>
        <v/>
      </c>
      <c r="F798">
        <f t="shared" si="27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8"/>
        <v>0</v>
      </c>
    </row>
    <row r="799" spans="1:14">
      <c r="A799" s="4"/>
      <c r="B799" t="str">
        <f>IFERROR(VLOOKUP(A799,管理亚马逊库存!A:K,11,0),"")</f>
        <v/>
      </c>
      <c r="C799" t="str">
        <f>IFERROR(VLOOKUP(A799,管理亚马逊库存!A:L,12,0),"")</f>
        <v/>
      </c>
      <c r="D799" t="str">
        <f>IFERROR(VLOOKUP(A799,管理亚马逊库存!A:Q,17,0),"")</f>
        <v/>
      </c>
      <c r="E799" t="str">
        <f>IFERROR(VLOOKUP(A799,管理亚马逊库存!A:R,18,0),"")</f>
        <v/>
      </c>
      <c r="F799">
        <f t="shared" si="27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8"/>
        <v>0</v>
      </c>
    </row>
    <row r="800" spans="1:14">
      <c r="A800" s="4"/>
      <c r="B800" t="str">
        <f>IFERROR(VLOOKUP(A800,管理亚马逊库存!A:K,11,0),"")</f>
        <v/>
      </c>
      <c r="C800" t="str">
        <f>IFERROR(VLOOKUP(A800,管理亚马逊库存!A:L,12,0),"")</f>
        <v/>
      </c>
      <c r="D800" t="str">
        <f>IFERROR(VLOOKUP(A800,管理亚马逊库存!A:Q,17,0),"")</f>
        <v/>
      </c>
      <c r="E800" t="str">
        <f>IFERROR(VLOOKUP(A800,管理亚马逊库存!A:R,18,0),"")</f>
        <v/>
      </c>
      <c r="F800">
        <f t="shared" si="27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8"/>
        <v>0</v>
      </c>
    </row>
    <row r="801" spans="1:14">
      <c r="A801" s="4"/>
      <c r="B801" t="str">
        <f>IFERROR(VLOOKUP(A801,管理亚马逊库存!A:K,11,0),"")</f>
        <v/>
      </c>
      <c r="C801" t="str">
        <f>IFERROR(VLOOKUP(A801,管理亚马逊库存!A:L,12,0),"")</f>
        <v/>
      </c>
      <c r="D801" t="str">
        <f>IFERROR(VLOOKUP(A801,管理亚马逊库存!A:Q,17,0),"")</f>
        <v/>
      </c>
      <c r="E801" t="str">
        <f>IFERROR(VLOOKUP(A801,管理亚马逊库存!A:R,18,0),"")</f>
        <v/>
      </c>
      <c r="F801">
        <f t="shared" si="27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8"/>
        <v>0</v>
      </c>
    </row>
    <row r="802" spans="1:14">
      <c r="A802" s="4"/>
      <c r="B802" t="str">
        <f>IFERROR(VLOOKUP(A802,管理亚马逊库存!A:K,11,0),"")</f>
        <v/>
      </c>
      <c r="C802" t="str">
        <f>IFERROR(VLOOKUP(A802,管理亚马逊库存!A:L,12,0),"")</f>
        <v/>
      </c>
      <c r="D802" t="str">
        <f>IFERROR(VLOOKUP(A802,管理亚马逊库存!A:Q,17,0),"")</f>
        <v/>
      </c>
      <c r="E802" t="str">
        <f>IFERROR(VLOOKUP(A802,管理亚马逊库存!A:R,18,0),"")</f>
        <v/>
      </c>
      <c r="F802">
        <f t="shared" si="27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8"/>
        <v>0</v>
      </c>
    </row>
    <row r="803" spans="1:14">
      <c r="A803" s="4"/>
      <c r="B803" t="str">
        <f>IFERROR(VLOOKUP(A803,管理亚马逊库存!A:K,11,0),"")</f>
        <v/>
      </c>
      <c r="C803" t="str">
        <f>IFERROR(VLOOKUP(A803,管理亚马逊库存!A:L,12,0),"")</f>
        <v/>
      </c>
      <c r="D803" t="str">
        <f>IFERROR(VLOOKUP(A803,管理亚马逊库存!A:Q,17,0),"")</f>
        <v/>
      </c>
      <c r="E803" t="str">
        <f>IFERROR(VLOOKUP(A803,管理亚马逊库存!A:R,18,0),"")</f>
        <v/>
      </c>
      <c r="F803">
        <f t="shared" si="27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8"/>
        <v>0</v>
      </c>
    </row>
    <row r="804" spans="1:14">
      <c r="A804" s="4"/>
      <c r="B804" t="str">
        <f>IFERROR(VLOOKUP(A804,管理亚马逊库存!A:K,11,0),"")</f>
        <v/>
      </c>
      <c r="C804" t="str">
        <f>IFERROR(VLOOKUP(A804,管理亚马逊库存!A:L,12,0),"")</f>
        <v/>
      </c>
      <c r="D804" t="str">
        <f>IFERROR(VLOOKUP(A804,管理亚马逊库存!A:Q,17,0),"")</f>
        <v/>
      </c>
      <c r="E804" t="str">
        <f>IFERROR(VLOOKUP(A804,管理亚马逊库存!A:R,18,0),"")</f>
        <v/>
      </c>
      <c r="F804">
        <f t="shared" si="27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8"/>
        <v>0</v>
      </c>
    </row>
    <row r="805" spans="1:14">
      <c r="A805" s="4"/>
      <c r="B805" t="str">
        <f>IFERROR(VLOOKUP(A805,管理亚马逊库存!A:K,11,0),"")</f>
        <v/>
      </c>
      <c r="C805" t="str">
        <f>IFERROR(VLOOKUP(A805,管理亚马逊库存!A:L,12,0),"")</f>
        <v/>
      </c>
      <c r="D805" t="str">
        <f>IFERROR(VLOOKUP(A805,管理亚马逊库存!A:Q,17,0),"")</f>
        <v/>
      </c>
      <c r="E805" t="str">
        <f>IFERROR(VLOOKUP(A805,管理亚马逊库存!A:R,18,0),"")</f>
        <v/>
      </c>
      <c r="F805">
        <f t="shared" si="27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8"/>
        <v>0</v>
      </c>
    </row>
    <row r="806" spans="1:14">
      <c r="A806" s="4"/>
      <c r="B806" t="str">
        <f>IFERROR(VLOOKUP(A806,管理亚马逊库存!A:K,11,0),"")</f>
        <v/>
      </c>
      <c r="C806" t="str">
        <f>IFERROR(VLOOKUP(A806,管理亚马逊库存!A:L,12,0),"")</f>
        <v/>
      </c>
      <c r="D806" t="str">
        <f>IFERROR(VLOOKUP(A806,管理亚马逊库存!A:Q,17,0),"")</f>
        <v/>
      </c>
      <c r="E806" t="str">
        <f>IFERROR(VLOOKUP(A806,管理亚马逊库存!A:R,18,0),"")</f>
        <v/>
      </c>
      <c r="F806">
        <f t="shared" si="27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8"/>
        <v>0</v>
      </c>
    </row>
    <row r="807" spans="1:14">
      <c r="A807" s="4"/>
      <c r="B807" t="str">
        <f>IFERROR(VLOOKUP(A807,管理亚马逊库存!A:K,11,0),"")</f>
        <v/>
      </c>
      <c r="C807" t="str">
        <f>IFERROR(VLOOKUP(A807,管理亚马逊库存!A:L,12,0),"")</f>
        <v/>
      </c>
      <c r="D807" t="str">
        <f>IFERROR(VLOOKUP(A807,管理亚马逊库存!A:Q,17,0),"")</f>
        <v/>
      </c>
      <c r="E807" t="str">
        <f>IFERROR(VLOOKUP(A807,管理亚马逊库存!A:R,18,0),"")</f>
        <v/>
      </c>
      <c r="F807">
        <f t="shared" si="27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8"/>
        <v>0</v>
      </c>
    </row>
    <row r="808" spans="1:14">
      <c r="A808" s="4"/>
      <c r="B808" t="str">
        <f>IFERROR(VLOOKUP(A808,管理亚马逊库存!A:K,11,0),"")</f>
        <v/>
      </c>
      <c r="C808" t="str">
        <f>IFERROR(VLOOKUP(A808,管理亚马逊库存!A:L,12,0),"")</f>
        <v/>
      </c>
      <c r="D808" t="str">
        <f>IFERROR(VLOOKUP(A808,管理亚马逊库存!A:Q,17,0),"")</f>
        <v/>
      </c>
      <c r="E808" t="str">
        <f>IFERROR(VLOOKUP(A808,管理亚马逊库存!A:R,18,0),"")</f>
        <v/>
      </c>
      <c r="F808">
        <f t="shared" si="27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8"/>
        <v>0</v>
      </c>
    </row>
    <row r="809" spans="1:14">
      <c r="A809" s="4"/>
      <c r="B809" t="str">
        <f>IFERROR(VLOOKUP(A809,管理亚马逊库存!A:K,11,0),"")</f>
        <v/>
      </c>
      <c r="C809" t="str">
        <f>IFERROR(VLOOKUP(A809,管理亚马逊库存!A:L,12,0),"")</f>
        <v/>
      </c>
      <c r="D809" t="str">
        <f>IFERROR(VLOOKUP(A809,管理亚马逊库存!A:Q,17,0),"")</f>
        <v/>
      </c>
      <c r="E809" t="str">
        <f>IFERROR(VLOOKUP(A809,管理亚马逊库存!A:R,18,0),"")</f>
        <v/>
      </c>
      <c r="F809">
        <f t="shared" si="27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8"/>
        <v>0</v>
      </c>
    </row>
    <row r="810" spans="1:14">
      <c r="A810" s="4"/>
      <c r="B810" t="str">
        <f>IFERROR(VLOOKUP(A810,管理亚马逊库存!A:K,11,0),"")</f>
        <v/>
      </c>
      <c r="C810" t="str">
        <f>IFERROR(VLOOKUP(A810,管理亚马逊库存!A:L,12,0),"")</f>
        <v/>
      </c>
      <c r="D810" t="str">
        <f>IFERROR(VLOOKUP(A810,管理亚马逊库存!A:Q,17,0),"")</f>
        <v/>
      </c>
      <c r="E810" t="str">
        <f>IFERROR(VLOOKUP(A810,管理亚马逊库存!A:R,18,0),"")</f>
        <v/>
      </c>
      <c r="F810">
        <f t="shared" si="27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8"/>
        <v>0</v>
      </c>
    </row>
    <row r="811" spans="1:14">
      <c r="A811" s="4"/>
      <c r="B811" t="str">
        <f>IFERROR(VLOOKUP(A811,管理亚马逊库存!A:K,11,0),"")</f>
        <v/>
      </c>
      <c r="C811" t="str">
        <f>IFERROR(VLOOKUP(A811,管理亚马逊库存!A:L,12,0),"")</f>
        <v/>
      </c>
      <c r="D811" t="str">
        <f>IFERROR(VLOOKUP(A811,管理亚马逊库存!A:Q,17,0),"")</f>
        <v/>
      </c>
      <c r="E811" t="str">
        <f>IFERROR(VLOOKUP(A811,管理亚马逊库存!A:R,18,0),"")</f>
        <v/>
      </c>
      <c r="F811">
        <f t="shared" si="27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8"/>
        <v>0</v>
      </c>
    </row>
    <row r="812" spans="1:14">
      <c r="A812" s="4"/>
      <c r="B812" t="str">
        <f>IFERROR(VLOOKUP(A812,管理亚马逊库存!A:K,11,0),"")</f>
        <v/>
      </c>
      <c r="C812" t="str">
        <f>IFERROR(VLOOKUP(A812,管理亚马逊库存!A:L,12,0),"")</f>
        <v/>
      </c>
      <c r="D812" t="str">
        <f>IFERROR(VLOOKUP(A812,管理亚马逊库存!A:Q,17,0),"")</f>
        <v/>
      </c>
      <c r="E812" t="str">
        <f>IFERROR(VLOOKUP(A812,管理亚马逊库存!A:R,18,0),"")</f>
        <v/>
      </c>
      <c r="F812">
        <f t="shared" si="27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8"/>
        <v>0</v>
      </c>
    </row>
    <row r="813" spans="1:14">
      <c r="A813" s="4"/>
      <c r="B813" t="str">
        <f>IFERROR(VLOOKUP(A813,管理亚马逊库存!A:K,11,0),"")</f>
        <v/>
      </c>
      <c r="C813" t="str">
        <f>IFERROR(VLOOKUP(A813,管理亚马逊库存!A:L,12,0),"")</f>
        <v/>
      </c>
      <c r="D813" t="str">
        <f>IFERROR(VLOOKUP(A813,管理亚马逊库存!A:Q,17,0),"")</f>
        <v/>
      </c>
      <c r="E813" t="str">
        <f>IFERROR(VLOOKUP(A813,管理亚马逊库存!A:R,18,0),"")</f>
        <v/>
      </c>
      <c r="F813">
        <f t="shared" si="27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8"/>
        <v>0</v>
      </c>
    </row>
    <row r="814" spans="1:14">
      <c r="A814" s="4"/>
      <c r="B814" t="str">
        <f>IFERROR(VLOOKUP(A814,管理亚马逊库存!A:K,11,0),"")</f>
        <v/>
      </c>
      <c r="C814" t="str">
        <f>IFERROR(VLOOKUP(A814,管理亚马逊库存!A:L,12,0),"")</f>
        <v/>
      </c>
      <c r="D814" t="str">
        <f>IFERROR(VLOOKUP(A814,管理亚马逊库存!A:Q,17,0),"")</f>
        <v/>
      </c>
      <c r="E814" t="str">
        <f>IFERROR(VLOOKUP(A814,管理亚马逊库存!A:R,18,0),"")</f>
        <v/>
      </c>
      <c r="F814">
        <f t="shared" si="27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8"/>
        <v>0</v>
      </c>
    </row>
    <row r="815" spans="1:14">
      <c r="A815" s="4"/>
      <c r="B815" t="str">
        <f>IFERROR(VLOOKUP(A815,管理亚马逊库存!A:K,11,0),"")</f>
        <v/>
      </c>
      <c r="C815" t="str">
        <f>IFERROR(VLOOKUP(A815,管理亚马逊库存!A:L,12,0),"")</f>
        <v/>
      </c>
      <c r="D815" t="str">
        <f>IFERROR(VLOOKUP(A815,管理亚马逊库存!A:Q,17,0),"")</f>
        <v/>
      </c>
      <c r="E815" t="str">
        <f>IFERROR(VLOOKUP(A815,管理亚马逊库存!A:R,18,0),"")</f>
        <v/>
      </c>
      <c r="F815">
        <f t="shared" si="27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8"/>
        <v>0</v>
      </c>
    </row>
    <row r="816" spans="1:14">
      <c r="A816" s="4"/>
      <c r="B816" t="str">
        <f>IFERROR(VLOOKUP(A816,管理亚马逊库存!A:K,11,0),"")</f>
        <v/>
      </c>
      <c r="C816" t="str">
        <f>IFERROR(VLOOKUP(A816,管理亚马逊库存!A:L,12,0),"")</f>
        <v/>
      </c>
      <c r="D816" t="str">
        <f>IFERROR(VLOOKUP(A816,管理亚马逊库存!A:Q,17,0),"")</f>
        <v/>
      </c>
      <c r="E816" t="str">
        <f>IFERROR(VLOOKUP(A816,管理亚马逊库存!A:R,18,0),"")</f>
        <v/>
      </c>
      <c r="F816">
        <f t="shared" si="27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8"/>
        <v>0</v>
      </c>
    </row>
    <row r="817" spans="1:14">
      <c r="A817" s="4"/>
      <c r="B817" t="str">
        <f>IFERROR(VLOOKUP(A817,管理亚马逊库存!A:K,11,0),"")</f>
        <v/>
      </c>
      <c r="C817" t="str">
        <f>IFERROR(VLOOKUP(A817,管理亚马逊库存!A:L,12,0),"")</f>
        <v/>
      </c>
      <c r="D817" t="str">
        <f>IFERROR(VLOOKUP(A817,管理亚马逊库存!A:Q,17,0),"")</f>
        <v/>
      </c>
      <c r="E817" t="str">
        <f>IFERROR(VLOOKUP(A817,管理亚马逊库存!A:R,18,0),"")</f>
        <v/>
      </c>
      <c r="F817">
        <f t="shared" si="27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8"/>
        <v>0</v>
      </c>
    </row>
    <row r="818" spans="1:14">
      <c r="A818" s="4"/>
      <c r="B818" t="str">
        <f>IFERROR(VLOOKUP(A818,管理亚马逊库存!A:K,11,0),"")</f>
        <v/>
      </c>
      <c r="C818" t="str">
        <f>IFERROR(VLOOKUP(A818,管理亚马逊库存!A:L,12,0),"")</f>
        <v/>
      </c>
      <c r="D818" t="str">
        <f>IFERROR(VLOOKUP(A818,管理亚马逊库存!A:Q,17,0),"")</f>
        <v/>
      </c>
      <c r="E818" t="str">
        <f>IFERROR(VLOOKUP(A818,管理亚马逊库存!A:R,18,0),"")</f>
        <v/>
      </c>
      <c r="F818">
        <f t="shared" si="27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8"/>
        <v>0</v>
      </c>
    </row>
    <row r="819" spans="1:14">
      <c r="A819" s="4"/>
      <c r="B819" t="str">
        <f>IFERROR(VLOOKUP(A819,管理亚马逊库存!A:K,11,0),"")</f>
        <v/>
      </c>
      <c r="C819" t="str">
        <f>IFERROR(VLOOKUP(A819,管理亚马逊库存!A:L,12,0),"")</f>
        <v/>
      </c>
      <c r="D819" t="str">
        <f>IFERROR(VLOOKUP(A819,管理亚马逊库存!A:Q,17,0),"")</f>
        <v/>
      </c>
      <c r="E819" t="str">
        <f>IFERROR(VLOOKUP(A819,管理亚马逊库存!A:R,18,0),"")</f>
        <v/>
      </c>
      <c r="F819">
        <f t="shared" si="27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8"/>
        <v>0</v>
      </c>
    </row>
    <row r="820" spans="1:14">
      <c r="A820" s="4"/>
      <c r="B820" t="str">
        <f>IFERROR(VLOOKUP(A820,管理亚马逊库存!A:K,11,0),"")</f>
        <v/>
      </c>
      <c r="C820" t="str">
        <f>IFERROR(VLOOKUP(A820,管理亚马逊库存!A:L,12,0),"")</f>
        <v/>
      </c>
      <c r="D820" t="str">
        <f>IFERROR(VLOOKUP(A820,管理亚马逊库存!A:Q,17,0),"")</f>
        <v/>
      </c>
      <c r="E820" t="str">
        <f>IFERROR(VLOOKUP(A820,管理亚马逊库存!A:R,18,0),"")</f>
        <v/>
      </c>
      <c r="F820">
        <f t="shared" si="27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8"/>
        <v>0</v>
      </c>
    </row>
    <row r="821" spans="1:14">
      <c r="A821" s="4"/>
      <c r="B821" t="str">
        <f>IFERROR(VLOOKUP(A821,管理亚马逊库存!A:K,11,0),"")</f>
        <v/>
      </c>
      <c r="C821" t="str">
        <f>IFERROR(VLOOKUP(A821,管理亚马逊库存!A:L,12,0),"")</f>
        <v/>
      </c>
      <c r="D821" t="str">
        <f>IFERROR(VLOOKUP(A821,管理亚马逊库存!A:Q,17,0),"")</f>
        <v/>
      </c>
      <c r="E821" t="str">
        <f>IFERROR(VLOOKUP(A821,管理亚马逊库存!A:R,18,0),"")</f>
        <v/>
      </c>
      <c r="F821">
        <f t="shared" si="27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8"/>
        <v>0</v>
      </c>
    </row>
    <row r="822" spans="1:14">
      <c r="A822" s="4"/>
      <c r="B822" t="str">
        <f>IFERROR(VLOOKUP(A822,管理亚马逊库存!A:K,11,0),"")</f>
        <v/>
      </c>
      <c r="C822" t="str">
        <f>IFERROR(VLOOKUP(A822,管理亚马逊库存!A:L,12,0),"")</f>
        <v/>
      </c>
      <c r="D822" t="str">
        <f>IFERROR(VLOOKUP(A822,管理亚马逊库存!A:Q,17,0),"")</f>
        <v/>
      </c>
      <c r="E822" t="str">
        <f>IFERROR(VLOOKUP(A822,管理亚马逊库存!A:R,18,0),"")</f>
        <v/>
      </c>
      <c r="F822">
        <f t="shared" si="27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8"/>
        <v>0</v>
      </c>
    </row>
    <row r="823" spans="1:14">
      <c r="A823" s="4"/>
      <c r="B823" t="str">
        <f>IFERROR(VLOOKUP(A823,管理亚马逊库存!A:K,11,0),"")</f>
        <v/>
      </c>
      <c r="C823" t="str">
        <f>IFERROR(VLOOKUP(A823,管理亚马逊库存!A:L,12,0),"")</f>
        <v/>
      </c>
      <c r="D823" t="str">
        <f>IFERROR(VLOOKUP(A823,管理亚马逊库存!A:Q,17,0),"")</f>
        <v/>
      </c>
      <c r="E823" t="str">
        <f>IFERROR(VLOOKUP(A823,管理亚马逊库存!A:R,18,0),"")</f>
        <v/>
      </c>
      <c r="F823">
        <f t="shared" si="27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8"/>
        <v>0</v>
      </c>
    </row>
    <row r="824" spans="1:14">
      <c r="A824" s="4"/>
      <c r="B824" t="str">
        <f>IFERROR(VLOOKUP(A824,管理亚马逊库存!A:K,11,0),"")</f>
        <v/>
      </c>
      <c r="C824" t="str">
        <f>IFERROR(VLOOKUP(A824,管理亚马逊库存!A:L,12,0),"")</f>
        <v/>
      </c>
      <c r="D824" t="str">
        <f>IFERROR(VLOOKUP(A824,管理亚马逊库存!A:Q,17,0),"")</f>
        <v/>
      </c>
      <c r="E824" t="str">
        <f>IFERROR(VLOOKUP(A824,管理亚马逊库存!A:R,18,0),"")</f>
        <v/>
      </c>
      <c r="F824">
        <f t="shared" si="27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8"/>
        <v>0</v>
      </c>
    </row>
    <row r="825" spans="1:14">
      <c r="A825" s="4"/>
      <c r="B825" t="str">
        <f>IFERROR(VLOOKUP(A825,管理亚马逊库存!A:K,11,0),"")</f>
        <v/>
      </c>
      <c r="C825" t="str">
        <f>IFERROR(VLOOKUP(A825,管理亚马逊库存!A:L,12,0),"")</f>
        <v/>
      </c>
      <c r="D825" t="str">
        <f>IFERROR(VLOOKUP(A825,管理亚马逊库存!A:Q,17,0),"")</f>
        <v/>
      </c>
      <c r="E825" t="str">
        <f>IFERROR(VLOOKUP(A825,管理亚马逊库存!A:R,18,0),"")</f>
        <v/>
      </c>
      <c r="F825">
        <f t="shared" si="27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8"/>
        <v>0</v>
      </c>
    </row>
    <row r="826" spans="1:14">
      <c r="A826" s="4"/>
      <c r="B826" t="str">
        <f>IFERROR(VLOOKUP(A826,管理亚马逊库存!A:K,11,0),"")</f>
        <v/>
      </c>
      <c r="C826" t="str">
        <f>IFERROR(VLOOKUP(A826,管理亚马逊库存!A:L,12,0),"")</f>
        <v/>
      </c>
      <c r="D826" t="str">
        <f>IFERROR(VLOOKUP(A826,管理亚马逊库存!A:Q,17,0),"")</f>
        <v/>
      </c>
      <c r="E826" t="str">
        <f>IFERROR(VLOOKUP(A826,管理亚马逊库存!A:R,18,0),"")</f>
        <v/>
      </c>
      <c r="F826">
        <f t="shared" si="27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8"/>
        <v>0</v>
      </c>
    </row>
    <row r="827" spans="1:14">
      <c r="A827" s="4"/>
      <c r="B827" t="str">
        <f>IFERROR(VLOOKUP(A827,管理亚马逊库存!A:K,11,0),"")</f>
        <v/>
      </c>
      <c r="C827" t="str">
        <f>IFERROR(VLOOKUP(A827,管理亚马逊库存!A:L,12,0),"")</f>
        <v/>
      </c>
      <c r="D827" t="str">
        <f>IFERROR(VLOOKUP(A827,管理亚马逊库存!A:Q,17,0),"")</f>
        <v/>
      </c>
      <c r="E827" t="str">
        <f>IFERROR(VLOOKUP(A827,管理亚马逊库存!A:R,18,0),"")</f>
        <v/>
      </c>
      <c r="F827">
        <f t="shared" si="27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8"/>
        <v>0</v>
      </c>
    </row>
    <row r="828" spans="1:14">
      <c r="A828" s="4"/>
      <c r="B828" t="str">
        <f>IFERROR(VLOOKUP(A828,管理亚马逊库存!A:K,11,0),"")</f>
        <v/>
      </c>
      <c r="C828" t="str">
        <f>IFERROR(VLOOKUP(A828,管理亚马逊库存!A:L,12,0),"")</f>
        <v/>
      </c>
      <c r="D828" t="str">
        <f>IFERROR(VLOOKUP(A828,管理亚马逊库存!A:Q,17,0),"")</f>
        <v/>
      </c>
      <c r="E828" t="str">
        <f>IFERROR(VLOOKUP(A828,管理亚马逊库存!A:R,18,0),"")</f>
        <v/>
      </c>
      <c r="F828">
        <f t="shared" si="27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8"/>
        <v>0</v>
      </c>
    </row>
    <row r="829" spans="1:14">
      <c r="A829" s="4"/>
      <c r="B829" t="str">
        <f>IFERROR(VLOOKUP(A829,管理亚马逊库存!A:K,11,0),"")</f>
        <v/>
      </c>
      <c r="C829" t="str">
        <f>IFERROR(VLOOKUP(A829,管理亚马逊库存!A:L,12,0),"")</f>
        <v/>
      </c>
      <c r="D829" t="str">
        <f>IFERROR(VLOOKUP(A829,管理亚马逊库存!A:Q,17,0),"")</f>
        <v/>
      </c>
      <c r="E829" t="str">
        <f>IFERROR(VLOOKUP(A829,管理亚马逊库存!A:R,18,0),"")</f>
        <v/>
      </c>
      <c r="F829">
        <f t="shared" si="27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8"/>
        <v>0</v>
      </c>
    </row>
    <row r="830" spans="1:14">
      <c r="A830" s="4"/>
      <c r="B830" t="str">
        <f>IFERROR(VLOOKUP(A830,管理亚马逊库存!A:K,11,0),"")</f>
        <v/>
      </c>
      <c r="C830" t="str">
        <f>IFERROR(VLOOKUP(A830,管理亚马逊库存!A:L,12,0),"")</f>
        <v/>
      </c>
      <c r="D830" t="str">
        <f>IFERROR(VLOOKUP(A830,管理亚马逊库存!A:Q,17,0),"")</f>
        <v/>
      </c>
      <c r="E830" t="str">
        <f>IFERROR(VLOOKUP(A830,管理亚马逊库存!A:R,18,0),"")</f>
        <v/>
      </c>
      <c r="F830">
        <f t="shared" si="27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8"/>
        <v>0</v>
      </c>
    </row>
    <row r="831" spans="1:14">
      <c r="A831" s="4"/>
      <c r="B831" t="str">
        <f>IFERROR(VLOOKUP(A831,管理亚马逊库存!A:K,11,0),"")</f>
        <v/>
      </c>
      <c r="C831" t="str">
        <f>IFERROR(VLOOKUP(A831,管理亚马逊库存!A:L,12,0),"")</f>
        <v/>
      </c>
      <c r="D831" t="str">
        <f>IFERROR(VLOOKUP(A831,管理亚马逊库存!A:Q,17,0),"")</f>
        <v/>
      </c>
      <c r="E831" t="str">
        <f>IFERROR(VLOOKUP(A831,管理亚马逊库存!A:R,18,0),"")</f>
        <v/>
      </c>
      <c r="F831">
        <f t="shared" si="27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8"/>
        <v>0</v>
      </c>
    </row>
    <row r="832" spans="1:14">
      <c r="A832" s="4"/>
      <c r="B832" t="str">
        <f>IFERROR(VLOOKUP(A832,管理亚马逊库存!A:K,11,0),"")</f>
        <v/>
      </c>
      <c r="C832" t="str">
        <f>IFERROR(VLOOKUP(A832,管理亚马逊库存!A:L,12,0),"")</f>
        <v/>
      </c>
      <c r="D832" t="str">
        <f>IFERROR(VLOOKUP(A832,管理亚马逊库存!A:Q,17,0),"")</f>
        <v/>
      </c>
      <c r="E832" t="str">
        <f>IFERROR(VLOOKUP(A832,管理亚马逊库存!A:R,18,0),"")</f>
        <v/>
      </c>
      <c r="F832">
        <f t="shared" si="27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8"/>
        <v>0</v>
      </c>
    </row>
    <row r="833" spans="1:14">
      <c r="A833" s="4"/>
      <c r="B833" t="str">
        <f>IFERROR(VLOOKUP(A833,管理亚马逊库存!A:K,11,0),"")</f>
        <v/>
      </c>
      <c r="C833" t="str">
        <f>IFERROR(VLOOKUP(A833,管理亚马逊库存!A:L,12,0),"")</f>
        <v/>
      </c>
      <c r="D833" t="str">
        <f>IFERROR(VLOOKUP(A833,管理亚马逊库存!A:Q,17,0),"")</f>
        <v/>
      </c>
      <c r="E833" t="str">
        <f>IFERROR(VLOOKUP(A833,管理亚马逊库存!A:R,18,0),"")</f>
        <v/>
      </c>
      <c r="F833">
        <f t="shared" si="27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8"/>
        <v>0</v>
      </c>
    </row>
    <row r="834" spans="1:14">
      <c r="A834" s="4"/>
      <c r="B834" t="str">
        <f>IFERROR(VLOOKUP(A834,管理亚马逊库存!A:K,11,0),"")</f>
        <v/>
      </c>
      <c r="C834" t="str">
        <f>IFERROR(VLOOKUP(A834,管理亚马逊库存!A:L,12,0),"")</f>
        <v/>
      </c>
      <c r="D834" t="str">
        <f>IFERROR(VLOOKUP(A834,管理亚马逊库存!A:Q,17,0),"")</f>
        <v/>
      </c>
      <c r="E834" t="str">
        <f>IFERROR(VLOOKUP(A834,管理亚马逊库存!A:R,18,0),"")</f>
        <v/>
      </c>
      <c r="F834">
        <f t="shared" si="27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8"/>
        <v>0</v>
      </c>
    </row>
    <row r="835" spans="1:14">
      <c r="A835" s="4"/>
      <c r="B835" t="str">
        <f>IFERROR(VLOOKUP(A835,管理亚马逊库存!A:K,11,0),"")</f>
        <v/>
      </c>
      <c r="C835" t="str">
        <f>IFERROR(VLOOKUP(A835,管理亚马逊库存!A:L,12,0),"")</f>
        <v/>
      </c>
      <c r="D835" t="str">
        <f>IFERROR(VLOOKUP(A835,管理亚马逊库存!A:Q,17,0),"")</f>
        <v/>
      </c>
      <c r="E835" t="str">
        <f>IFERROR(VLOOKUP(A835,管理亚马逊库存!A:R,18,0),"")</f>
        <v/>
      </c>
      <c r="F835">
        <f t="shared" ref="F835:F847" si="29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47" si="30">SUM(J835:M835)</f>
        <v>0</v>
      </c>
    </row>
    <row r="836" spans="1:14">
      <c r="A836" s="4"/>
      <c r="B836" t="str">
        <f>IFERROR(VLOOKUP(A836,管理亚马逊库存!A:K,11,0),"")</f>
        <v/>
      </c>
      <c r="C836" t="str">
        <f>IFERROR(VLOOKUP(A836,管理亚马逊库存!A:L,12,0),"")</f>
        <v/>
      </c>
      <c r="D836" t="str">
        <f>IFERROR(VLOOKUP(A836,管理亚马逊库存!A:Q,17,0),"")</f>
        <v/>
      </c>
      <c r="E836" t="str">
        <f>IFERROR(VLOOKUP(A836,管理亚马逊库存!A:R,18,0),"")</f>
        <v/>
      </c>
      <c r="F836">
        <f t="shared" si="29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30"/>
        <v>0</v>
      </c>
    </row>
    <row r="837" spans="1:14">
      <c r="A837" s="4"/>
      <c r="B837" t="str">
        <f>IFERROR(VLOOKUP(A837,管理亚马逊库存!A:K,11,0),"")</f>
        <v/>
      </c>
      <c r="C837" t="str">
        <f>IFERROR(VLOOKUP(A837,管理亚马逊库存!A:L,12,0),"")</f>
        <v/>
      </c>
      <c r="D837" t="str">
        <f>IFERROR(VLOOKUP(A837,管理亚马逊库存!A:Q,17,0),"")</f>
        <v/>
      </c>
      <c r="E837" t="str">
        <f>IFERROR(VLOOKUP(A837,管理亚马逊库存!A:R,18,0),"")</f>
        <v/>
      </c>
      <c r="F837">
        <f t="shared" si="29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30"/>
        <v>0</v>
      </c>
    </row>
    <row r="838" spans="1:14">
      <c r="A838" s="4"/>
      <c r="B838" t="str">
        <f>IFERROR(VLOOKUP(A838,管理亚马逊库存!A:K,11,0),"")</f>
        <v/>
      </c>
      <c r="C838" t="str">
        <f>IFERROR(VLOOKUP(A838,管理亚马逊库存!A:L,12,0),"")</f>
        <v/>
      </c>
      <c r="D838" t="str">
        <f>IFERROR(VLOOKUP(A838,管理亚马逊库存!A:Q,17,0),"")</f>
        <v/>
      </c>
      <c r="E838" t="str">
        <f>IFERROR(VLOOKUP(A838,管理亚马逊库存!A:R,18,0),"")</f>
        <v/>
      </c>
      <c r="F838">
        <f t="shared" si="29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30"/>
        <v>0</v>
      </c>
    </row>
    <row r="839" spans="1:14">
      <c r="A839" s="4"/>
      <c r="B839" t="str">
        <f>IFERROR(VLOOKUP(A839,管理亚马逊库存!A:K,11,0),"")</f>
        <v/>
      </c>
      <c r="C839" t="str">
        <f>IFERROR(VLOOKUP(A839,管理亚马逊库存!A:L,12,0),"")</f>
        <v/>
      </c>
      <c r="D839" t="str">
        <f>IFERROR(VLOOKUP(A839,管理亚马逊库存!A:Q,17,0),"")</f>
        <v/>
      </c>
      <c r="E839" t="str">
        <f>IFERROR(VLOOKUP(A839,管理亚马逊库存!A:R,18,0),"")</f>
        <v/>
      </c>
      <c r="F839">
        <f t="shared" si="29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30"/>
        <v>0</v>
      </c>
    </row>
    <row r="840" spans="1:14">
      <c r="A840" s="4"/>
      <c r="B840" t="str">
        <f>IFERROR(VLOOKUP(A840,管理亚马逊库存!A:K,11,0),"")</f>
        <v/>
      </c>
      <c r="C840" t="str">
        <f>IFERROR(VLOOKUP(A840,管理亚马逊库存!A:L,12,0),"")</f>
        <v/>
      </c>
      <c r="D840" t="str">
        <f>IFERROR(VLOOKUP(A840,管理亚马逊库存!A:Q,17,0),"")</f>
        <v/>
      </c>
      <c r="E840" t="str">
        <f>IFERROR(VLOOKUP(A840,管理亚马逊库存!A:R,18,0),"")</f>
        <v/>
      </c>
      <c r="F840">
        <f t="shared" si="29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30"/>
        <v>0</v>
      </c>
    </row>
    <row r="841" spans="1:14">
      <c r="A841" s="4"/>
      <c r="B841" t="str">
        <f>IFERROR(VLOOKUP(A841,管理亚马逊库存!A:K,11,0),"")</f>
        <v/>
      </c>
      <c r="C841" t="str">
        <f>IFERROR(VLOOKUP(A841,管理亚马逊库存!A:L,12,0),"")</f>
        <v/>
      </c>
      <c r="D841" t="str">
        <f>IFERROR(VLOOKUP(A841,管理亚马逊库存!A:Q,17,0),"")</f>
        <v/>
      </c>
      <c r="E841" t="str">
        <f>IFERROR(VLOOKUP(A841,管理亚马逊库存!A:R,18,0),"")</f>
        <v/>
      </c>
      <c r="F841">
        <f t="shared" si="29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30"/>
        <v>0</v>
      </c>
    </row>
    <row r="842" spans="1:14">
      <c r="A842" s="4"/>
      <c r="B842" t="str">
        <f>IFERROR(VLOOKUP(A842,管理亚马逊库存!A:K,11,0),"")</f>
        <v/>
      </c>
      <c r="C842" t="str">
        <f>IFERROR(VLOOKUP(A842,管理亚马逊库存!A:L,12,0),"")</f>
        <v/>
      </c>
      <c r="D842" t="str">
        <f>IFERROR(VLOOKUP(A842,管理亚马逊库存!A:Q,17,0),"")</f>
        <v/>
      </c>
      <c r="E842" t="str">
        <f>IFERROR(VLOOKUP(A842,管理亚马逊库存!A:R,18,0),"")</f>
        <v/>
      </c>
      <c r="F842">
        <f t="shared" si="29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30"/>
        <v>0</v>
      </c>
    </row>
    <row r="843" spans="1:14">
      <c r="A843" s="4"/>
      <c r="B843" t="str">
        <f>IFERROR(VLOOKUP(A843,管理亚马逊库存!A:K,11,0),"")</f>
        <v/>
      </c>
      <c r="C843" t="str">
        <f>IFERROR(VLOOKUP(A843,管理亚马逊库存!A:L,12,0),"")</f>
        <v/>
      </c>
      <c r="D843" t="str">
        <f>IFERROR(VLOOKUP(A843,管理亚马逊库存!A:Q,17,0),"")</f>
        <v/>
      </c>
      <c r="E843" t="str">
        <f>IFERROR(VLOOKUP(A843,管理亚马逊库存!A:R,18,0),"")</f>
        <v/>
      </c>
      <c r="F843">
        <f t="shared" si="29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30"/>
        <v>0</v>
      </c>
    </row>
    <row r="844" spans="1:14">
      <c r="A844" s="4"/>
      <c r="B844" t="str">
        <f>IFERROR(VLOOKUP(A844,管理亚马逊库存!A:K,11,0),"")</f>
        <v/>
      </c>
      <c r="C844" t="str">
        <f>IFERROR(VLOOKUP(A844,管理亚马逊库存!A:L,12,0),"")</f>
        <v/>
      </c>
      <c r="D844" t="str">
        <f>IFERROR(VLOOKUP(A844,管理亚马逊库存!A:Q,17,0),"")</f>
        <v/>
      </c>
      <c r="E844" t="str">
        <f>IFERROR(VLOOKUP(A844,管理亚马逊库存!A:R,18,0),"")</f>
        <v/>
      </c>
      <c r="F844">
        <f t="shared" si="29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30"/>
        <v>0</v>
      </c>
    </row>
    <row r="845" spans="1:14">
      <c r="A845" s="4"/>
      <c r="B845" t="str">
        <f>IFERROR(VLOOKUP(A845,管理亚马逊库存!A:K,11,0),"")</f>
        <v/>
      </c>
      <c r="C845" t="str">
        <f>IFERROR(VLOOKUP(A845,管理亚马逊库存!A:L,12,0),"")</f>
        <v/>
      </c>
      <c r="D845" t="str">
        <f>IFERROR(VLOOKUP(A845,管理亚马逊库存!A:Q,17,0),"")</f>
        <v/>
      </c>
      <c r="E845" t="str">
        <f>IFERROR(VLOOKUP(A845,管理亚马逊库存!A:R,18,0),"")</f>
        <v/>
      </c>
      <c r="F845">
        <f t="shared" si="29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30"/>
        <v>0</v>
      </c>
    </row>
    <row r="846" spans="1:14">
      <c r="A846" s="4"/>
      <c r="B846" t="str">
        <f>IFERROR(VLOOKUP(A846,管理亚马逊库存!A:K,11,0),"")</f>
        <v/>
      </c>
      <c r="C846" t="str">
        <f>IFERROR(VLOOKUP(A846,管理亚马逊库存!A:L,12,0),"")</f>
        <v/>
      </c>
      <c r="D846" t="str">
        <f>IFERROR(VLOOKUP(A846,管理亚马逊库存!A:Q,17,0),"")</f>
        <v/>
      </c>
      <c r="E846" t="str">
        <f>IFERROR(VLOOKUP(A846,管理亚马逊库存!A:R,18,0),"")</f>
        <v/>
      </c>
      <c r="F846">
        <f t="shared" si="29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30"/>
        <v>0</v>
      </c>
    </row>
    <row r="847" spans="1:14">
      <c r="A847" s="4"/>
      <c r="B847" t="str">
        <f>IFERROR(VLOOKUP(A847,管理亚马逊库存!A:K,11,0),"")</f>
        <v/>
      </c>
      <c r="C847" t="str">
        <f>IFERROR(VLOOKUP(A847,管理亚马逊库存!A:L,12,0),"")</f>
        <v/>
      </c>
      <c r="D847" t="str">
        <f>IFERROR(VLOOKUP(A847,管理亚马逊库存!A:Q,17,0),"")</f>
        <v/>
      </c>
      <c r="E847" t="str">
        <f>IFERROR(VLOOKUP(A847,管理亚马逊库存!A:R,18,0),"")</f>
        <v/>
      </c>
      <c r="F847">
        <f t="shared" si="29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30"/>
        <v>0</v>
      </c>
    </row>
  </sheetData>
  <autoFilter ref="A1:N3238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1</xdr:row>
                <xdr:rowOff>161925</xdr:rowOff>
              </from>
              <to>
                <xdr:col>17</xdr:col>
                <xdr:colOff>19050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2018-07-10T08:39:26Z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