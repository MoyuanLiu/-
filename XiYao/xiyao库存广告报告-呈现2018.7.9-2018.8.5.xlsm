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'库存（子SKU）'!$A$6:$AV$396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<sst xmlns="http://schemas.openxmlformats.org/spreadsheetml/2006/main" count="1142">
  <si>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</si>
  <si>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</si>
  <si>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</si>
  <si>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</si>
  <si>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</si>
  <si>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</si>
  <si>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</si>
  <si>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</si>
  <si>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</si>
  <si>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</si>
  <si>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</si>
  <si>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</si>
  <si>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</si>
  <si>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</si>
  <si>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</si>
  <si>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</si>
  <si>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</si>
  <si>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</si>
  <si>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</si>
  <si>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</si>
  <si>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</si>
  <si>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</si>
  <si>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</si>
  <si>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</si>
  <si>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</si>
  <si>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</si>
  <si>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</si>
  <si>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</si>
  <si>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</si>
  <si>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</si>
  <si>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</si>
  <si>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</si>
  <si>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</si>
  <si>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</si>
  <si>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</si>
  <si>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</si>
  <si>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</si>
  <si>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</si>
  <si>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</si>
  <si>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</si>
  <si>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</si>
  <si>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</si>
  <si>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</si>
  <si>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</si>
  <si>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</si>
  <si>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</si>
  <si>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</si>
  <si>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</si>
  <si>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</si>
  <si>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</si>
  <si>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</si>
  <si>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</si>
  <si>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</si>
  <si>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</si>
  <si>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/>
  </si>
  <si>
    <t>无销量广告费为12.71</t>
  </si>
  <si>
    <t>无销量广告费为10.22</t>
  </si>
  <si>
    <t>无销量广告费为3.33</t>
  </si>
  <si>
    <t>DDHNYK0</t>
  </si>
  <si>
    <t>B074FP8NZF</t>
  </si>
  <si>
    <t>DDHNY</t>
  </si>
  <si>
    <t>无销量广告费为40.19</t>
  </si>
  <si>
    <t>无销量广告费为18.05</t>
  </si>
  <si>
    <t>GJHNYK0</t>
  </si>
  <si>
    <t>B074FQSTJL</t>
  </si>
  <si>
    <t>GJHNY</t>
  </si>
  <si>
    <t>无销量广告费为2.9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</si>
  <si>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</si>
  <si>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</si>
  <si>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</si>
  <si>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</si>
  <si>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</si>
  <si>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</si>
  <si>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</si>
  <si>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</si>
  <si>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</si>
  <si>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</si>
  <si>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</si>
  <si>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</si>
  <si>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</si>
  <si>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</si>
  <si>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</si>
  <si>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</si>
  <si>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</si>
  <si>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</si>
  <si>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</si>
  <si>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</si>
  <si>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</si>
  <si>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</si>
  <si>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</si>
  <si>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</si>
  <si>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</si>
  <si>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</si>
  <si>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</si>
  <si>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</si>
  <si>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</si>
  <si>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</si>
  <si>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</si>
  <si>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</si>
  <si>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</si>
  <si>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</si>
  <si>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</si>
  <si>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</si>
  <si>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</si>
  <si>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</si>
  <si>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</si>
  <si>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</si>
  <si>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</si>
  <si>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</si>
  <si>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</si>
  <si>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</si>
  <si>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</si>
  <si>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</si>
  <si>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</si>
  <si>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</si>
  <si>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</si>
  <si>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</si>
  <si>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</si>
  <si>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</si>
  <si>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</si>
  <si>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</si>
  <si>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</si>
  <si>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</si>
  <si>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</si>
  <si>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</si>
  <si>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</si>
  <si>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</si>
  <si>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</si>
  <si>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</si>
  <si>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</si>
  <si>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</si>
  <si>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</si>
  <si>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</si>
  <si>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</si>
  <si>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</si>
  <si>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</si>
  <si>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</si>
  <si>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</si>
  <si>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</si>
  <si>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</si>
  <si>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</si>
  <si>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</si>
  <si>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</si>
  <si>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</si>
  <si>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</si>
  <si>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</si>
  <si>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</si>
  <si>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</si>
  <si>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</si>
  <si>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</si>
  <si>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</si>
  <si>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</si>
  <si>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</si>
  <si>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</si>
  <si>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</si>
  <si>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</si>
  <si>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</si>
  <si>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</si>
  <si>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</si>
  <si>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</si>
  <si>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</si>
  <si>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</si>
  <si>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</si>
  <si>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</si>
  <si>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</si>
  <si>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</si>
  <si>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</si>
  <si>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</si>
  <si>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</si>
  <si>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</si>
  <si>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</si>
  <si>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</si>
  <si>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</si>
  <si>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</si>
  <si>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</si>
  <si>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</si>
  <si>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</si>
  <si>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</si>
  <si>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</si>
  <si>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</si>
  <si>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</si>
  <si>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</si>
  <si>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</si>
  <si>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</si>
  <si>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</si>
  <si>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</si>
  <si>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</si>
  <si>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</si>
  <si>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</si>
  <si>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</si>
  <si>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</si>
  <si>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</si>
  <si>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</si>
  <si>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</si>
  <si>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</si>
  <si>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</si>
  <si>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</si>
  <si>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</si>
  <si>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</si>
  <si>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</si>
  <si>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</si>
  <si>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</si>
  <si>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</si>
  <si>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</si>
  <si>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</si>
  <si>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</si>
  <si>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</si>
  <si>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无销量广告费为0.28</t>
  </si>
  <si>
    <t>无销量广告费为0.45</t>
  </si>
  <si>
    <t>无销量广告费为0.62</t>
  </si>
  <si>
    <t>N029YE038</t>
  </si>
  <si>
    <t>B074JWL4F2</t>
  </si>
  <si>
    <t>无销量广告费为1.21</t>
  </si>
  <si>
    <t>N029YE040</t>
  </si>
  <si>
    <t>B074JV7QWX</t>
  </si>
  <si>
    <t>无销量广告费为1.24</t>
  </si>
  <si>
    <t>无销量广告费为4.01</t>
  </si>
  <si>
    <t>无销量广告费为1.45</t>
  </si>
  <si>
    <t>无销量广告费为2.16</t>
  </si>
  <si>
    <t>N029YHL36</t>
  </si>
  <si>
    <t>B074K1L386</t>
  </si>
  <si>
    <t>N029Y</t>
  </si>
  <si>
    <t>无销量广告费为0.58</t>
  </si>
  <si>
    <t>无销量广告费为1.1</t>
  </si>
  <si>
    <t>无销量广告费为0.98</t>
  </si>
  <si>
    <t>无销量广告费为0.66</t>
  </si>
  <si>
    <t>N029YHL38</t>
  </si>
  <si>
    <t>B074JWS1CB</t>
  </si>
  <si>
    <t>无销量广告费为1.55</t>
  </si>
  <si>
    <t>无销量广告费为0.74</t>
  </si>
  <si>
    <t>N029YHL40</t>
  </si>
  <si>
    <t>B074JW5XZ4</t>
  </si>
  <si>
    <t>无销量广告费为7.72</t>
  </si>
  <si>
    <t>N029YMH36</t>
  </si>
  <si>
    <t>B074K5FMRM</t>
  </si>
  <si>
    <t>N029YMH38</t>
  </si>
  <si>
    <t>B074K26CND</t>
  </si>
  <si>
    <t>无销量广告费为0.83</t>
  </si>
  <si>
    <t>无销量广告费为0.49</t>
  </si>
  <si>
    <t>N029YMH40</t>
  </si>
  <si>
    <t>B074JX2YCN</t>
  </si>
  <si>
    <t>无销量广告费为1.05</t>
  </si>
  <si>
    <t>无销量广告费为0.33</t>
  </si>
  <si>
    <t>N039YB036</t>
  </si>
  <si>
    <t>B074JWQ644</t>
  </si>
  <si>
    <t>无销量广告费为1.82</t>
  </si>
  <si>
    <t>无销量广告费为2.24</t>
  </si>
  <si>
    <t>N039YB038</t>
  </si>
  <si>
    <t>B074JX2YCX</t>
  </si>
  <si>
    <t>N039YB040</t>
  </si>
  <si>
    <t>B074JTW9NR</t>
  </si>
  <si>
    <t>N039YG036</t>
  </si>
  <si>
    <t>B074JZ2HSX</t>
  </si>
  <si>
    <t>N039Y</t>
  </si>
  <si>
    <t>N039YG038</t>
  </si>
  <si>
    <t>B074JW9ZRS</t>
  </si>
  <si>
    <t>无销量广告费为4.4</t>
  </si>
  <si>
    <t>无销量广告费为1.67</t>
  </si>
  <si>
    <t>无销量广告费为3.87</t>
  </si>
  <si>
    <t>无销量广告费为3.43</t>
  </si>
  <si>
    <t>N039YG040</t>
  </si>
  <si>
    <t>B074JW46DX</t>
  </si>
  <si>
    <t>无销量广告费为0.18</t>
  </si>
  <si>
    <t>无销量广告费为1.2</t>
  </si>
  <si>
    <t>无销量广告费为0.4</t>
  </si>
  <si>
    <t>N039YP036</t>
  </si>
  <si>
    <t>B074K1913X</t>
  </si>
  <si>
    <t>无销量广告费为0.41</t>
  </si>
  <si>
    <t>无销量广告费为0.23</t>
  </si>
  <si>
    <t>无销量广告费为0.72</t>
  </si>
  <si>
    <t>N039YP038</t>
  </si>
  <si>
    <t>B074JXGVBD</t>
  </si>
  <si>
    <t>无销量广告费为1.87</t>
  </si>
  <si>
    <t>无销量广告费为1.28</t>
  </si>
  <si>
    <t>无销量广告费为0.7</t>
  </si>
  <si>
    <t>无销量广告费为0.39</t>
  </si>
  <si>
    <t>N039YP040</t>
  </si>
  <si>
    <t>B074JY219R</t>
  </si>
  <si>
    <t>N039YR036</t>
  </si>
  <si>
    <t>B074JYMHZL</t>
  </si>
  <si>
    <t>无销量广告费为0.86</t>
  </si>
  <si>
    <t>无销量广告费为0.82</t>
  </si>
  <si>
    <t>无销量广告费为0.42</t>
  </si>
  <si>
    <t>N039YR038</t>
  </si>
  <si>
    <t>B074K3YM47</t>
  </si>
  <si>
    <t>无销量广告费为1.16</t>
  </si>
  <si>
    <t>无销量广告费为2.73</t>
  </si>
  <si>
    <t>N039YR040</t>
  </si>
  <si>
    <t>B074K4GLGJ</t>
  </si>
  <si>
    <t>无销量广告费为0.12</t>
  </si>
  <si>
    <t>N039YTHS36</t>
  </si>
  <si>
    <t>B074JTR9T4</t>
  </si>
  <si>
    <t>无销量广告费为0.75</t>
  </si>
  <si>
    <t>无销量广告费为1.23</t>
  </si>
  <si>
    <t>无销量广告费为0.44</t>
  </si>
  <si>
    <t>N039YTHS38</t>
  </si>
  <si>
    <t>B074K3MSFD</t>
  </si>
  <si>
    <t>N039YTHS40</t>
  </si>
  <si>
    <t>B074K4N247</t>
  </si>
  <si>
    <t>无销量广告费为0.02</t>
  </si>
  <si>
    <t>无销量广告费为0.69</t>
  </si>
  <si>
    <t>N039YXGH36</t>
  </si>
  <si>
    <t>B074K2GJCF</t>
  </si>
  <si>
    <t>无销量广告费为0.05</t>
  </si>
  <si>
    <t>N039YXGH38</t>
  </si>
  <si>
    <t>B074JZ42X6</t>
  </si>
  <si>
    <t>无销量广告费为0.67</t>
  </si>
  <si>
    <t>N039YXGH40</t>
  </si>
  <si>
    <t>B074JXZSJM</t>
  </si>
  <si>
    <t>N158YB038</t>
  </si>
  <si>
    <t>B074FXCYQT</t>
  </si>
  <si>
    <t>N1228Y</t>
  </si>
  <si>
    <t>无销量广告费为10.59</t>
  </si>
  <si>
    <t>无销量广告费为6.96</t>
  </si>
  <si>
    <t>无销量广告费为7.97</t>
  </si>
  <si>
    <t>无销量广告费为3.51</t>
  </si>
  <si>
    <t>N158YK038</t>
  </si>
  <si>
    <t>B074FVRK4X</t>
  </si>
  <si>
    <t>N158YR038</t>
  </si>
  <si>
    <t>B074FSXVNK</t>
  </si>
  <si>
    <t>N158Y</t>
  </si>
  <si>
    <t>无销量广告费为0.6</t>
  </si>
  <si>
    <t>N1709YR042</t>
  </si>
  <si>
    <t>B074CZ4S1V</t>
  </si>
  <si>
    <t>N1709Y</t>
  </si>
  <si>
    <t>无销量广告费为2.56</t>
  </si>
  <si>
    <t>无销量广告费为3.27</t>
  </si>
  <si>
    <t>无销量广告费为0.71</t>
  </si>
  <si>
    <t>N1709YR046</t>
  </si>
  <si>
    <t>B074CS5P3X</t>
  </si>
  <si>
    <t>N1709YR048</t>
  </si>
  <si>
    <t>B074CSF1MY</t>
  </si>
  <si>
    <t>无销量广告费为2.52</t>
  </si>
  <si>
    <t>无销量广告费为2</t>
  </si>
  <si>
    <t>N1709YXS48</t>
  </si>
  <si>
    <t>B074CSG4ZS</t>
  </si>
  <si>
    <t>N1709YZS44</t>
  </si>
  <si>
    <t>B074CSPJVW</t>
  </si>
  <si>
    <t>N1709YZS46</t>
  </si>
  <si>
    <t>B074CS535P</t>
  </si>
  <si>
    <t>无销量广告费为2.87</t>
  </si>
  <si>
    <t>无销量广告费为2.35</t>
  </si>
  <si>
    <t>无销量广告费为1.3</t>
  </si>
  <si>
    <t>无销量广告费为0.89</t>
  </si>
  <si>
    <t>N1709YZS48</t>
  </si>
  <si>
    <t>B074CSCRF6</t>
  </si>
  <si>
    <t>N2033YK036</t>
  </si>
  <si>
    <t>B074DVZPS8</t>
  </si>
  <si>
    <t>无销量广告费为0.07</t>
  </si>
  <si>
    <t>N2033YK038</t>
  </si>
  <si>
    <t>B074DWGDMH</t>
  </si>
  <si>
    <t>无销量广告费为0.31</t>
  </si>
  <si>
    <t>无销量广告费为0.54</t>
  </si>
  <si>
    <t>N2033YK040</t>
  </si>
  <si>
    <t>B074DWBXBD</t>
  </si>
  <si>
    <t>无销量广告费为3.05</t>
  </si>
  <si>
    <t>无销量广告费为1.96</t>
  </si>
  <si>
    <t>无销量广告费为3.69</t>
  </si>
  <si>
    <t>无销量广告费为0.88</t>
  </si>
  <si>
    <t>N2033YK042</t>
  </si>
  <si>
    <t>B074DVVVVP</t>
  </si>
  <si>
    <t>N2033Y</t>
  </si>
  <si>
    <t>无销量广告费为0.57</t>
  </si>
  <si>
    <t>N2033YSG36</t>
  </si>
  <si>
    <t>B074DVCJDR</t>
  </si>
  <si>
    <t>N2033YSG40</t>
  </si>
  <si>
    <t>B074DW762P</t>
  </si>
  <si>
    <t>无销量广告费为0.14</t>
  </si>
  <si>
    <t>无销量广告费为0.08</t>
  </si>
  <si>
    <t>N2047YK032</t>
  </si>
  <si>
    <t>B074DVVJND</t>
  </si>
  <si>
    <t>无销量广告费为0.21</t>
  </si>
  <si>
    <t>N2047YK034</t>
  </si>
  <si>
    <t>B074DW274J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</si>
  <si>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</si>
  <si>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</si>
  <si>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</si>
  <si>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</si>
  <si>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</si>
  <si>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</si>
  <si>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</si>
  <si>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N2082YK038</t>
  </si>
  <si>
    <t>B074DWFV62</t>
  </si>
  <si>
    <t>无销量广告费为0.68</t>
  </si>
  <si>
    <t>无销量广告费为1.63</t>
  </si>
  <si>
    <t>无销量广告费为1.02</t>
  </si>
  <si>
    <t>N2082YQJ34</t>
  </si>
  <si>
    <t>B074DW5ZSD</t>
  </si>
  <si>
    <t>N2082Y</t>
  </si>
  <si>
    <t>无销量广告费为0.35</t>
  </si>
  <si>
    <t>N2082YQJ36</t>
  </si>
  <si>
    <t>B074DVY5J8</t>
  </si>
  <si>
    <t>无销量广告费为0.09</t>
  </si>
  <si>
    <t>无销量广告费为0.06</t>
  </si>
  <si>
    <t>N2082YQJ38</t>
  </si>
  <si>
    <t>B074DW2MGG</t>
  </si>
  <si>
    <t>N2082YQLS34</t>
  </si>
  <si>
    <t>B074DW1MXR</t>
  </si>
  <si>
    <t>无销量广告费为0.34</t>
  </si>
  <si>
    <t>无销量广告费为0.51</t>
  </si>
  <si>
    <t>N2082YQLS36</t>
  </si>
  <si>
    <t>B074DW2H3B</t>
  </si>
  <si>
    <t>N2082YQLS38</t>
  </si>
  <si>
    <t>B074DWNCM6</t>
  </si>
  <si>
    <t>N2257YG036</t>
  </si>
  <si>
    <t>B074FL1674</t>
  </si>
  <si>
    <t>无销量广告费为18.02</t>
  </si>
  <si>
    <t>无销量广告费为4.41</t>
  </si>
  <si>
    <t>N2257YK034</t>
  </si>
  <si>
    <t>B074DVLRRB</t>
  </si>
  <si>
    <t>N2257YK038</t>
  </si>
  <si>
    <t>B074DW6NQD</t>
  </si>
  <si>
    <t>N2257Y</t>
  </si>
  <si>
    <t>N2257YR538</t>
  </si>
  <si>
    <t>B074DV7WDZ</t>
  </si>
  <si>
    <t>N2257YSG36</t>
  </si>
  <si>
    <t>B074DVZ847</t>
  </si>
  <si>
    <t>无销量广告费为2.57</t>
  </si>
  <si>
    <t>无销量广告费为1.72</t>
  </si>
  <si>
    <t>N2716YHL34</t>
  </si>
  <si>
    <t>B074QJ923S</t>
  </si>
  <si>
    <t>N263Y</t>
  </si>
  <si>
    <t>N2716YHL36</t>
  </si>
  <si>
    <t>B074Q9CTNJ</t>
  </si>
  <si>
    <t>无销量广告费为1.27</t>
  </si>
  <si>
    <t>无销量广告费为0.93</t>
  </si>
  <si>
    <t>N2716YHL38</t>
  </si>
  <si>
    <t>B074QQ5S79</t>
  </si>
  <si>
    <t>无销量广告费为0.04</t>
  </si>
  <si>
    <t>N2716YMH34</t>
  </si>
  <si>
    <t>B074QGD61W</t>
  </si>
  <si>
    <t>N2716Y</t>
  </si>
  <si>
    <t>无销量广告费为0.38</t>
  </si>
  <si>
    <t>N2716YMH36</t>
  </si>
  <si>
    <t>B074QFDH8R</t>
  </si>
  <si>
    <t>无销量广告费为0.8</t>
  </si>
  <si>
    <t>N2716YMH38</t>
  </si>
  <si>
    <t>B074QCYQ9L</t>
  </si>
  <si>
    <t>无销量广告费为0.55</t>
  </si>
  <si>
    <t>无销量广告费为0.64</t>
  </si>
  <si>
    <t>无销量广告费为1.04</t>
  </si>
  <si>
    <t>无销量广告费为0.26</t>
  </si>
  <si>
    <t>N2716YR034</t>
  </si>
  <si>
    <t>B074QDS9ZN</t>
  </si>
  <si>
    <t>无销量广告费为2.32</t>
  </si>
  <si>
    <t>无销量广告费为1.36</t>
  </si>
  <si>
    <t>N2716YR036</t>
  </si>
  <si>
    <t>B074QGLLQN</t>
  </si>
  <si>
    <t>N2716YR038</t>
  </si>
  <si>
    <t>B074QG3P8G</t>
  </si>
  <si>
    <t>无销量广告费为4.51</t>
  </si>
  <si>
    <t>N2716YYGL34</t>
  </si>
  <si>
    <t>B074QCGCJC</t>
  </si>
  <si>
    <t>无销量广告费为0.87</t>
  </si>
  <si>
    <t>无销量广告费为0.24</t>
  </si>
  <si>
    <t>无销量广告费为0.52</t>
  </si>
  <si>
    <t>N2716YYGL36</t>
  </si>
  <si>
    <t>B074QDSYXY</t>
  </si>
  <si>
    <t>N2716YYGL38</t>
  </si>
  <si>
    <t>B074Q9RQFH</t>
  </si>
  <si>
    <t>无销量广告费为0.81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</si>
  <si>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</si>
  <si>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</si>
  <si>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</si>
  <si>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</si>
  <si>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</si>
  <si>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</si>
  <si>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</si>
  <si>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</si>
  <si>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</si>
  <si>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</si>
  <si>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无销量广告费为10.92</t>
  </si>
  <si>
    <t>无销量广告费为7.92</t>
  </si>
  <si>
    <t>无销量广告费为12.01</t>
  </si>
  <si>
    <t>N31459YJS46</t>
  </si>
  <si>
    <t>B074CXNWMZ</t>
  </si>
  <si>
    <t>无销量广告费为0.15</t>
  </si>
  <si>
    <t>N31459YLL48</t>
  </si>
  <si>
    <t>B074CXBB31</t>
  </si>
  <si>
    <t>N31459YMH38</t>
  </si>
  <si>
    <t>B074CWRDHL</t>
  </si>
  <si>
    <t>无销量广告费为0.5</t>
  </si>
  <si>
    <t>无销量广告费为0.37</t>
  </si>
  <si>
    <t>N31459YMH42</t>
  </si>
  <si>
    <t>B074CXR8YG</t>
  </si>
  <si>
    <t>无销量广告费为2.6</t>
  </si>
  <si>
    <t>N31459YMH44</t>
  </si>
  <si>
    <t>B074CXK4TV</t>
  </si>
  <si>
    <t>无销量广告费为0.79</t>
  </si>
  <si>
    <t>N31459YMH46</t>
  </si>
  <si>
    <t>B074CX73CM</t>
  </si>
  <si>
    <t>无销量广告费为21.75</t>
  </si>
  <si>
    <t>无销量广告费为28.05</t>
  </si>
  <si>
    <t>无销量广告费为20.28</t>
  </si>
  <si>
    <t>无销量广告费为9.69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</si>
  <si>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</si>
  <si>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</si>
  <si>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</si>
  <si>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</si>
  <si>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</si>
  <si>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</si>
  <si>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</si>
  <si>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</si>
  <si>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</si>
  <si>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</si>
  <si>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</si>
  <si>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</si>
  <si>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无销量广告费为18.72</t>
  </si>
  <si>
    <t>无销量广告费为15.01</t>
  </si>
  <si>
    <t>无销量广告费为15.18</t>
  </si>
  <si>
    <t>无销量广告费为2.34</t>
  </si>
  <si>
    <t>N31459YR044</t>
  </si>
  <si>
    <t>B074CXMS2N</t>
  </si>
  <si>
    <t>N3818-2YW038</t>
  </si>
  <si>
    <t>B074CW3HDD</t>
  </si>
  <si>
    <t>N3818-2Y</t>
  </si>
  <si>
    <t>无销量广告费为8.38</t>
  </si>
  <si>
    <t>无销量广告费为10.48</t>
  </si>
  <si>
    <t>无销量广告费为5.22</t>
  </si>
  <si>
    <t>无销量广告费为1.69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</si>
  <si>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</si>
  <si>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</si>
  <si>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</si>
  <si>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</si>
  <si>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</si>
  <si>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</si>
  <si>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</si>
  <si>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</si>
  <si>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N531YB036</t>
  </si>
  <si>
    <t>B074JVMQRW</t>
  </si>
  <si>
    <t>N5100Y</t>
  </si>
  <si>
    <t>无销量广告费为0.36</t>
  </si>
  <si>
    <t>无销量广告费为1.51</t>
  </si>
  <si>
    <t>N531YB038</t>
  </si>
  <si>
    <t>B074K4DJJR</t>
  </si>
  <si>
    <t>无销量广告费为2.05</t>
  </si>
  <si>
    <t>无销量广告费为1.56</t>
  </si>
  <si>
    <t>无销量广告费为3.38</t>
  </si>
  <si>
    <t>N531YB040</t>
  </si>
  <si>
    <t>B074JW998T</t>
  </si>
  <si>
    <t>N531Y</t>
  </si>
  <si>
    <t>N531YK034</t>
  </si>
  <si>
    <t>B074K2QJ5H</t>
  </si>
  <si>
    <t>无销量广告费为15.82</t>
  </si>
  <si>
    <t>无销量广告费为12.81</t>
  </si>
  <si>
    <t>无销量广告费为1.73</t>
  </si>
  <si>
    <t>无销量广告费为0.22</t>
  </si>
  <si>
    <t>N531YK036</t>
  </si>
  <si>
    <t>B074K4DJKF</t>
  </si>
  <si>
    <t>N531YK038</t>
  </si>
  <si>
    <t>B074JYYM5F</t>
  </si>
  <si>
    <t>N531YK040</t>
  </si>
  <si>
    <t>B074K4K838</t>
  </si>
  <si>
    <t>无销量广告费为1.8</t>
  </si>
  <si>
    <t>无销量广告费为0.63</t>
  </si>
  <si>
    <t>N531YQL34</t>
  </si>
  <si>
    <t>B074K24HL3</t>
  </si>
  <si>
    <t>N531YQL36</t>
  </si>
  <si>
    <t>B074JXQX4Z</t>
  </si>
  <si>
    <t>N531YQL38</t>
  </si>
  <si>
    <t>B074JXFM38</t>
  </si>
  <si>
    <t>N531YQL40</t>
  </si>
  <si>
    <t>B074JZ1THP</t>
  </si>
  <si>
    <t>无销量广告费为1.09</t>
  </si>
  <si>
    <t>N531YR034</t>
  </si>
  <si>
    <t>B074K3VJ4G</t>
  </si>
  <si>
    <t>无销量广告费为4.67</t>
  </si>
  <si>
    <t>无销量广告费为5.89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</si>
  <si>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</si>
  <si>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</si>
  <si>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</si>
  <si>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</si>
  <si>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</si>
  <si>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</si>
  <si>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</si>
  <si>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</si>
  <si>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</si>
  <si>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</si>
  <si>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N531YXS38</t>
  </si>
  <si>
    <t>B074JV1QKR</t>
  </si>
  <si>
    <t>无销量广告费为0.97</t>
  </si>
  <si>
    <t>无销量广告费为0.27</t>
  </si>
  <si>
    <t>N531YXS40</t>
  </si>
  <si>
    <t>B074JV1QKT</t>
  </si>
  <si>
    <t>无销量广告费为1.15</t>
  </si>
  <si>
    <t>N583YQZ36</t>
  </si>
  <si>
    <t>B074DVW5HC</t>
  </si>
  <si>
    <t>N5330Y</t>
  </si>
  <si>
    <t>N583YQZ38</t>
  </si>
  <si>
    <t>B074FJ37K7</t>
  </si>
  <si>
    <t>无销量广告费为2.84</t>
  </si>
  <si>
    <t>无销量广告费为1.94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</si>
  <si>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</si>
  <si>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</si>
  <si>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</si>
  <si>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</si>
  <si>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</si>
  <si>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</si>
  <si>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</si>
  <si>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</si>
  <si>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</si>
  <si>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</si>
  <si>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</si>
  <si>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</si>
  <si>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</si>
  <si>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</si>
  <si>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</si>
  <si>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</si>
  <si>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</si>
  <si>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</si>
  <si>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</si>
  <si>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</si>
  <si>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</si>
  <si>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</si>
  <si>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</si>
  <si>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</si>
  <si>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</si>
  <si>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</si>
  <si>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</si>
  <si>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</si>
  <si>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</si>
  <si>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</si>
  <si>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</si>
  <si>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</si>
  <si>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</si>
  <si>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</si>
  <si>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</si>
  <si>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</si>
  <si>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</si>
  <si>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</si>
  <si>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</si>
  <si>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</si>
  <si>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</si>
  <si>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</si>
  <si>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</si>
  <si>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</si>
  <si>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</si>
  <si>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</si>
  <si>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</si>
  <si>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</si>
  <si>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</si>
  <si>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</si>
  <si>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</si>
  <si>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</si>
  <si>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</si>
  <si>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</si>
  <si>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</si>
  <si>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</si>
  <si>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</si>
  <si>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</si>
  <si>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</si>
  <si>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</si>
  <si>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</si>
  <si>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</si>
  <si>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</si>
  <si>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</si>
  <si>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</si>
  <si>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</si>
  <si>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</si>
  <si>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</si>
  <si>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</si>
  <si>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</si>
  <si>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</si>
  <si>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</si>
  <si>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</si>
  <si>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</si>
  <si>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</si>
  <si>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</si>
  <si>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</si>
  <si>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无销量广告费为0.32</t>
  </si>
  <si>
    <t>N888YK040</t>
  </si>
  <si>
    <t>B074FTJ6WL</t>
  </si>
  <si>
    <t>N888YK042</t>
  </si>
  <si>
    <t>B074FSCZT2</t>
  </si>
  <si>
    <t>N888Y</t>
  </si>
  <si>
    <t>无销量广告费为0.29</t>
  </si>
  <si>
    <t>无销量广告费为1</t>
  </si>
  <si>
    <t>N888YR536</t>
  </si>
  <si>
    <t>B074FTW5DS</t>
  </si>
  <si>
    <t>无销量广告费为0.47</t>
  </si>
  <si>
    <t>N888YR538</t>
  </si>
  <si>
    <t>B074FRWKSK</t>
  </si>
  <si>
    <t>N888YR540</t>
  </si>
  <si>
    <t>B074FX3ZFZ</t>
  </si>
  <si>
    <t>无销量广告费为1.53</t>
  </si>
  <si>
    <t>无销量广告费为1.37</t>
  </si>
  <si>
    <t>N888YR542</t>
  </si>
  <si>
    <t>B074FXLL7J</t>
  </si>
  <si>
    <t>N888YXS36</t>
  </si>
  <si>
    <t>B074FQWCTK</t>
  </si>
  <si>
    <t>无销量广告费为2.72</t>
  </si>
  <si>
    <t>无销量广告费为2.21</t>
  </si>
  <si>
    <t>N888YXS38</t>
  </si>
  <si>
    <t>B074FRX8XF</t>
  </si>
  <si>
    <t>无销量广告费为0.94</t>
  </si>
  <si>
    <t>无销量广告费为0.03</t>
  </si>
  <si>
    <t>N888YXS42</t>
  </si>
  <si>
    <t>B074FVKNXW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</si>
  <si>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</si>
  <si>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</si>
  <si>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</si>
  <si>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</si>
  <si>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</si>
  <si>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</si>
  <si>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</si>
  <si>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</si>
  <si>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</si>
  <si>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</si>
  <si>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</si>
  <si>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</si>
  <si>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</si>
  <si>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</si>
  <si>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</si>
  <si>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</si>
  <si>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</si>
  <si>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</si>
  <si>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</si>
  <si>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</si>
  <si>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</si>
  <si>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</si>
  <si>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</si>
  <si>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</si>
  <si>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</si>
  <si>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</si>
  <si>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</si>
  <si>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</si>
  <si>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</si>
  <si>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</si>
  <si>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</si>
  <si>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</si>
  <si>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</si>
  <si>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</si>
  <si>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</si>
  <si>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</si>
  <si>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</si>
  <si>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</si>
  <si>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</si>
  <si>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</si>
  <si>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</si>
  <si>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</si>
  <si>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</si>
  <si>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</si>
  <si>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</si>
  <si>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</si>
  <si>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</si>
  <si>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</si>
  <si>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</si>
  <si>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</si>
  <si>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</si>
  <si>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</si>
  <si>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</si>
  <si>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</si>
  <si>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</si>
  <si>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</si>
  <si>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</si>
  <si>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</si>
  <si>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</si>
  <si>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</si>
  <si>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</si>
  <si>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</si>
  <si>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</si>
  <si>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</si>
  <si>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</si>
  <si>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</si>
  <si>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</si>
  <si>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</si>
  <si>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无销量广告费为6.8</t>
  </si>
  <si>
    <t>无销量广告费为5.61</t>
  </si>
  <si>
    <t>无销量广告费为4.24</t>
  </si>
  <si>
    <t>N9383YG046</t>
  </si>
  <si>
    <t>B074CX6ML1</t>
  </si>
  <si>
    <t>无销量广告费为0.1</t>
  </si>
  <si>
    <t>N9383YG048</t>
  </si>
  <si>
    <t>B074CWLZDG</t>
  </si>
  <si>
    <t>N9383YMH38</t>
  </si>
  <si>
    <t>B074CWYHQ7</t>
  </si>
  <si>
    <t>无销量广告费为0.9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</si>
  <si>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</si>
  <si>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</si>
  <si>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</si>
  <si>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</si>
  <si>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</si>
  <si>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</si>
  <si>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</si>
  <si>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</si>
  <si>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</si>
  <si>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</si>
  <si>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</si>
  <si>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</si>
  <si>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</si>
  <si>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</si>
  <si>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</si>
  <si>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</si>
  <si>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</si>
  <si>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</si>
  <si>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</si>
  <si>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</si>
  <si>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</si>
  <si>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</si>
  <si>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</si>
  <si>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</si>
  <si>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无销量广告费为3.4</t>
  </si>
  <si>
    <t>无销量广告费为1.57</t>
  </si>
  <si>
    <t>无销量广告费为3</t>
  </si>
  <si>
    <t>无销量广告费为0.95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</si>
  <si>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</si>
  <si>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</si>
  <si>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</si>
  <si>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</si>
  <si>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</si>
  <si>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</si>
  <si>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</si>
  <si>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</si>
  <si>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</si>
  <si>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</si>
  <si>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</si>
  <si>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</si>
  <si>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</si>
  <si>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</si>
  <si>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</si>
  <si>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</si>
  <si>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</si>
  <si>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</si>
  <si>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</si>
  <si>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</si>
  <si>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无销量广告费为1.75</t>
  </si>
  <si>
    <t>N9932YK038</t>
  </si>
  <si>
    <t>B074FTZ9P4</t>
  </si>
  <si>
    <t>N9932YR034</t>
  </si>
  <si>
    <t>B074FX94G1</t>
  </si>
  <si>
    <t>N9932Y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</si>
  <si>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</si>
  <si>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</si>
  <si>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</si>
  <si>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</si>
  <si>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</si>
  <si>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</si>
  <si>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</si>
  <si>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</si>
  <si>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无销量广告费为0.11</t>
  </si>
  <si>
    <t>N9932YXS34</t>
  </si>
  <si>
    <t>B074FQ29ZR</t>
  </si>
  <si>
    <t>无销量广告费为1.74</t>
  </si>
  <si>
    <t>无销量广告费为1.66</t>
  </si>
  <si>
    <t>无销量广告费为2.54</t>
  </si>
  <si>
    <t>无销量广告费为0.46</t>
  </si>
  <si>
    <t>N9932YXS36</t>
  </si>
  <si>
    <t>B074FVPGVL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</si>
  <si>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</si>
  <si>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</si>
  <si>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</si>
  <si>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</si>
  <si>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</si>
  <si>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</si>
  <si>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</si>
  <si>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</si>
  <si>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NK-XUHM001-K0-M</t>
  </si>
  <si>
    <t>B078WQY3NM</t>
  </si>
  <si>
    <t>ZSNW</t>
  </si>
  <si>
    <t>NK-XUHM001-K0-S</t>
  </si>
  <si>
    <t>B078WR3XZL</t>
  </si>
  <si>
    <t>ZZTS</t>
  </si>
  <si>
    <t>NK-XUHM001-K0-XL</t>
  </si>
  <si>
    <t>B078WPYL96</t>
  </si>
  <si>
    <t>NK-XUHM001</t>
  </si>
  <si>
    <t>无销量广告费为24.5</t>
  </si>
  <si>
    <t>无销量广告费为14.23</t>
  </si>
  <si>
    <t>无销量广告费为7.45</t>
  </si>
  <si>
    <t>NK-XUHM001-K0-XXL</t>
  </si>
  <si>
    <t>B078WQHD98</t>
  </si>
  <si>
    <t>无销量广告费为2.2</t>
  </si>
  <si>
    <t>NY-B15016-K0-L</t>
  </si>
  <si>
    <t>B078NQ9D6V</t>
  </si>
  <si>
    <t>NWZE</t>
  </si>
  <si>
    <t>NY-B15016-K0-M</t>
  </si>
  <si>
    <t>B078NN9LW4</t>
  </si>
  <si>
    <t>NY-B15016-K0-S</t>
  </si>
  <si>
    <t>B078NNNW7X</t>
  </si>
  <si>
    <t>无销量广告费为1.78</t>
  </si>
  <si>
    <t>NY-B15016-W0-L</t>
  </si>
  <si>
    <t>B078NQ7BCX</t>
  </si>
  <si>
    <t>NY-B15016</t>
  </si>
  <si>
    <t>无销量广告费为0.3</t>
  </si>
  <si>
    <t>NY-B15016-W0-M</t>
  </si>
  <si>
    <t>B078NN9RD2</t>
  </si>
  <si>
    <t>无销量广告费为0.56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</si>
  <si>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</si>
  <si>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</si>
  <si>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</si>
  <si>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</si>
  <si>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</si>
  <si>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</si>
  <si>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无销量广告费为20.18</t>
  </si>
  <si>
    <t>无销量广告费为17.5</t>
  </si>
  <si>
    <t>无销量广告费为8.07</t>
  </si>
  <si>
    <t>NY-B15016-Y0-S</t>
  </si>
  <si>
    <t>B078NNB2PQ</t>
  </si>
  <si>
    <t>无销量广告费为1.98</t>
  </si>
  <si>
    <t>NY-B15021-B0-L</t>
  </si>
  <si>
    <t>B078NQZYP7</t>
  </si>
  <si>
    <t>无销量广告费为2.04</t>
  </si>
  <si>
    <t>NY-B15021-B0-M</t>
  </si>
  <si>
    <t>B078NQ6C6H</t>
  </si>
  <si>
    <t>无销量广告费为6.87</t>
  </si>
  <si>
    <t>无销量广告费为8.52</t>
  </si>
  <si>
    <t>无销量广告费为11.5</t>
  </si>
  <si>
    <t>无销量广告费为2.88</t>
  </si>
  <si>
    <t>NY-B15021-B0-S</t>
  </si>
  <si>
    <t>B078NQ2LH1</t>
  </si>
  <si>
    <t>NY-B15021-B0-XL</t>
  </si>
  <si>
    <t>B078NPVY5T</t>
  </si>
  <si>
    <t>NY-B15021</t>
  </si>
  <si>
    <t>无销量广告费为0.48</t>
  </si>
  <si>
    <t>NY-B15021-K0-L</t>
  </si>
  <si>
    <t>B078NNLWT7</t>
  </si>
  <si>
    <t>无销量广告费为0.43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</si>
  <si>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</si>
  <si>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</si>
  <si>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</si>
  <si>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</si>
  <si>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</si>
  <si>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</si>
  <si>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</si>
  <si>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</si>
  <si>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无销量广告费为12.07</t>
  </si>
  <si>
    <t>无销量广告费为14.72</t>
  </si>
  <si>
    <t>无销量广告费为16.38</t>
  </si>
  <si>
    <t>无销量广告费为6.14</t>
  </si>
  <si>
    <t>NY-B15021-PI-M</t>
  </si>
  <si>
    <t>B078NQW8Y6</t>
  </si>
  <si>
    <t>无销量广告费为0.25</t>
  </si>
  <si>
    <t>NY-B15021-PI-S</t>
  </si>
  <si>
    <t>B078NGPQK3</t>
  </si>
  <si>
    <t>无销量广告费为1.4</t>
  </si>
  <si>
    <t>无销量广告费为1.65</t>
  </si>
  <si>
    <t>NY-B15021-PI-XL</t>
  </si>
  <si>
    <t>B078NNZWD6</t>
  </si>
  <si>
    <t>无销量广告费为6.04</t>
  </si>
  <si>
    <t>NY-B15021-W0-L</t>
  </si>
  <si>
    <t>B078NS87P7</t>
  </si>
  <si>
    <t>NK-XUHM011</t>
  </si>
  <si>
    <t>NY-B15021-W0-M</t>
  </si>
  <si>
    <t>B078NNTHD3</t>
  </si>
  <si>
    <t>NY-B15021-W0-S</t>
  </si>
  <si>
    <t>B078NSG1GW</t>
  </si>
  <si>
    <t>NY-B15021-W0-XL</t>
  </si>
  <si>
    <t>B078NNZ9M6</t>
  </si>
  <si>
    <t>无销量广告费为3.41</t>
  </si>
  <si>
    <t>无销量广告费为1.77</t>
  </si>
  <si>
    <t>无销量广告费为4.33</t>
  </si>
  <si>
    <t>无销量广告费为3.68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</si>
  <si>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</si>
  <si>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</si>
  <si>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</si>
  <si>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</si>
  <si>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</si>
  <si>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</si>
  <si>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</si>
  <si>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</si>
  <si>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</si>
  <si>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</si>
  <si>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无销量广告费为1.41</t>
  </si>
  <si>
    <t>NY-XUHM002-K0-L</t>
  </si>
  <si>
    <t>B07BKR7DCF</t>
  </si>
  <si>
    <t>NY-XUHM002-K0-M</t>
  </si>
  <si>
    <t>B07BKT1Y4D</t>
  </si>
  <si>
    <t>NY-XUHM002-K0-S</t>
  </si>
  <si>
    <t>B07BKNH45J</t>
  </si>
  <si>
    <t>NY-XUHM002-PI-L</t>
  </si>
  <si>
    <t>B07BKR7DCG</t>
  </si>
  <si>
    <t>无销量广告费为19.23</t>
  </si>
  <si>
    <t>无销量广告费为11.51</t>
  </si>
  <si>
    <t>NY-XUHM002-PI-M</t>
  </si>
  <si>
    <t>B07BKSWCR3</t>
  </si>
  <si>
    <t>无销量广告费为2.85</t>
  </si>
  <si>
    <t>NY-XUHM002-PI-S</t>
  </si>
  <si>
    <t>B07BKR8D8Z</t>
  </si>
  <si>
    <t>无销量广告费为4.82</t>
  </si>
  <si>
    <t>无销量广告费为5.41</t>
  </si>
  <si>
    <t>无销量广告费为1.26</t>
  </si>
  <si>
    <t>NY-XUHM005-GA-L</t>
  </si>
  <si>
    <t>B07BKTKK7K</t>
  </si>
  <si>
    <t>NY-XUHM005-GA-M</t>
  </si>
  <si>
    <t>B07BKTCPPS</t>
  </si>
  <si>
    <t>NY-XUHM005-GA-S</t>
  </si>
  <si>
    <t>B07BKWBM9B</t>
  </si>
  <si>
    <t>无销量广告费为1.43</t>
  </si>
  <si>
    <t>NY-XUHM005-K0-L</t>
  </si>
  <si>
    <t>B07BKTSQ1R</t>
  </si>
  <si>
    <t>无销量广告费为1.06</t>
  </si>
  <si>
    <t>无销量广告费为1.38</t>
  </si>
  <si>
    <t>NY-XUHM005-K0-M</t>
  </si>
  <si>
    <t>B07BKTLC85</t>
  </si>
  <si>
    <t>无销量广告费为2.62</t>
  </si>
  <si>
    <t>NY-XUHM005-K0-S</t>
  </si>
  <si>
    <t>B07BKS8YTN</t>
  </si>
  <si>
    <t>NY-XUHM011-K0-36C</t>
  </si>
  <si>
    <t>B078WQVSNV</t>
  </si>
  <si>
    <t>NY-XUHM011-K0-38C</t>
  </si>
  <si>
    <t>B078WRMSBV</t>
  </si>
  <si>
    <t>NY-XUHM011-K0-40C</t>
  </si>
  <si>
    <t>B078WQMW23</t>
  </si>
  <si>
    <t>NY-XUHM011-K0-42C</t>
  </si>
  <si>
    <t>B078WQV8SF</t>
  </si>
  <si>
    <t>NY-XUHM011-K0-44C</t>
  </si>
  <si>
    <t>B078WRLGFX</t>
  </si>
  <si>
    <t>NY-XUHM331-B0-L</t>
  </si>
  <si>
    <t>B07BKS4NK1</t>
  </si>
  <si>
    <t>NY-XUHM331</t>
  </si>
  <si>
    <t>无销量广告费为5.87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</si>
  <si>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</si>
  <si>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</si>
  <si>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</si>
  <si>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</si>
  <si>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</si>
  <si>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</si>
  <si>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</si>
  <si>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</si>
  <si>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</si>
  <si>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</si>
  <si>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无销量广告费为2.48</t>
  </si>
  <si>
    <t>NY-XUHM463-K0-L</t>
  </si>
  <si>
    <t>B07BKQTYFV</t>
  </si>
  <si>
    <t>NY-XUHM463</t>
  </si>
  <si>
    <t>NY-XUHM463-K0-M</t>
  </si>
  <si>
    <t>B07BKVPJ6Q</t>
  </si>
  <si>
    <t>无销量广告费为0.73</t>
  </si>
  <si>
    <t>NY-XUHM463-K0-S</t>
  </si>
  <si>
    <t>B07BKSX1D6</t>
  </si>
  <si>
    <t>无销量广告费为1.5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</si>
  <si>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</si>
  <si>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</si>
  <si>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</si>
  <si>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</si>
  <si>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</si>
  <si>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</si>
  <si>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</si>
  <si>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</si>
  <si>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</si>
  <si>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</si>
  <si>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无销量广告费为2.25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</si>
  <si>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</si>
  <si>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</si>
  <si>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</si>
  <si>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</si>
  <si>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</si>
  <si>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</si>
  <si>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</si>
  <si>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</si>
  <si>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</si>
  <si>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</si>
  <si>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</si>
  <si>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</si>
  <si>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</si>
  <si>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</si>
  <si>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</si>
  <si>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</si>
  <si>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</si>
  <si>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</si>
  <si>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</si>
  <si>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</si>
  <si>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</si>
  <si>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</si>
  <si>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</si>
  <si>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</si>
  <si>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</si>
  <si>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</si>
  <si>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</si>
  <si>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</si>
  <si>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</si>
  <si>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</si>
  <si>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</si>
  <si>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</si>
  <si>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</si>
  <si>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</si>
  <si>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</si>
  <si>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</si>
  <si>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</si>
  <si>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</si>
  <si>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无销量广告费为7.76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</si>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</sst>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0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2" borderId="8" applyNumberFormat="0" applyFont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5" borderId="4" applyNumberFormat="0" applyAlignment="0" applyProtection="0">
      <alignment vertical="center"/>
    </xf>
    <xf numFmtId="0" fontId="8" fillId="5" borderId="2" applyNumberFormat="0" applyAlignment="0" applyProtection="0">
      <alignment vertical="center"/>
    </xf>
    <xf numFmtId="0" fontId="9" fillId="6" borderId="3" applyNumberForma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B071HHSJ1R</v>
          </cell>
          <cell r="B2">
            <v>0</v>
          </cell>
          <cell r="C2">
            <v>0</v>
          </cell>
          <cell r="D2">
            <v>36</v>
          </cell>
          <cell r="E2">
            <v>62</v>
          </cell>
        </row>
        <row r="3">
          <cell r="A3" t="str">
            <v>B071JYNS5V</v>
          </cell>
          <cell r="B3">
            <v>0</v>
          </cell>
          <cell r="C3">
            <v>0</v>
          </cell>
          <cell r="D3">
            <v>0</v>
          </cell>
          <cell r="E3">
            <v>7</v>
          </cell>
        </row>
        <row r="4">
          <cell r="A4" t="str">
            <v>B071K8MVBL</v>
          </cell>
          <cell r="B4">
            <v>0</v>
          </cell>
          <cell r="C4">
            <v>4</v>
          </cell>
          <cell r="D4">
            <v>4</v>
          </cell>
          <cell r="E4">
            <v>2</v>
          </cell>
        </row>
        <row r="5">
          <cell r="A5" t="str">
            <v>B071NP2X5N</v>
          </cell>
          <cell r="B5">
            <v>0</v>
          </cell>
          <cell r="C5">
            <v>0</v>
          </cell>
          <cell r="D5">
            <v>0</v>
          </cell>
          <cell r="E5">
            <v>19</v>
          </cell>
        </row>
        <row r="6">
          <cell r="A6" t="str">
            <v>B071RNC571</v>
          </cell>
          <cell r="B6">
            <v>0</v>
          </cell>
          <cell r="C6">
            <v>1</v>
          </cell>
          <cell r="D6">
            <v>0</v>
          </cell>
          <cell r="E6">
            <v>1</v>
          </cell>
        </row>
        <row r="7">
          <cell r="A7" t="str">
            <v>B071YQ9S6C</v>
          </cell>
          <cell r="B7">
            <v>0</v>
          </cell>
          <cell r="C7">
            <v>3</v>
          </cell>
          <cell r="D7">
            <v>6</v>
          </cell>
          <cell r="E7">
            <v>2</v>
          </cell>
        </row>
        <row r="8">
          <cell r="A8" t="str">
            <v>B0721PYJL2</v>
          </cell>
          <cell r="B8">
            <v>4</v>
          </cell>
          <cell r="C8">
            <v>2</v>
          </cell>
          <cell r="D8">
            <v>6</v>
          </cell>
          <cell r="E8">
            <v>4</v>
          </cell>
        </row>
        <row r="9">
          <cell r="A9" t="str">
            <v>B0722LHQ3T</v>
          </cell>
          <cell r="B9">
            <v>2</v>
          </cell>
          <cell r="C9">
            <v>1</v>
          </cell>
          <cell r="D9">
            <v>3</v>
          </cell>
          <cell r="E9">
            <v>1</v>
          </cell>
        </row>
        <row r="10">
          <cell r="A10" t="str">
            <v>B072KH5Y75</v>
          </cell>
          <cell r="B10">
            <v>2</v>
          </cell>
          <cell r="C10">
            <v>1</v>
          </cell>
          <cell r="D10">
            <v>3</v>
          </cell>
          <cell r="E10">
            <v>2</v>
          </cell>
        </row>
        <row r="11">
          <cell r="A11" t="str">
            <v>B072N2WZ5J</v>
          </cell>
          <cell r="B11">
            <v>2</v>
          </cell>
          <cell r="C11">
            <v>1</v>
          </cell>
          <cell r="D11">
            <v>4</v>
          </cell>
          <cell r="E11">
            <v>2</v>
          </cell>
        </row>
        <row r="12">
          <cell r="A12" t="str">
            <v>B072RD6VF2</v>
          </cell>
          <cell r="B12">
            <v>3</v>
          </cell>
          <cell r="C12">
            <v>3</v>
          </cell>
          <cell r="D12">
            <v>5</v>
          </cell>
          <cell r="E12">
            <v>2</v>
          </cell>
        </row>
        <row r="13">
          <cell r="A13" t="str">
            <v>B073F1HX4C</v>
          </cell>
          <cell r="B13">
            <v>3</v>
          </cell>
          <cell r="C13">
            <v>5</v>
          </cell>
          <cell r="D13">
            <v>4</v>
          </cell>
          <cell r="E13">
            <v>2</v>
          </cell>
        </row>
        <row r="14">
          <cell r="A14" t="str">
            <v>B073F1L1DN</v>
          </cell>
          <cell r="B14">
            <v>6</v>
          </cell>
          <cell r="C14">
            <v>5</v>
          </cell>
          <cell r="D14">
            <v>3</v>
          </cell>
          <cell r="E14">
            <v>6</v>
          </cell>
        </row>
        <row r="15">
          <cell r="A15" t="str">
            <v>B073F2HG9P</v>
          </cell>
          <cell r="B15">
            <v>3</v>
          </cell>
          <cell r="C15">
            <v>1</v>
          </cell>
          <cell r="D15">
            <v>4</v>
          </cell>
          <cell r="E15">
            <v>2</v>
          </cell>
        </row>
        <row r="16">
          <cell r="A16" t="str">
            <v>B073F2M56J</v>
          </cell>
          <cell r="B16">
            <v>0</v>
          </cell>
          <cell r="C16">
            <v>0</v>
          </cell>
          <cell r="D16">
            <v>0</v>
          </cell>
          <cell r="E16">
            <v>1</v>
          </cell>
        </row>
        <row r="17">
          <cell r="A17" t="str">
            <v>B073F2QMQK</v>
          </cell>
          <cell r="B17">
            <v>3</v>
          </cell>
          <cell r="C17">
            <v>2</v>
          </cell>
          <cell r="D17">
            <v>2</v>
          </cell>
          <cell r="E17">
            <v>2</v>
          </cell>
        </row>
        <row r="18">
          <cell r="A18" t="str">
            <v>B073F2WTJX</v>
          </cell>
          <cell r="B18">
            <v>4</v>
          </cell>
          <cell r="C18">
            <v>3</v>
          </cell>
          <cell r="D18">
            <v>1</v>
          </cell>
          <cell r="E18">
            <v>4</v>
          </cell>
        </row>
        <row r="19">
          <cell r="A19" t="str">
            <v>B073F4G8B1</v>
          </cell>
          <cell r="B19">
            <v>4</v>
          </cell>
          <cell r="C19">
            <v>4</v>
          </cell>
          <cell r="D19">
            <v>3</v>
          </cell>
          <cell r="E19">
            <v>3</v>
          </cell>
        </row>
        <row r="20">
          <cell r="A20" t="str">
            <v>B073TWLDHK</v>
          </cell>
          <cell r="B20">
            <v>3</v>
          </cell>
          <cell r="C20">
            <v>4</v>
          </cell>
          <cell r="D20">
            <v>3</v>
          </cell>
          <cell r="E20">
            <v>5</v>
          </cell>
        </row>
        <row r="21">
          <cell r="A21" t="str">
            <v>B073W5J3FN</v>
          </cell>
          <cell r="B21">
            <v>0</v>
          </cell>
          <cell r="C21">
            <v>0</v>
          </cell>
          <cell r="D21">
            <v>1</v>
          </cell>
          <cell r="E21">
            <v>1</v>
          </cell>
        </row>
        <row r="22">
          <cell r="A22" t="str">
            <v>B073W69WZK</v>
          </cell>
          <cell r="B22">
            <v>4</v>
          </cell>
          <cell r="C22">
            <v>5</v>
          </cell>
          <cell r="D22">
            <v>3</v>
          </cell>
          <cell r="E22">
            <v>4</v>
          </cell>
        </row>
        <row r="23">
          <cell r="A23" t="str">
            <v>B073W6VTYY</v>
          </cell>
          <cell r="B23">
            <v>4</v>
          </cell>
          <cell r="C23">
            <v>2</v>
          </cell>
          <cell r="D23">
            <v>2</v>
          </cell>
          <cell r="E23">
            <v>2</v>
          </cell>
        </row>
        <row r="24">
          <cell r="A24" t="str">
            <v>B073WB3TLC</v>
          </cell>
          <cell r="B24">
            <v>4</v>
          </cell>
          <cell r="C24">
            <v>6</v>
          </cell>
          <cell r="D24">
            <v>1</v>
          </cell>
          <cell r="E24">
            <v>3</v>
          </cell>
        </row>
        <row r="25">
          <cell r="A25" t="str">
            <v>B073WBNY9P</v>
          </cell>
          <cell r="B25">
            <v>3</v>
          </cell>
          <cell r="C25">
            <v>4</v>
          </cell>
          <cell r="D25">
            <v>1</v>
          </cell>
          <cell r="E25">
            <v>2</v>
          </cell>
        </row>
        <row r="26">
          <cell r="A26" t="str">
            <v>B073WBR2D4</v>
          </cell>
          <cell r="B26">
            <v>2</v>
          </cell>
          <cell r="C26">
            <v>3</v>
          </cell>
          <cell r="D26">
            <v>0</v>
          </cell>
          <cell r="E26">
            <v>2</v>
          </cell>
        </row>
        <row r="27">
          <cell r="A27" t="str">
            <v>B073WT7S1J</v>
          </cell>
          <cell r="B27">
            <v>3</v>
          </cell>
          <cell r="C27">
            <v>2</v>
          </cell>
          <cell r="D27">
            <v>6</v>
          </cell>
          <cell r="E27">
            <v>2</v>
          </cell>
        </row>
        <row r="28">
          <cell r="A28" t="str">
            <v>B073WTPJLR</v>
          </cell>
          <cell r="B28">
            <v>2</v>
          </cell>
          <cell r="C28">
            <v>5</v>
          </cell>
          <cell r="D28">
            <v>4</v>
          </cell>
          <cell r="E28">
            <v>2</v>
          </cell>
        </row>
        <row r="29">
          <cell r="A29" t="str">
            <v>B073WTQ7YC</v>
          </cell>
          <cell r="B29">
            <v>2</v>
          </cell>
          <cell r="C29">
            <v>1</v>
          </cell>
          <cell r="D29">
            <v>0</v>
          </cell>
          <cell r="E29">
            <v>1</v>
          </cell>
        </row>
        <row r="30">
          <cell r="A30" t="str">
            <v>B073WTRPXK</v>
          </cell>
          <cell r="B30">
            <v>2</v>
          </cell>
          <cell r="C30">
            <v>2</v>
          </cell>
          <cell r="D30">
            <v>1</v>
          </cell>
          <cell r="E30">
            <v>1</v>
          </cell>
        </row>
        <row r="31">
          <cell r="A31" t="str">
            <v>B073WTTKP4</v>
          </cell>
          <cell r="B31">
            <v>2</v>
          </cell>
          <cell r="C31">
            <v>2</v>
          </cell>
          <cell r="D31">
            <v>1</v>
          </cell>
          <cell r="E31">
            <v>1</v>
          </cell>
        </row>
        <row r="32">
          <cell r="A32" t="str">
            <v>B073WTW1SS</v>
          </cell>
          <cell r="B32">
            <v>3</v>
          </cell>
          <cell r="C32">
            <v>1</v>
          </cell>
          <cell r="D32">
            <v>1</v>
          </cell>
          <cell r="E32">
            <v>1</v>
          </cell>
        </row>
        <row r="33">
          <cell r="A33" t="str">
            <v>B073WTZ549</v>
          </cell>
          <cell r="B33">
            <v>1</v>
          </cell>
          <cell r="C33">
            <v>1</v>
          </cell>
          <cell r="D33">
            <v>2</v>
          </cell>
          <cell r="E33">
            <v>1</v>
          </cell>
        </row>
        <row r="34">
          <cell r="A34" t="str">
            <v>B073WV1KVP</v>
          </cell>
          <cell r="B34">
            <v>1</v>
          </cell>
          <cell r="C34">
            <v>3</v>
          </cell>
          <cell r="D34">
            <v>4</v>
          </cell>
          <cell r="E34">
            <v>2</v>
          </cell>
        </row>
        <row r="35">
          <cell r="A35" t="str">
            <v>B073WV5CCK</v>
          </cell>
          <cell r="B35">
            <v>2</v>
          </cell>
          <cell r="C35">
            <v>1</v>
          </cell>
          <cell r="D35">
            <v>3</v>
          </cell>
          <cell r="E35">
            <v>2</v>
          </cell>
        </row>
        <row r="36">
          <cell r="A36" t="str">
            <v>B073XMFYWX</v>
          </cell>
          <cell r="B36">
            <v>22</v>
          </cell>
          <cell r="C36">
            <v>33</v>
          </cell>
          <cell r="D36">
            <v>35</v>
          </cell>
          <cell r="E36">
            <v>41</v>
          </cell>
        </row>
        <row r="37">
          <cell r="A37" t="str">
            <v>B074CS535P</v>
          </cell>
          <cell r="B37">
            <v>4</v>
          </cell>
          <cell r="C37">
            <v>6</v>
          </cell>
          <cell r="D37">
            <v>4</v>
          </cell>
          <cell r="E37">
            <v>3</v>
          </cell>
        </row>
        <row r="38">
          <cell r="A38" t="str">
            <v>B074CS5P3X</v>
          </cell>
          <cell r="B38">
            <v>1</v>
          </cell>
          <cell r="C38">
            <v>2</v>
          </cell>
          <cell r="D38">
            <v>9</v>
          </cell>
          <cell r="E38">
            <v>3</v>
          </cell>
        </row>
        <row r="39">
          <cell r="A39" t="str">
            <v>B074CSCRF6</v>
          </cell>
          <cell r="B39">
            <v>2</v>
          </cell>
          <cell r="C39">
            <v>2</v>
          </cell>
          <cell r="D39">
            <v>2</v>
          </cell>
          <cell r="E39">
            <v>3</v>
          </cell>
        </row>
        <row r="40">
          <cell r="A40" t="str">
            <v>B074CSF1MY</v>
          </cell>
          <cell r="B40">
            <v>9</v>
          </cell>
          <cell r="C40">
            <v>3</v>
          </cell>
          <cell r="D40">
            <v>13</v>
          </cell>
          <cell r="E40">
            <v>6</v>
          </cell>
        </row>
        <row r="41">
          <cell r="A41" t="str">
            <v>B074CSG4ZS</v>
          </cell>
          <cell r="B41">
            <v>2</v>
          </cell>
          <cell r="C41">
            <v>1</v>
          </cell>
          <cell r="D41">
            <v>0</v>
          </cell>
          <cell r="E41">
            <v>3</v>
          </cell>
        </row>
        <row r="42">
          <cell r="A42" t="str">
            <v>B074CSPJVW</v>
          </cell>
          <cell r="B42">
            <v>3</v>
          </cell>
          <cell r="C42">
            <v>2</v>
          </cell>
          <cell r="D42">
            <v>1</v>
          </cell>
          <cell r="E42">
            <v>5</v>
          </cell>
        </row>
        <row r="43">
          <cell r="A43" t="str">
            <v>B074CV3L2T</v>
          </cell>
          <cell r="B43">
            <v>5</v>
          </cell>
          <cell r="C43">
            <v>6</v>
          </cell>
          <cell r="D43">
            <v>11</v>
          </cell>
          <cell r="E43">
            <v>3</v>
          </cell>
        </row>
        <row r="44">
          <cell r="A44" t="str">
            <v>B074CW3HDD</v>
          </cell>
          <cell r="B44">
            <v>8</v>
          </cell>
          <cell r="C44">
            <v>8</v>
          </cell>
          <cell r="D44">
            <v>10</v>
          </cell>
          <cell r="E44">
            <v>5</v>
          </cell>
        </row>
        <row r="45">
          <cell r="A45" t="str">
            <v>B074CW3JWV</v>
          </cell>
          <cell r="B45">
            <v>1</v>
          </cell>
          <cell r="C45">
            <v>4</v>
          </cell>
          <cell r="D45">
            <v>1</v>
          </cell>
          <cell r="E45">
            <v>5</v>
          </cell>
        </row>
        <row r="46">
          <cell r="A46" t="str">
            <v>B074CW4J9M</v>
          </cell>
          <cell r="B46">
            <v>2</v>
          </cell>
          <cell r="C46">
            <v>4</v>
          </cell>
          <cell r="D46">
            <v>3</v>
          </cell>
          <cell r="E46">
            <v>7</v>
          </cell>
        </row>
        <row r="47">
          <cell r="A47" t="str">
            <v>B074CWBNL1</v>
          </cell>
          <cell r="B47">
            <v>2</v>
          </cell>
          <cell r="C47">
            <v>3</v>
          </cell>
          <cell r="D47">
            <v>1</v>
          </cell>
          <cell r="E47">
            <v>3</v>
          </cell>
        </row>
        <row r="48">
          <cell r="A48" t="str">
            <v>B074CWG2B2</v>
          </cell>
          <cell r="B48">
            <v>1</v>
          </cell>
          <cell r="C48">
            <v>4</v>
          </cell>
          <cell r="D48">
            <v>1</v>
          </cell>
          <cell r="E48">
            <v>5</v>
          </cell>
        </row>
        <row r="49">
          <cell r="A49" t="str">
            <v>B074CWG8L2</v>
          </cell>
          <cell r="B49">
            <v>3</v>
          </cell>
          <cell r="C49">
            <v>3</v>
          </cell>
          <cell r="D49">
            <v>4</v>
          </cell>
          <cell r="E49">
            <v>3</v>
          </cell>
        </row>
        <row r="50">
          <cell r="A50" t="str">
            <v>B074CWJNRX</v>
          </cell>
          <cell r="B50">
            <v>1</v>
          </cell>
          <cell r="C50">
            <v>4</v>
          </cell>
          <cell r="D50">
            <v>6</v>
          </cell>
          <cell r="E50">
            <v>3</v>
          </cell>
        </row>
        <row r="51">
          <cell r="A51" t="str">
            <v>B074CWLV9M</v>
          </cell>
          <cell r="B51">
            <v>4</v>
          </cell>
          <cell r="C51">
            <v>3</v>
          </cell>
          <cell r="D51">
            <v>2</v>
          </cell>
          <cell r="E51">
            <v>1</v>
          </cell>
        </row>
        <row r="52">
          <cell r="A52" t="str">
            <v>B074CWLZDG</v>
          </cell>
          <cell r="B52">
            <v>3</v>
          </cell>
          <cell r="C52">
            <v>2</v>
          </cell>
          <cell r="D52">
            <v>1</v>
          </cell>
          <cell r="E52">
            <v>4</v>
          </cell>
        </row>
        <row r="53">
          <cell r="A53" t="str">
            <v>B074CWMB5Z</v>
          </cell>
          <cell r="B53">
            <v>3</v>
          </cell>
          <cell r="C53">
            <v>4</v>
          </cell>
          <cell r="D53">
            <v>3</v>
          </cell>
          <cell r="E53">
            <v>2</v>
          </cell>
        </row>
        <row r="54">
          <cell r="A54" t="str">
            <v>B074CWMB62</v>
          </cell>
          <cell r="B54">
            <v>1</v>
          </cell>
          <cell r="C54">
            <v>3</v>
          </cell>
          <cell r="D54">
            <v>3</v>
          </cell>
          <cell r="E54">
            <v>1</v>
          </cell>
        </row>
        <row r="55">
          <cell r="A55" t="str">
            <v>B074CWN2HB</v>
          </cell>
          <cell r="B55">
            <v>3</v>
          </cell>
          <cell r="C55">
            <v>2</v>
          </cell>
          <cell r="D55">
            <v>3</v>
          </cell>
          <cell r="E55">
            <v>3</v>
          </cell>
        </row>
        <row r="56">
          <cell r="A56" t="str">
            <v>B074CWPQFT</v>
          </cell>
          <cell r="B56">
            <v>0</v>
          </cell>
          <cell r="C56">
            <v>4</v>
          </cell>
          <cell r="D56">
            <v>2</v>
          </cell>
          <cell r="E56">
            <v>4</v>
          </cell>
        </row>
        <row r="57">
          <cell r="A57" t="str">
            <v>B074CWQJVH</v>
          </cell>
          <cell r="B57">
            <v>0</v>
          </cell>
          <cell r="C57">
            <v>1</v>
          </cell>
          <cell r="D57">
            <v>3</v>
          </cell>
          <cell r="E57">
            <v>2</v>
          </cell>
        </row>
        <row r="58">
          <cell r="A58" t="str">
            <v>B074CWQPZP</v>
          </cell>
          <cell r="B58">
            <v>1</v>
          </cell>
          <cell r="C58">
            <v>4</v>
          </cell>
          <cell r="D58">
            <v>5</v>
          </cell>
          <cell r="E58">
            <v>3</v>
          </cell>
        </row>
        <row r="59">
          <cell r="A59" t="str">
            <v>B074CWR3FL</v>
          </cell>
          <cell r="B59">
            <v>0</v>
          </cell>
          <cell r="C59">
            <v>1</v>
          </cell>
          <cell r="D59">
            <v>2</v>
          </cell>
          <cell r="E59">
            <v>2</v>
          </cell>
        </row>
        <row r="60">
          <cell r="A60" t="str">
            <v>B074CWR4ZR</v>
          </cell>
          <cell r="B60">
            <v>1</v>
          </cell>
          <cell r="C60">
            <v>1</v>
          </cell>
          <cell r="D60">
            <v>2</v>
          </cell>
          <cell r="E60">
            <v>2</v>
          </cell>
        </row>
        <row r="61">
          <cell r="A61" t="str">
            <v>B074CWRDHL</v>
          </cell>
          <cell r="B61">
            <v>7</v>
          </cell>
          <cell r="C61">
            <v>2</v>
          </cell>
          <cell r="D61">
            <v>9</v>
          </cell>
          <cell r="E61">
            <v>6</v>
          </cell>
        </row>
        <row r="62">
          <cell r="A62" t="str">
            <v>B074CWSDCG</v>
          </cell>
          <cell r="B62">
            <v>1</v>
          </cell>
          <cell r="C62">
            <v>4</v>
          </cell>
          <cell r="D62">
            <v>1</v>
          </cell>
          <cell r="E62">
            <v>2</v>
          </cell>
        </row>
        <row r="63">
          <cell r="A63" t="str">
            <v>B074CWSQFG</v>
          </cell>
          <cell r="B63">
            <v>2</v>
          </cell>
          <cell r="C63">
            <v>0</v>
          </cell>
          <cell r="D63">
            <v>3</v>
          </cell>
          <cell r="E63">
            <v>2</v>
          </cell>
        </row>
        <row r="64">
          <cell r="A64" t="str">
            <v>B074CWTBK6</v>
          </cell>
          <cell r="B64">
            <v>4</v>
          </cell>
          <cell r="C64">
            <v>7</v>
          </cell>
          <cell r="D64">
            <v>4</v>
          </cell>
          <cell r="E64">
            <v>5</v>
          </cell>
        </row>
        <row r="65">
          <cell r="A65" t="str">
            <v>B074CWTQW9</v>
          </cell>
          <cell r="B65">
            <v>2</v>
          </cell>
          <cell r="C65">
            <v>0</v>
          </cell>
          <cell r="D65">
            <v>2</v>
          </cell>
          <cell r="E65">
            <v>3</v>
          </cell>
        </row>
        <row r="66">
          <cell r="A66" t="str">
            <v>B074CWWB41</v>
          </cell>
          <cell r="B66">
            <v>1</v>
          </cell>
          <cell r="C66">
            <v>2</v>
          </cell>
          <cell r="D66">
            <v>2</v>
          </cell>
          <cell r="E66">
            <v>6</v>
          </cell>
        </row>
        <row r="67">
          <cell r="A67" t="str">
            <v>B074CWYHQ7</v>
          </cell>
          <cell r="B67">
            <v>1</v>
          </cell>
          <cell r="C67">
            <v>3</v>
          </cell>
          <cell r="D67">
            <v>3</v>
          </cell>
          <cell r="E67">
            <v>4</v>
          </cell>
        </row>
        <row r="68">
          <cell r="A68" t="str">
            <v>B074CWZFK3</v>
          </cell>
          <cell r="B68">
            <v>3</v>
          </cell>
          <cell r="C68">
            <v>1</v>
          </cell>
          <cell r="D68">
            <v>1</v>
          </cell>
          <cell r="E68">
            <v>1</v>
          </cell>
        </row>
        <row r="69">
          <cell r="A69" t="str">
            <v>B074CWZG9L</v>
          </cell>
          <cell r="B69">
            <v>3</v>
          </cell>
          <cell r="C69">
            <v>1</v>
          </cell>
          <cell r="D69">
            <v>2</v>
          </cell>
          <cell r="E69">
            <v>2</v>
          </cell>
        </row>
        <row r="70">
          <cell r="A70" t="str">
            <v>B074CWZRZ9</v>
          </cell>
          <cell r="B70">
            <v>4</v>
          </cell>
          <cell r="C70">
            <v>1</v>
          </cell>
          <cell r="D70">
            <v>1</v>
          </cell>
          <cell r="E70">
            <v>2</v>
          </cell>
        </row>
        <row r="71">
          <cell r="A71" t="str">
            <v>B074CWZSVH</v>
          </cell>
          <cell r="B71">
            <v>3</v>
          </cell>
          <cell r="C71">
            <v>3</v>
          </cell>
          <cell r="D71">
            <v>0</v>
          </cell>
          <cell r="E71">
            <v>4</v>
          </cell>
        </row>
        <row r="72">
          <cell r="A72" t="str">
            <v>B074CX1PRD</v>
          </cell>
          <cell r="B72">
            <v>6</v>
          </cell>
          <cell r="C72">
            <v>1</v>
          </cell>
          <cell r="D72">
            <v>1</v>
          </cell>
          <cell r="E72">
            <v>2</v>
          </cell>
        </row>
        <row r="73">
          <cell r="A73" t="str">
            <v>B074CX22LX</v>
          </cell>
          <cell r="B73">
            <v>4</v>
          </cell>
          <cell r="C73">
            <v>1</v>
          </cell>
          <cell r="D73">
            <v>1</v>
          </cell>
          <cell r="E73">
            <v>3</v>
          </cell>
        </row>
        <row r="74">
          <cell r="A74" t="str">
            <v>B074CX2BPL</v>
          </cell>
          <cell r="B74">
            <v>3</v>
          </cell>
          <cell r="C74">
            <v>2</v>
          </cell>
          <cell r="D74">
            <v>1</v>
          </cell>
          <cell r="E74">
            <v>2</v>
          </cell>
        </row>
        <row r="75">
          <cell r="A75" t="str">
            <v>B074CX451K</v>
          </cell>
          <cell r="B75">
            <v>4</v>
          </cell>
          <cell r="C75">
            <v>2</v>
          </cell>
          <cell r="D75">
            <v>1</v>
          </cell>
          <cell r="E75">
            <v>5</v>
          </cell>
        </row>
        <row r="76">
          <cell r="A76" t="str">
            <v>B074CX4VVP</v>
          </cell>
          <cell r="B76">
            <v>2</v>
          </cell>
          <cell r="C76">
            <v>1</v>
          </cell>
          <cell r="D76">
            <v>1</v>
          </cell>
          <cell r="E76">
            <v>2</v>
          </cell>
        </row>
        <row r="77">
          <cell r="A77" t="str">
            <v>B074CX534Z</v>
          </cell>
          <cell r="B77">
            <v>4</v>
          </cell>
          <cell r="C77">
            <v>3</v>
          </cell>
          <cell r="D77">
            <v>6</v>
          </cell>
          <cell r="E77">
            <v>2</v>
          </cell>
        </row>
        <row r="78">
          <cell r="A78" t="str">
            <v>B074CX7218</v>
          </cell>
          <cell r="B78">
            <v>27</v>
          </cell>
          <cell r="C78">
            <v>17</v>
          </cell>
          <cell r="D78">
            <v>24</v>
          </cell>
          <cell r="E78">
            <v>4</v>
          </cell>
        </row>
        <row r="79">
          <cell r="A79" t="str">
            <v>B074CX73CM</v>
          </cell>
          <cell r="B79">
            <v>27</v>
          </cell>
          <cell r="C79">
            <v>18</v>
          </cell>
          <cell r="D79">
            <v>19</v>
          </cell>
          <cell r="E79">
            <v>10</v>
          </cell>
        </row>
        <row r="80">
          <cell r="A80" t="str">
            <v>B074CX7NWQ</v>
          </cell>
          <cell r="B80">
            <v>15</v>
          </cell>
          <cell r="C80">
            <v>4</v>
          </cell>
          <cell r="D80">
            <v>8</v>
          </cell>
          <cell r="E80">
            <v>4</v>
          </cell>
        </row>
        <row r="81">
          <cell r="A81" t="str">
            <v>B074CX8YMH</v>
          </cell>
          <cell r="B81">
            <v>2</v>
          </cell>
          <cell r="C81">
            <v>2</v>
          </cell>
          <cell r="D81">
            <v>4</v>
          </cell>
          <cell r="E81">
            <v>2</v>
          </cell>
        </row>
        <row r="82">
          <cell r="A82" t="str">
            <v>B074CX9229</v>
          </cell>
          <cell r="B82">
            <v>5</v>
          </cell>
          <cell r="C82">
            <v>2</v>
          </cell>
          <cell r="D82">
            <v>3</v>
          </cell>
          <cell r="E82">
            <v>5</v>
          </cell>
        </row>
        <row r="83">
          <cell r="A83" t="str">
            <v>B074CX95R8</v>
          </cell>
          <cell r="B83">
            <v>3</v>
          </cell>
          <cell r="C83">
            <v>1</v>
          </cell>
          <cell r="D83">
            <v>3</v>
          </cell>
          <cell r="E83">
            <v>4</v>
          </cell>
        </row>
        <row r="84">
          <cell r="A84" t="str">
            <v>B074CXHT3T</v>
          </cell>
          <cell r="B84">
            <v>3</v>
          </cell>
          <cell r="C84">
            <v>3</v>
          </cell>
          <cell r="D84">
            <v>1</v>
          </cell>
          <cell r="E84">
            <v>3</v>
          </cell>
        </row>
        <row r="85">
          <cell r="A85" t="str">
            <v>B074CXK4TV</v>
          </cell>
          <cell r="B85">
            <v>13</v>
          </cell>
          <cell r="C85">
            <v>2</v>
          </cell>
          <cell r="D85">
            <v>5</v>
          </cell>
          <cell r="E85">
            <v>2</v>
          </cell>
        </row>
        <row r="86">
          <cell r="A86" t="str">
            <v>B074CXK6RZ</v>
          </cell>
          <cell r="B86">
            <v>0</v>
          </cell>
          <cell r="C86">
            <v>0</v>
          </cell>
          <cell r="D86">
            <v>0</v>
          </cell>
          <cell r="E86">
            <v>7</v>
          </cell>
        </row>
        <row r="87">
          <cell r="A87" t="str">
            <v>B074CXLQVY</v>
          </cell>
          <cell r="B87">
            <v>9</v>
          </cell>
          <cell r="C87">
            <v>4</v>
          </cell>
          <cell r="D87">
            <v>12</v>
          </cell>
          <cell r="E87">
            <v>4</v>
          </cell>
        </row>
        <row r="88">
          <cell r="A88" t="str">
            <v>B074CXNWMZ</v>
          </cell>
          <cell r="B88">
            <v>16</v>
          </cell>
          <cell r="C88">
            <v>4</v>
          </cell>
          <cell r="D88">
            <v>5</v>
          </cell>
          <cell r="E88">
            <v>5</v>
          </cell>
        </row>
        <row r="89">
          <cell r="A89" t="str">
            <v>B074CXP24Y</v>
          </cell>
          <cell r="B89">
            <v>10</v>
          </cell>
          <cell r="C89">
            <v>5</v>
          </cell>
          <cell r="D89">
            <v>2</v>
          </cell>
          <cell r="E89">
            <v>6</v>
          </cell>
        </row>
        <row r="90">
          <cell r="A90" t="str">
            <v>B074CXPPQM</v>
          </cell>
          <cell r="B90">
            <v>8</v>
          </cell>
          <cell r="C90">
            <v>6</v>
          </cell>
          <cell r="D90">
            <v>8</v>
          </cell>
          <cell r="E90">
            <v>8</v>
          </cell>
        </row>
        <row r="91">
          <cell r="A91" t="str">
            <v>B074CXQ86P</v>
          </cell>
          <cell r="B91">
            <v>21</v>
          </cell>
          <cell r="C91">
            <v>9</v>
          </cell>
          <cell r="D91">
            <v>15</v>
          </cell>
          <cell r="E91">
            <v>19</v>
          </cell>
        </row>
        <row r="92">
          <cell r="A92" t="str">
            <v>B074CXR8YG</v>
          </cell>
          <cell r="B92">
            <v>5</v>
          </cell>
          <cell r="C92">
            <v>6</v>
          </cell>
          <cell r="D92">
            <v>6</v>
          </cell>
          <cell r="E92">
            <v>6</v>
          </cell>
        </row>
        <row r="93">
          <cell r="A93" t="str">
            <v>B074CZ4S1V</v>
          </cell>
          <cell r="B93">
            <v>10</v>
          </cell>
          <cell r="C93">
            <v>5</v>
          </cell>
          <cell r="D93">
            <v>2</v>
          </cell>
          <cell r="E93">
            <v>3</v>
          </cell>
        </row>
        <row r="94">
          <cell r="A94" t="str">
            <v>B074DV7WDZ</v>
          </cell>
          <cell r="B94">
            <v>0</v>
          </cell>
          <cell r="C94">
            <v>0</v>
          </cell>
          <cell r="D94">
            <v>3</v>
          </cell>
          <cell r="E94">
            <v>4</v>
          </cell>
        </row>
        <row r="95">
          <cell r="A95" t="str">
            <v>B074DVCJDR</v>
          </cell>
          <cell r="B95">
            <v>3</v>
          </cell>
          <cell r="C95">
            <v>1</v>
          </cell>
          <cell r="D95">
            <v>3</v>
          </cell>
          <cell r="E95">
            <v>3</v>
          </cell>
        </row>
        <row r="96">
          <cell r="A96" t="str">
            <v>B074DVQP6Q</v>
          </cell>
          <cell r="B96">
            <v>2</v>
          </cell>
          <cell r="C96">
            <v>4</v>
          </cell>
          <cell r="D96">
            <v>6</v>
          </cell>
          <cell r="E96">
            <v>3</v>
          </cell>
        </row>
        <row r="97">
          <cell r="A97" t="str">
            <v>B074DVQR1S</v>
          </cell>
          <cell r="B97">
            <v>1</v>
          </cell>
          <cell r="C97">
            <v>0</v>
          </cell>
          <cell r="D97">
            <v>1</v>
          </cell>
          <cell r="E97">
            <v>2</v>
          </cell>
        </row>
        <row r="98">
          <cell r="A98" t="str">
            <v>B074DVVJND</v>
          </cell>
          <cell r="B98">
            <v>2</v>
          </cell>
          <cell r="C98">
            <v>2</v>
          </cell>
          <cell r="D98">
            <v>0</v>
          </cell>
          <cell r="E98">
            <v>4</v>
          </cell>
        </row>
        <row r="99">
          <cell r="A99" t="str">
            <v>B074DVVVVP</v>
          </cell>
          <cell r="B99">
            <v>2</v>
          </cell>
          <cell r="C99">
            <v>4</v>
          </cell>
          <cell r="D99">
            <v>1</v>
          </cell>
          <cell r="E99">
            <v>4</v>
          </cell>
        </row>
        <row r="100">
          <cell r="A100" t="str">
            <v>B074DVW5HC</v>
          </cell>
          <cell r="B100">
            <v>0</v>
          </cell>
          <cell r="C100">
            <v>2</v>
          </cell>
          <cell r="D100">
            <v>2</v>
          </cell>
          <cell r="E100">
            <v>2</v>
          </cell>
        </row>
        <row r="101">
          <cell r="A101" t="str">
            <v>B074DVY5J8</v>
          </cell>
          <cell r="B101">
            <v>1</v>
          </cell>
          <cell r="C101">
            <v>2</v>
          </cell>
          <cell r="D101">
            <v>1</v>
          </cell>
          <cell r="E101">
            <v>4</v>
          </cell>
        </row>
        <row r="102">
          <cell r="A102" t="str">
            <v>B074DVY6FY</v>
          </cell>
          <cell r="B102">
            <v>1</v>
          </cell>
          <cell r="C102">
            <v>3</v>
          </cell>
          <cell r="D102">
            <v>2</v>
          </cell>
          <cell r="E102">
            <v>6</v>
          </cell>
        </row>
        <row r="103">
          <cell r="A103" t="str">
            <v>B074DVZ847</v>
          </cell>
          <cell r="B103">
            <v>5</v>
          </cell>
          <cell r="C103">
            <v>3</v>
          </cell>
          <cell r="D103">
            <v>5</v>
          </cell>
          <cell r="E103">
            <v>4</v>
          </cell>
        </row>
        <row r="104">
          <cell r="A104" t="str">
            <v>B074DVZPS8</v>
          </cell>
          <cell r="B104">
            <v>2</v>
          </cell>
          <cell r="C104">
            <v>1</v>
          </cell>
          <cell r="D104">
            <v>1</v>
          </cell>
          <cell r="E104">
            <v>5</v>
          </cell>
        </row>
        <row r="105">
          <cell r="A105" t="str">
            <v>B074DW168F</v>
          </cell>
          <cell r="B105">
            <v>2</v>
          </cell>
          <cell r="C105">
            <v>2</v>
          </cell>
          <cell r="D105">
            <v>1</v>
          </cell>
          <cell r="E105">
            <v>2</v>
          </cell>
        </row>
        <row r="106">
          <cell r="A106" t="str">
            <v>B074DW1MXR</v>
          </cell>
          <cell r="B106">
            <v>2</v>
          </cell>
          <cell r="C106">
            <v>2</v>
          </cell>
          <cell r="D106">
            <v>2</v>
          </cell>
          <cell r="E106">
            <v>4</v>
          </cell>
        </row>
        <row r="107">
          <cell r="A107" t="str">
            <v>B074DW274J</v>
          </cell>
          <cell r="B107">
            <v>1</v>
          </cell>
          <cell r="C107">
            <v>2</v>
          </cell>
          <cell r="D107">
            <v>1</v>
          </cell>
          <cell r="E107">
            <v>3</v>
          </cell>
        </row>
        <row r="108">
          <cell r="A108" t="str">
            <v>B074DW2BY6</v>
          </cell>
          <cell r="B108">
            <v>1</v>
          </cell>
          <cell r="C108">
            <v>2</v>
          </cell>
          <cell r="D108">
            <v>1</v>
          </cell>
          <cell r="E108">
            <v>3</v>
          </cell>
        </row>
        <row r="109">
          <cell r="A109" t="str">
            <v>B074DW2H3B</v>
          </cell>
          <cell r="B109">
            <v>1</v>
          </cell>
          <cell r="C109">
            <v>1</v>
          </cell>
          <cell r="D109">
            <v>1</v>
          </cell>
          <cell r="E109">
            <v>4</v>
          </cell>
        </row>
        <row r="110">
          <cell r="A110" t="str">
            <v>B074DW2MGG</v>
          </cell>
          <cell r="B110">
            <v>2</v>
          </cell>
          <cell r="C110">
            <v>1</v>
          </cell>
          <cell r="D110">
            <v>1</v>
          </cell>
          <cell r="E110">
            <v>4</v>
          </cell>
        </row>
        <row r="111">
          <cell r="A111" t="str">
            <v>B074DW5ZSD</v>
          </cell>
          <cell r="B111">
            <v>2</v>
          </cell>
          <cell r="C111">
            <v>2</v>
          </cell>
          <cell r="D111">
            <v>1</v>
          </cell>
          <cell r="E111">
            <v>3</v>
          </cell>
        </row>
        <row r="112">
          <cell r="A112" t="str">
            <v>B074DW6NQD</v>
          </cell>
          <cell r="B112">
            <v>0</v>
          </cell>
          <cell r="C112">
            <v>3</v>
          </cell>
          <cell r="D112">
            <v>4</v>
          </cell>
          <cell r="E112">
            <v>3</v>
          </cell>
        </row>
        <row r="113">
          <cell r="A113" t="str">
            <v>B074DW762P</v>
          </cell>
          <cell r="B113">
            <v>3</v>
          </cell>
          <cell r="C113">
            <v>2</v>
          </cell>
          <cell r="D113">
            <v>2</v>
          </cell>
          <cell r="E113">
            <v>3</v>
          </cell>
        </row>
        <row r="114">
          <cell r="A114" t="str">
            <v>B074DWBXBD</v>
          </cell>
          <cell r="B114">
            <v>3</v>
          </cell>
          <cell r="C114">
            <v>7</v>
          </cell>
          <cell r="D114">
            <v>3</v>
          </cell>
          <cell r="E114">
            <v>7</v>
          </cell>
        </row>
        <row r="115">
          <cell r="A115" t="str">
            <v>B074DWFV62</v>
          </cell>
          <cell r="B115">
            <v>4</v>
          </cell>
          <cell r="C115">
            <v>3</v>
          </cell>
          <cell r="D115">
            <v>3</v>
          </cell>
          <cell r="E115">
            <v>3</v>
          </cell>
        </row>
        <row r="116">
          <cell r="A116" t="str">
            <v>B074DWGDMH</v>
          </cell>
          <cell r="B116">
            <v>4</v>
          </cell>
          <cell r="C116">
            <v>1</v>
          </cell>
          <cell r="D116">
            <v>3</v>
          </cell>
          <cell r="E116">
            <v>4</v>
          </cell>
        </row>
        <row r="117">
          <cell r="A117" t="str">
            <v>B074DWLT99</v>
          </cell>
          <cell r="B117">
            <v>4</v>
          </cell>
          <cell r="C117">
            <v>1</v>
          </cell>
          <cell r="D117">
            <v>2</v>
          </cell>
          <cell r="E117">
            <v>4</v>
          </cell>
        </row>
        <row r="118">
          <cell r="A118" t="str">
            <v>B074FJ37K7</v>
          </cell>
          <cell r="B118">
            <v>5</v>
          </cell>
          <cell r="C118">
            <v>7</v>
          </cell>
          <cell r="D118">
            <v>4</v>
          </cell>
          <cell r="E118">
            <v>3</v>
          </cell>
        </row>
        <row r="119">
          <cell r="A119" t="str">
            <v>B074FL1674</v>
          </cell>
          <cell r="B119">
            <v>0</v>
          </cell>
          <cell r="C119">
            <v>10</v>
          </cell>
          <cell r="D119">
            <v>21</v>
          </cell>
          <cell r="E119">
            <v>3</v>
          </cell>
        </row>
        <row r="120">
          <cell r="A120" t="str">
            <v>B074FP8NZF</v>
          </cell>
          <cell r="B120">
            <v>13</v>
          </cell>
          <cell r="C120">
            <v>33</v>
          </cell>
          <cell r="D120">
            <v>30</v>
          </cell>
          <cell r="E120">
            <v>15</v>
          </cell>
        </row>
        <row r="121">
          <cell r="A121" t="str">
            <v>B074FP8V7K</v>
          </cell>
          <cell r="B121">
            <v>16</v>
          </cell>
          <cell r="C121">
            <v>14</v>
          </cell>
          <cell r="D121">
            <v>14</v>
          </cell>
          <cell r="E121">
            <v>10</v>
          </cell>
        </row>
        <row r="122">
          <cell r="A122" t="str">
            <v>B074FPR99C</v>
          </cell>
          <cell r="B122">
            <v>3</v>
          </cell>
          <cell r="C122">
            <v>6</v>
          </cell>
          <cell r="D122">
            <v>2</v>
          </cell>
          <cell r="E122">
            <v>2</v>
          </cell>
        </row>
        <row r="123">
          <cell r="A123" t="str">
            <v>B074FPYB9N</v>
          </cell>
          <cell r="B123">
            <v>9</v>
          </cell>
          <cell r="C123">
            <v>7</v>
          </cell>
          <cell r="D123">
            <v>14</v>
          </cell>
          <cell r="E123">
            <v>3</v>
          </cell>
        </row>
        <row r="124">
          <cell r="A124" t="str">
            <v>B074FQ29ZR</v>
          </cell>
          <cell r="B124">
            <v>1</v>
          </cell>
          <cell r="C124">
            <v>3</v>
          </cell>
          <cell r="D124">
            <v>7</v>
          </cell>
          <cell r="E124">
            <v>4</v>
          </cell>
        </row>
        <row r="125">
          <cell r="A125" t="str">
            <v>B074FQ84QJ</v>
          </cell>
          <cell r="B125">
            <v>1</v>
          </cell>
          <cell r="C125">
            <v>1</v>
          </cell>
          <cell r="D125">
            <v>1</v>
          </cell>
          <cell r="E125">
            <v>3</v>
          </cell>
        </row>
        <row r="126">
          <cell r="A126" t="str">
            <v>B074FQSTJL</v>
          </cell>
          <cell r="B126">
            <v>82</v>
          </cell>
          <cell r="C126">
            <v>16</v>
          </cell>
          <cell r="D126">
            <v>34</v>
          </cell>
          <cell r="E126">
            <v>12</v>
          </cell>
        </row>
        <row r="127">
          <cell r="A127" t="str">
            <v>B074FQWCTK</v>
          </cell>
          <cell r="B127">
            <v>3</v>
          </cell>
          <cell r="C127">
            <v>7</v>
          </cell>
          <cell r="D127">
            <v>4</v>
          </cell>
          <cell r="E127">
            <v>3</v>
          </cell>
        </row>
        <row r="128">
          <cell r="A128" t="str">
            <v>B074FR8NL9</v>
          </cell>
          <cell r="B128">
            <v>0</v>
          </cell>
          <cell r="C128">
            <v>2</v>
          </cell>
          <cell r="D128">
            <v>1</v>
          </cell>
          <cell r="E128">
            <v>3</v>
          </cell>
        </row>
        <row r="129">
          <cell r="A129" t="str">
            <v>B074FRC3TW</v>
          </cell>
          <cell r="B129">
            <v>0</v>
          </cell>
          <cell r="C129">
            <v>2</v>
          </cell>
          <cell r="D129">
            <v>2</v>
          </cell>
          <cell r="E129">
            <v>3</v>
          </cell>
        </row>
        <row r="130">
          <cell r="A130" t="str">
            <v>B074FRG96Y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</row>
        <row r="131">
          <cell r="A131" t="str">
            <v>B074FRWKSK</v>
          </cell>
          <cell r="B131">
            <v>2</v>
          </cell>
          <cell r="C131">
            <v>3</v>
          </cell>
          <cell r="D131">
            <v>3</v>
          </cell>
          <cell r="E131">
            <v>5</v>
          </cell>
        </row>
        <row r="132">
          <cell r="A132" t="str">
            <v>B074FRX8XF</v>
          </cell>
          <cell r="B132">
            <v>1</v>
          </cell>
          <cell r="C132">
            <v>3</v>
          </cell>
          <cell r="D132">
            <v>4</v>
          </cell>
          <cell r="E132">
            <v>4</v>
          </cell>
        </row>
        <row r="133">
          <cell r="A133" t="str">
            <v>B074FSCZT2</v>
          </cell>
          <cell r="B133">
            <v>2</v>
          </cell>
          <cell r="C133">
            <v>3</v>
          </cell>
          <cell r="D133">
            <v>2</v>
          </cell>
          <cell r="E133">
            <v>7</v>
          </cell>
        </row>
        <row r="134">
          <cell r="A134" t="str">
            <v>B074FSGM8N</v>
          </cell>
          <cell r="B134">
            <v>2</v>
          </cell>
          <cell r="C134">
            <v>2</v>
          </cell>
          <cell r="D134">
            <v>1</v>
          </cell>
          <cell r="E134">
            <v>3</v>
          </cell>
        </row>
        <row r="135">
          <cell r="A135" t="str">
            <v>B074FSTDKH</v>
          </cell>
          <cell r="B135">
            <v>1</v>
          </cell>
          <cell r="C135">
            <v>3</v>
          </cell>
          <cell r="D135">
            <v>1</v>
          </cell>
          <cell r="E135">
            <v>3</v>
          </cell>
        </row>
        <row r="136">
          <cell r="A136" t="str">
            <v>B074FSW752</v>
          </cell>
          <cell r="B136">
            <v>2</v>
          </cell>
          <cell r="C136">
            <v>2</v>
          </cell>
          <cell r="D136">
            <v>1</v>
          </cell>
          <cell r="E136">
            <v>5</v>
          </cell>
        </row>
        <row r="137">
          <cell r="A137" t="str">
            <v>B074FSXB2H</v>
          </cell>
          <cell r="B137">
            <v>3</v>
          </cell>
          <cell r="C137">
            <v>2</v>
          </cell>
          <cell r="D137">
            <v>1</v>
          </cell>
          <cell r="E137">
            <v>2</v>
          </cell>
        </row>
        <row r="138">
          <cell r="A138" t="str">
            <v>B074FSXVNK</v>
          </cell>
          <cell r="B138">
            <v>0</v>
          </cell>
          <cell r="C138">
            <v>3</v>
          </cell>
          <cell r="D138">
            <v>0</v>
          </cell>
          <cell r="E138">
            <v>4</v>
          </cell>
        </row>
        <row r="139">
          <cell r="A139" t="str">
            <v>B074FT1X4P</v>
          </cell>
          <cell r="B139">
            <v>0</v>
          </cell>
          <cell r="C139">
            <v>1</v>
          </cell>
          <cell r="D139">
            <v>0</v>
          </cell>
          <cell r="E139">
            <v>2</v>
          </cell>
        </row>
        <row r="140">
          <cell r="A140" t="str">
            <v>B074FT3DCL</v>
          </cell>
          <cell r="B140">
            <v>1</v>
          </cell>
          <cell r="C140">
            <v>1</v>
          </cell>
          <cell r="D140">
            <v>0</v>
          </cell>
          <cell r="E140">
            <v>2</v>
          </cell>
        </row>
        <row r="141">
          <cell r="A141" t="str">
            <v>B074FT3T2H</v>
          </cell>
          <cell r="B141">
            <v>0</v>
          </cell>
          <cell r="C141">
            <v>1</v>
          </cell>
          <cell r="D141">
            <v>0</v>
          </cell>
          <cell r="E141">
            <v>2</v>
          </cell>
        </row>
        <row r="142">
          <cell r="A142" t="str">
            <v>B074FT665V</v>
          </cell>
          <cell r="B142">
            <v>1</v>
          </cell>
          <cell r="C142">
            <v>2</v>
          </cell>
          <cell r="D142">
            <v>0</v>
          </cell>
          <cell r="E142">
            <v>2</v>
          </cell>
        </row>
        <row r="143">
          <cell r="A143" t="str">
            <v>B074FTB99W</v>
          </cell>
          <cell r="B143">
            <v>2</v>
          </cell>
          <cell r="C143">
            <v>1</v>
          </cell>
          <cell r="D143">
            <v>0</v>
          </cell>
          <cell r="E143">
            <v>2</v>
          </cell>
        </row>
        <row r="144">
          <cell r="A144" t="str">
            <v>B074FTCGDW</v>
          </cell>
          <cell r="B144">
            <v>0</v>
          </cell>
          <cell r="C144">
            <v>1</v>
          </cell>
          <cell r="D144">
            <v>1</v>
          </cell>
          <cell r="E144">
            <v>3</v>
          </cell>
        </row>
        <row r="145">
          <cell r="A145" t="str">
            <v>B074FTCSNQ</v>
          </cell>
          <cell r="B145">
            <v>2</v>
          </cell>
          <cell r="C145">
            <v>1</v>
          </cell>
          <cell r="D145">
            <v>1</v>
          </cell>
          <cell r="E145">
            <v>1</v>
          </cell>
        </row>
        <row r="146">
          <cell r="A146" t="str">
            <v>B074FTCSP4</v>
          </cell>
          <cell r="B146">
            <v>3</v>
          </cell>
          <cell r="C146">
            <v>1</v>
          </cell>
          <cell r="D146">
            <v>2</v>
          </cell>
          <cell r="E146">
            <v>2</v>
          </cell>
        </row>
        <row r="147">
          <cell r="A147" t="str">
            <v>B074FTFWR7</v>
          </cell>
          <cell r="B147">
            <v>4</v>
          </cell>
          <cell r="C147">
            <v>3</v>
          </cell>
          <cell r="D147">
            <v>4</v>
          </cell>
          <cell r="E147">
            <v>2</v>
          </cell>
        </row>
        <row r="148">
          <cell r="A148" t="str">
            <v>B074FTPHX1</v>
          </cell>
          <cell r="B148">
            <v>3</v>
          </cell>
          <cell r="C148">
            <v>1</v>
          </cell>
          <cell r="D148">
            <v>2</v>
          </cell>
          <cell r="E148">
            <v>4</v>
          </cell>
        </row>
        <row r="149">
          <cell r="A149" t="str">
            <v>B074FTV42K</v>
          </cell>
          <cell r="B149">
            <v>3</v>
          </cell>
          <cell r="C149">
            <v>3</v>
          </cell>
          <cell r="D149">
            <v>2</v>
          </cell>
          <cell r="E149">
            <v>4</v>
          </cell>
        </row>
        <row r="150">
          <cell r="A150" t="str">
            <v>B074FTW5DS</v>
          </cell>
          <cell r="B150">
            <v>1</v>
          </cell>
          <cell r="C150">
            <v>2</v>
          </cell>
          <cell r="D150">
            <v>4</v>
          </cell>
          <cell r="E150">
            <v>3</v>
          </cell>
        </row>
        <row r="151">
          <cell r="A151" t="str">
            <v>B074FTXNPM</v>
          </cell>
          <cell r="B151">
            <v>2</v>
          </cell>
          <cell r="C151">
            <v>3</v>
          </cell>
          <cell r="D151">
            <v>3</v>
          </cell>
          <cell r="E151">
            <v>2</v>
          </cell>
        </row>
        <row r="152">
          <cell r="A152" t="str">
            <v>B074FTYZMD</v>
          </cell>
          <cell r="B152">
            <v>3</v>
          </cell>
          <cell r="C152">
            <v>2</v>
          </cell>
          <cell r="D152">
            <v>1</v>
          </cell>
          <cell r="E152">
            <v>2</v>
          </cell>
        </row>
        <row r="153">
          <cell r="A153" t="str">
            <v>B074FTZ9P4</v>
          </cell>
          <cell r="B153">
            <v>2</v>
          </cell>
          <cell r="C153">
            <v>4</v>
          </cell>
          <cell r="D153">
            <v>3</v>
          </cell>
          <cell r="E153">
            <v>3</v>
          </cell>
        </row>
        <row r="154">
          <cell r="A154" t="str">
            <v>B074FV2QSZ</v>
          </cell>
          <cell r="B154">
            <v>4</v>
          </cell>
          <cell r="C154">
            <v>5</v>
          </cell>
          <cell r="D154">
            <v>3</v>
          </cell>
          <cell r="E154">
            <v>3</v>
          </cell>
        </row>
        <row r="155">
          <cell r="A155" t="str">
            <v>B074FVCMHJ</v>
          </cell>
          <cell r="B155">
            <v>2</v>
          </cell>
          <cell r="C155">
            <v>3</v>
          </cell>
          <cell r="D155">
            <v>3</v>
          </cell>
          <cell r="E155">
            <v>2</v>
          </cell>
        </row>
        <row r="156">
          <cell r="A156" t="str">
            <v>B074FVGPRW</v>
          </cell>
          <cell r="B156">
            <v>3</v>
          </cell>
          <cell r="C156">
            <v>2</v>
          </cell>
          <cell r="D156">
            <v>1</v>
          </cell>
          <cell r="E156">
            <v>2</v>
          </cell>
        </row>
        <row r="157">
          <cell r="A157" t="str">
            <v>B074FVKNXW</v>
          </cell>
          <cell r="B157">
            <v>4</v>
          </cell>
          <cell r="C157">
            <v>3</v>
          </cell>
          <cell r="D157">
            <v>3</v>
          </cell>
          <cell r="E157">
            <v>5</v>
          </cell>
        </row>
        <row r="158">
          <cell r="A158" t="str">
            <v>B074FVPGVL</v>
          </cell>
          <cell r="B158">
            <v>3</v>
          </cell>
          <cell r="C158">
            <v>1</v>
          </cell>
          <cell r="D158">
            <v>2</v>
          </cell>
          <cell r="E158">
            <v>3</v>
          </cell>
        </row>
        <row r="159">
          <cell r="A159" t="str">
            <v>B074FVRK4X</v>
          </cell>
          <cell r="B159">
            <v>3</v>
          </cell>
          <cell r="C159">
            <v>1</v>
          </cell>
          <cell r="D159">
            <v>2</v>
          </cell>
          <cell r="E159">
            <v>3</v>
          </cell>
        </row>
        <row r="160">
          <cell r="A160" t="str">
            <v>B074FVVHPR</v>
          </cell>
          <cell r="B160">
            <v>3</v>
          </cell>
          <cell r="C160">
            <v>1</v>
          </cell>
          <cell r="D160">
            <v>2</v>
          </cell>
          <cell r="E160">
            <v>2</v>
          </cell>
        </row>
        <row r="161">
          <cell r="A161" t="str">
            <v>B074FVVYW2</v>
          </cell>
          <cell r="B161">
            <v>3</v>
          </cell>
          <cell r="C161">
            <v>1</v>
          </cell>
          <cell r="D161">
            <v>1</v>
          </cell>
          <cell r="E161">
            <v>2</v>
          </cell>
        </row>
        <row r="162">
          <cell r="A162" t="str">
            <v>B074FVYSML</v>
          </cell>
          <cell r="B162">
            <v>2</v>
          </cell>
          <cell r="C162">
            <v>3</v>
          </cell>
          <cell r="D162">
            <v>2</v>
          </cell>
          <cell r="E162">
            <v>3</v>
          </cell>
        </row>
        <row r="163">
          <cell r="A163" t="str">
            <v>B074FVZ2LG</v>
          </cell>
          <cell r="B163">
            <v>2</v>
          </cell>
          <cell r="C163">
            <v>2</v>
          </cell>
          <cell r="D163">
            <v>2</v>
          </cell>
          <cell r="E163">
            <v>4</v>
          </cell>
        </row>
        <row r="164">
          <cell r="A164" t="str">
            <v>B074FW1DYK</v>
          </cell>
          <cell r="B164">
            <v>2</v>
          </cell>
          <cell r="C164">
            <v>2</v>
          </cell>
          <cell r="D164">
            <v>1</v>
          </cell>
          <cell r="E164">
            <v>2</v>
          </cell>
        </row>
        <row r="165">
          <cell r="A165" t="str">
            <v>B074FW571Z</v>
          </cell>
          <cell r="B165">
            <v>3</v>
          </cell>
          <cell r="C165">
            <v>1</v>
          </cell>
          <cell r="D165">
            <v>1</v>
          </cell>
          <cell r="E165">
            <v>1</v>
          </cell>
        </row>
        <row r="166">
          <cell r="A166" t="str">
            <v>B074FW623M</v>
          </cell>
          <cell r="B166">
            <v>3</v>
          </cell>
          <cell r="C166">
            <v>1</v>
          </cell>
          <cell r="D166">
            <v>2</v>
          </cell>
          <cell r="E166">
            <v>3</v>
          </cell>
        </row>
        <row r="167">
          <cell r="A167" t="str">
            <v>B074FW6SKT</v>
          </cell>
          <cell r="B167">
            <v>2</v>
          </cell>
          <cell r="C167">
            <v>0</v>
          </cell>
          <cell r="D167">
            <v>5</v>
          </cell>
          <cell r="E167">
            <v>4</v>
          </cell>
        </row>
        <row r="168">
          <cell r="A168" t="str">
            <v>B074FWJYDS</v>
          </cell>
          <cell r="B168">
            <v>4</v>
          </cell>
          <cell r="C168">
            <v>1</v>
          </cell>
          <cell r="D168">
            <v>1</v>
          </cell>
          <cell r="E168">
            <v>2</v>
          </cell>
        </row>
        <row r="169">
          <cell r="A169" t="str">
            <v>B074FWRNDY</v>
          </cell>
          <cell r="B169">
            <v>2</v>
          </cell>
          <cell r="C169">
            <v>2</v>
          </cell>
          <cell r="D169">
            <v>2</v>
          </cell>
          <cell r="E169">
            <v>1</v>
          </cell>
        </row>
        <row r="170">
          <cell r="A170" t="str">
            <v>B074FWRY86</v>
          </cell>
          <cell r="B170">
            <v>2</v>
          </cell>
          <cell r="C170">
            <v>3</v>
          </cell>
          <cell r="D170">
            <v>4</v>
          </cell>
          <cell r="E170">
            <v>2</v>
          </cell>
        </row>
        <row r="171">
          <cell r="A171" t="str">
            <v>B074FWT3JN</v>
          </cell>
          <cell r="B171">
            <v>0</v>
          </cell>
          <cell r="C171">
            <v>0</v>
          </cell>
          <cell r="D171">
            <v>0</v>
          </cell>
          <cell r="E171">
            <v>2</v>
          </cell>
        </row>
        <row r="172">
          <cell r="A172" t="str">
            <v>B074FX3HCW</v>
          </cell>
          <cell r="B172">
            <v>5</v>
          </cell>
          <cell r="C172">
            <v>3</v>
          </cell>
          <cell r="D172">
            <v>3</v>
          </cell>
          <cell r="E172">
            <v>3</v>
          </cell>
        </row>
        <row r="173">
          <cell r="A173" t="str">
            <v>B074FX3ZFZ</v>
          </cell>
          <cell r="B173">
            <v>3</v>
          </cell>
          <cell r="C173">
            <v>4</v>
          </cell>
          <cell r="D173">
            <v>3</v>
          </cell>
          <cell r="E173">
            <v>1</v>
          </cell>
        </row>
        <row r="174">
          <cell r="A174" t="str">
            <v>B074FXCYQT</v>
          </cell>
          <cell r="B174">
            <v>8</v>
          </cell>
          <cell r="C174">
            <v>10</v>
          </cell>
          <cell r="D174">
            <v>8</v>
          </cell>
          <cell r="E174">
            <v>3</v>
          </cell>
        </row>
        <row r="175">
          <cell r="A175" t="str">
            <v>B074FXLL7J</v>
          </cell>
          <cell r="B175">
            <v>3</v>
          </cell>
          <cell r="C175">
            <v>2</v>
          </cell>
          <cell r="D175">
            <v>5</v>
          </cell>
          <cell r="E175">
            <v>1</v>
          </cell>
        </row>
        <row r="176">
          <cell r="A176" t="str">
            <v>B074FXLSHW</v>
          </cell>
          <cell r="B176">
            <v>1</v>
          </cell>
          <cell r="C176">
            <v>2</v>
          </cell>
          <cell r="D176">
            <v>2</v>
          </cell>
          <cell r="E176">
            <v>3</v>
          </cell>
        </row>
        <row r="177">
          <cell r="A177" t="str">
            <v>B074FXM33R</v>
          </cell>
          <cell r="B177">
            <v>1</v>
          </cell>
          <cell r="C177">
            <v>2</v>
          </cell>
          <cell r="D177">
            <v>3</v>
          </cell>
          <cell r="E177">
            <v>4</v>
          </cell>
        </row>
        <row r="178">
          <cell r="A178" t="str">
            <v>B074FXMP5R</v>
          </cell>
          <cell r="B178">
            <v>1</v>
          </cell>
          <cell r="C178">
            <v>1</v>
          </cell>
          <cell r="D178">
            <v>3</v>
          </cell>
          <cell r="E178">
            <v>3</v>
          </cell>
        </row>
        <row r="179">
          <cell r="A179" t="str">
            <v>B074FXSQV1</v>
          </cell>
          <cell r="B179">
            <v>0</v>
          </cell>
          <cell r="C179">
            <v>1</v>
          </cell>
          <cell r="D179">
            <v>6</v>
          </cell>
          <cell r="E179">
            <v>3</v>
          </cell>
        </row>
        <row r="180">
          <cell r="A180" t="str">
            <v>B074FXTKQH</v>
          </cell>
          <cell r="B180">
            <v>2</v>
          </cell>
          <cell r="C180">
            <v>3</v>
          </cell>
          <cell r="D180">
            <v>4</v>
          </cell>
          <cell r="E180">
            <v>4</v>
          </cell>
        </row>
        <row r="181">
          <cell r="A181" t="str">
            <v>B074FXVQD5</v>
          </cell>
          <cell r="B181">
            <v>1</v>
          </cell>
          <cell r="C181">
            <v>3</v>
          </cell>
          <cell r="D181">
            <v>4</v>
          </cell>
          <cell r="E181">
            <v>3</v>
          </cell>
        </row>
        <row r="182">
          <cell r="A182" t="str">
            <v>B074FYL2WF</v>
          </cell>
          <cell r="B182">
            <v>1</v>
          </cell>
          <cell r="C182">
            <v>1</v>
          </cell>
          <cell r="D182">
            <v>1</v>
          </cell>
          <cell r="E182">
            <v>3</v>
          </cell>
        </row>
        <row r="183">
          <cell r="A183" t="str">
            <v>B074FYMTFF</v>
          </cell>
          <cell r="B183">
            <v>0</v>
          </cell>
          <cell r="C183">
            <v>1</v>
          </cell>
          <cell r="D183">
            <v>2</v>
          </cell>
          <cell r="E183">
            <v>4</v>
          </cell>
        </row>
        <row r="184">
          <cell r="A184" t="str">
            <v>B074FZHXMJ</v>
          </cell>
          <cell r="B184">
            <v>0</v>
          </cell>
          <cell r="C184">
            <v>1</v>
          </cell>
          <cell r="D184">
            <v>3</v>
          </cell>
          <cell r="E184">
            <v>4</v>
          </cell>
        </row>
        <row r="185">
          <cell r="A185" t="str">
            <v>B074JTW9NR</v>
          </cell>
          <cell r="B185">
            <v>1</v>
          </cell>
          <cell r="C185">
            <v>2</v>
          </cell>
          <cell r="D185">
            <v>5</v>
          </cell>
          <cell r="E185">
            <v>2</v>
          </cell>
        </row>
        <row r="186">
          <cell r="A186" t="str">
            <v>B074JV1QKR</v>
          </cell>
          <cell r="B186">
            <v>1</v>
          </cell>
          <cell r="C186">
            <v>7</v>
          </cell>
          <cell r="D186">
            <v>1</v>
          </cell>
          <cell r="E186">
            <v>2</v>
          </cell>
        </row>
        <row r="187">
          <cell r="A187" t="str">
            <v>B074JV1QKT</v>
          </cell>
          <cell r="B187">
            <v>7</v>
          </cell>
          <cell r="C187">
            <v>8</v>
          </cell>
          <cell r="D187">
            <v>2</v>
          </cell>
          <cell r="E187">
            <v>2</v>
          </cell>
        </row>
        <row r="188">
          <cell r="A188" t="str">
            <v>B074JV7QWX</v>
          </cell>
          <cell r="B188">
            <v>5</v>
          </cell>
          <cell r="C188">
            <v>6</v>
          </cell>
          <cell r="D188">
            <v>2</v>
          </cell>
          <cell r="E188">
            <v>4</v>
          </cell>
        </row>
        <row r="189">
          <cell r="A189" t="str">
            <v>B074JVMQRW</v>
          </cell>
          <cell r="B189">
            <v>6</v>
          </cell>
          <cell r="C189">
            <v>5</v>
          </cell>
          <cell r="D189">
            <v>1</v>
          </cell>
          <cell r="E189">
            <v>3</v>
          </cell>
        </row>
        <row r="190">
          <cell r="A190" t="str">
            <v>B074JW46DX</v>
          </cell>
          <cell r="B190">
            <v>4</v>
          </cell>
          <cell r="C190">
            <v>3</v>
          </cell>
          <cell r="D190">
            <v>3</v>
          </cell>
          <cell r="E190">
            <v>2</v>
          </cell>
        </row>
        <row r="191">
          <cell r="A191" t="str">
            <v>B074JW5XZ4</v>
          </cell>
          <cell r="B191">
            <v>9</v>
          </cell>
          <cell r="C191">
            <v>10</v>
          </cell>
          <cell r="D191">
            <v>7</v>
          </cell>
          <cell r="E191">
            <v>5</v>
          </cell>
        </row>
        <row r="192">
          <cell r="A192" t="str">
            <v>B074JW998T</v>
          </cell>
          <cell r="B192">
            <v>4</v>
          </cell>
          <cell r="C192">
            <v>1</v>
          </cell>
          <cell r="D192">
            <v>0</v>
          </cell>
          <cell r="E192">
            <v>2</v>
          </cell>
        </row>
        <row r="193">
          <cell r="A193" t="str">
            <v>B074JW9ZRS</v>
          </cell>
          <cell r="B193">
            <v>5</v>
          </cell>
          <cell r="C193">
            <v>5</v>
          </cell>
          <cell r="D193">
            <v>4</v>
          </cell>
          <cell r="E193">
            <v>7</v>
          </cell>
        </row>
        <row r="194">
          <cell r="A194" t="str">
            <v>B074JWL4F2</v>
          </cell>
          <cell r="B194">
            <v>3</v>
          </cell>
          <cell r="C194">
            <v>4</v>
          </cell>
          <cell r="D194">
            <v>4</v>
          </cell>
          <cell r="E194">
            <v>3</v>
          </cell>
        </row>
        <row r="195">
          <cell r="A195" t="str">
            <v>B074JWL6PF</v>
          </cell>
          <cell r="B195">
            <v>5</v>
          </cell>
          <cell r="C195">
            <v>3</v>
          </cell>
          <cell r="D195">
            <v>3</v>
          </cell>
          <cell r="E195">
            <v>3</v>
          </cell>
        </row>
        <row r="196">
          <cell r="A196" t="str">
            <v>B074JWQ644</v>
          </cell>
          <cell r="B196">
            <v>6</v>
          </cell>
          <cell r="C196">
            <v>3</v>
          </cell>
          <cell r="D196">
            <v>5</v>
          </cell>
          <cell r="E196">
            <v>5</v>
          </cell>
        </row>
        <row r="197">
          <cell r="A197" t="str">
            <v>B074JWS1CB</v>
          </cell>
          <cell r="B197">
            <v>7</v>
          </cell>
          <cell r="C197">
            <v>1</v>
          </cell>
          <cell r="D197">
            <v>4</v>
          </cell>
          <cell r="E197">
            <v>3</v>
          </cell>
        </row>
        <row r="198">
          <cell r="A198" t="str">
            <v>B074JX2YCN</v>
          </cell>
          <cell r="B198">
            <v>8</v>
          </cell>
          <cell r="C198">
            <v>3</v>
          </cell>
          <cell r="D198">
            <v>2</v>
          </cell>
          <cell r="E198">
            <v>5</v>
          </cell>
        </row>
        <row r="199">
          <cell r="A199" t="str">
            <v>B074JX2YCX</v>
          </cell>
          <cell r="B199">
            <v>1</v>
          </cell>
          <cell r="C199">
            <v>2</v>
          </cell>
          <cell r="D199">
            <v>2</v>
          </cell>
          <cell r="E199">
            <v>2</v>
          </cell>
        </row>
        <row r="200">
          <cell r="A200" t="str">
            <v>B074JXFM38</v>
          </cell>
          <cell r="B200">
            <v>2</v>
          </cell>
          <cell r="C200">
            <v>1</v>
          </cell>
          <cell r="D200">
            <v>2</v>
          </cell>
          <cell r="E200">
            <v>2</v>
          </cell>
        </row>
        <row r="201">
          <cell r="A201" t="str">
            <v>B074JXGVBD</v>
          </cell>
          <cell r="B201">
            <v>3</v>
          </cell>
          <cell r="C201">
            <v>4</v>
          </cell>
          <cell r="D201">
            <v>4</v>
          </cell>
          <cell r="E201">
            <v>1</v>
          </cell>
        </row>
        <row r="202">
          <cell r="A202" t="str">
            <v>B074JXHFTJ</v>
          </cell>
          <cell r="B202">
            <v>4</v>
          </cell>
          <cell r="C202">
            <v>4</v>
          </cell>
          <cell r="D202">
            <v>4</v>
          </cell>
          <cell r="E202">
            <v>1</v>
          </cell>
        </row>
        <row r="203">
          <cell r="A203" t="str">
            <v>B074JY219R</v>
          </cell>
          <cell r="B203">
            <v>3</v>
          </cell>
          <cell r="C203">
            <v>3</v>
          </cell>
          <cell r="D203">
            <v>4</v>
          </cell>
          <cell r="E203">
            <v>1</v>
          </cell>
        </row>
        <row r="204">
          <cell r="A204" t="str">
            <v>B074JYD8F3</v>
          </cell>
          <cell r="B204">
            <v>6</v>
          </cell>
          <cell r="C204">
            <v>6</v>
          </cell>
          <cell r="D204">
            <v>2</v>
          </cell>
          <cell r="E204">
            <v>2</v>
          </cell>
        </row>
        <row r="205">
          <cell r="A205" t="str">
            <v>B074JYMHZL</v>
          </cell>
          <cell r="B205">
            <v>5</v>
          </cell>
          <cell r="C205">
            <v>3</v>
          </cell>
          <cell r="D205">
            <v>3</v>
          </cell>
          <cell r="E205">
            <v>3</v>
          </cell>
        </row>
        <row r="206">
          <cell r="A206" t="str">
            <v>B074JYYM5F</v>
          </cell>
          <cell r="B206">
            <v>3</v>
          </cell>
          <cell r="C206">
            <v>3</v>
          </cell>
          <cell r="D206">
            <v>2</v>
          </cell>
          <cell r="E206">
            <v>1</v>
          </cell>
        </row>
        <row r="207">
          <cell r="A207" t="str">
            <v>B074JZ1THP</v>
          </cell>
          <cell r="B207">
            <v>5</v>
          </cell>
          <cell r="C207">
            <v>3</v>
          </cell>
          <cell r="D207">
            <v>1</v>
          </cell>
          <cell r="E207">
            <v>2</v>
          </cell>
        </row>
        <row r="208">
          <cell r="A208" t="str">
            <v>B074JZ2HSX</v>
          </cell>
          <cell r="B208">
            <v>1</v>
          </cell>
          <cell r="C208">
            <v>2</v>
          </cell>
          <cell r="D208">
            <v>3</v>
          </cell>
          <cell r="E208">
            <v>2</v>
          </cell>
        </row>
        <row r="209">
          <cell r="A209" t="str">
            <v>B074JZ42X6</v>
          </cell>
          <cell r="B209">
            <v>2</v>
          </cell>
          <cell r="C209">
            <v>5</v>
          </cell>
          <cell r="D209">
            <v>7</v>
          </cell>
          <cell r="E209">
            <v>4</v>
          </cell>
        </row>
        <row r="210">
          <cell r="A210" t="str">
            <v>B074K1JLQ3</v>
          </cell>
          <cell r="B210">
            <v>6</v>
          </cell>
          <cell r="C210">
            <v>6</v>
          </cell>
          <cell r="D210">
            <v>7</v>
          </cell>
          <cell r="E210">
            <v>6</v>
          </cell>
        </row>
        <row r="211">
          <cell r="A211" t="str">
            <v>B074K1L386</v>
          </cell>
          <cell r="B211">
            <v>3</v>
          </cell>
          <cell r="C211">
            <v>6</v>
          </cell>
          <cell r="D211">
            <v>1</v>
          </cell>
          <cell r="E211">
            <v>2</v>
          </cell>
        </row>
        <row r="212">
          <cell r="A212" t="str">
            <v>B074K24HL3</v>
          </cell>
          <cell r="B212">
            <v>1</v>
          </cell>
          <cell r="C212">
            <v>4</v>
          </cell>
          <cell r="D212">
            <v>0</v>
          </cell>
          <cell r="E212">
            <v>2</v>
          </cell>
        </row>
        <row r="213">
          <cell r="A213" t="str">
            <v>B074K26CND</v>
          </cell>
          <cell r="B213">
            <v>3</v>
          </cell>
          <cell r="C213">
            <v>4</v>
          </cell>
          <cell r="D213">
            <v>0</v>
          </cell>
          <cell r="E213">
            <v>3</v>
          </cell>
        </row>
        <row r="214">
          <cell r="A214" t="str">
            <v>B074K2GJCF</v>
          </cell>
          <cell r="B214">
            <v>3</v>
          </cell>
          <cell r="C214">
            <v>2</v>
          </cell>
          <cell r="D214">
            <v>1</v>
          </cell>
          <cell r="E214">
            <v>3</v>
          </cell>
        </row>
        <row r="215">
          <cell r="A215" t="str">
            <v>B074K3VJ4G</v>
          </cell>
          <cell r="B215">
            <v>11</v>
          </cell>
          <cell r="C215">
            <v>14</v>
          </cell>
          <cell r="D215">
            <v>1</v>
          </cell>
          <cell r="E215">
            <v>2</v>
          </cell>
        </row>
        <row r="216">
          <cell r="A216" t="str">
            <v>B074K3YM47</v>
          </cell>
          <cell r="B216">
            <v>3</v>
          </cell>
          <cell r="C216">
            <v>3</v>
          </cell>
          <cell r="D216">
            <v>1</v>
          </cell>
          <cell r="E216">
            <v>3</v>
          </cell>
        </row>
        <row r="217">
          <cell r="A217" t="str">
            <v>B074K4DJJR</v>
          </cell>
          <cell r="B217">
            <v>1</v>
          </cell>
          <cell r="C217">
            <v>6</v>
          </cell>
          <cell r="D217">
            <v>3</v>
          </cell>
          <cell r="E217">
            <v>5</v>
          </cell>
        </row>
        <row r="218">
          <cell r="A218" t="str">
            <v>B074K4DJKF</v>
          </cell>
          <cell r="B218">
            <v>1</v>
          </cell>
          <cell r="C218">
            <v>6</v>
          </cell>
          <cell r="D218">
            <v>2</v>
          </cell>
          <cell r="E218">
            <v>3</v>
          </cell>
        </row>
        <row r="219">
          <cell r="A219" t="str">
            <v>B074K4GLGJ</v>
          </cell>
          <cell r="B219">
            <v>2</v>
          </cell>
          <cell r="C219">
            <v>3</v>
          </cell>
          <cell r="D219">
            <v>2</v>
          </cell>
          <cell r="E219">
            <v>3</v>
          </cell>
        </row>
        <row r="220">
          <cell r="A220" t="str">
            <v>B074K4K838</v>
          </cell>
          <cell r="B220">
            <v>2</v>
          </cell>
          <cell r="C220">
            <v>8</v>
          </cell>
          <cell r="D220">
            <v>1</v>
          </cell>
          <cell r="E220">
            <v>2</v>
          </cell>
        </row>
        <row r="221">
          <cell r="A221" t="str">
            <v>B074K4N247</v>
          </cell>
          <cell r="B221">
            <v>4</v>
          </cell>
          <cell r="C221">
            <v>5</v>
          </cell>
          <cell r="D221">
            <v>6</v>
          </cell>
          <cell r="E221">
            <v>3</v>
          </cell>
        </row>
        <row r="222">
          <cell r="A222" t="str">
            <v>B074K53FDK</v>
          </cell>
          <cell r="B222">
            <v>2</v>
          </cell>
          <cell r="C222">
            <v>8</v>
          </cell>
          <cell r="D222">
            <v>0</v>
          </cell>
          <cell r="E222">
            <v>3</v>
          </cell>
        </row>
        <row r="223">
          <cell r="A223" t="str">
            <v>B074K5FMRM</v>
          </cell>
          <cell r="B223">
            <v>1</v>
          </cell>
          <cell r="C223">
            <v>1</v>
          </cell>
          <cell r="D223">
            <v>1</v>
          </cell>
          <cell r="E223">
            <v>3</v>
          </cell>
        </row>
        <row r="224">
          <cell r="A224" t="str">
            <v>B074NNZXDV</v>
          </cell>
          <cell r="B224">
            <v>2</v>
          </cell>
          <cell r="C224">
            <v>7</v>
          </cell>
          <cell r="D224">
            <v>1</v>
          </cell>
          <cell r="E224">
            <v>4</v>
          </cell>
        </row>
        <row r="225">
          <cell r="A225" t="str">
            <v>B074NQW76F</v>
          </cell>
          <cell r="B225">
            <v>0</v>
          </cell>
          <cell r="C225">
            <v>6</v>
          </cell>
          <cell r="D225">
            <v>0</v>
          </cell>
          <cell r="E225">
            <v>2</v>
          </cell>
        </row>
        <row r="226">
          <cell r="A226" t="str">
            <v>B074NQW8FF</v>
          </cell>
          <cell r="B226">
            <v>2</v>
          </cell>
          <cell r="C226">
            <v>7</v>
          </cell>
          <cell r="D226">
            <v>0</v>
          </cell>
          <cell r="E226">
            <v>2</v>
          </cell>
        </row>
        <row r="227">
          <cell r="A227" t="str">
            <v>B074NWMYV7</v>
          </cell>
          <cell r="B227">
            <v>1</v>
          </cell>
          <cell r="C227">
            <v>6</v>
          </cell>
          <cell r="D227">
            <v>1</v>
          </cell>
          <cell r="E227">
            <v>2</v>
          </cell>
        </row>
        <row r="228">
          <cell r="A228" t="str">
            <v>B074NXL8BJ</v>
          </cell>
          <cell r="B228">
            <v>3</v>
          </cell>
          <cell r="C228">
            <v>8</v>
          </cell>
          <cell r="D228">
            <v>0</v>
          </cell>
          <cell r="E228">
            <v>2</v>
          </cell>
        </row>
        <row r="229">
          <cell r="A229" t="str">
            <v>B074NXZPYK</v>
          </cell>
          <cell r="B229">
            <v>3</v>
          </cell>
          <cell r="C229">
            <v>7</v>
          </cell>
          <cell r="D229">
            <v>0</v>
          </cell>
          <cell r="E229">
            <v>2</v>
          </cell>
        </row>
        <row r="230">
          <cell r="A230" t="str">
            <v>B074NY9YM1</v>
          </cell>
          <cell r="B230">
            <v>5</v>
          </cell>
          <cell r="C230">
            <v>6</v>
          </cell>
          <cell r="D230">
            <v>1</v>
          </cell>
          <cell r="E230">
            <v>1</v>
          </cell>
        </row>
        <row r="231">
          <cell r="A231" t="str">
            <v>B074NYX45B</v>
          </cell>
          <cell r="B231">
            <v>0</v>
          </cell>
          <cell r="C231">
            <v>5</v>
          </cell>
          <cell r="D231">
            <v>0</v>
          </cell>
          <cell r="E231">
            <v>1</v>
          </cell>
        </row>
        <row r="232">
          <cell r="A232" t="str">
            <v>B074NZSTV3</v>
          </cell>
          <cell r="B232">
            <v>0</v>
          </cell>
          <cell r="C232">
            <v>4</v>
          </cell>
          <cell r="D232">
            <v>0</v>
          </cell>
          <cell r="E232">
            <v>3</v>
          </cell>
        </row>
        <row r="233">
          <cell r="A233" t="str">
            <v>B074P1BLMD</v>
          </cell>
          <cell r="B233">
            <v>0</v>
          </cell>
          <cell r="C233">
            <v>0</v>
          </cell>
          <cell r="D233">
            <v>1</v>
          </cell>
          <cell r="E233">
            <v>1</v>
          </cell>
        </row>
        <row r="234">
          <cell r="A234" t="str">
            <v>B074P1H1SL</v>
          </cell>
          <cell r="B234">
            <v>4</v>
          </cell>
          <cell r="C234">
            <v>5</v>
          </cell>
          <cell r="D234">
            <v>0</v>
          </cell>
          <cell r="E234">
            <v>3</v>
          </cell>
        </row>
        <row r="235">
          <cell r="A235" t="str">
            <v>B074P2RFBZ</v>
          </cell>
          <cell r="B235">
            <v>1</v>
          </cell>
          <cell r="C235">
            <v>6</v>
          </cell>
          <cell r="D235">
            <v>1</v>
          </cell>
          <cell r="E235">
            <v>4</v>
          </cell>
        </row>
        <row r="236">
          <cell r="A236" t="str">
            <v>B074Q9CTNJ</v>
          </cell>
          <cell r="B236">
            <v>2</v>
          </cell>
          <cell r="C236">
            <v>5</v>
          </cell>
          <cell r="D236">
            <v>4</v>
          </cell>
          <cell r="E236">
            <v>6</v>
          </cell>
        </row>
        <row r="237">
          <cell r="A237" t="str">
            <v>B074Q9RQFH</v>
          </cell>
          <cell r="B237">
            <v>9</v>
          </cell>
          <cell r="C237">
            <v>5</v>
          </cell>
          <cell r="D237">
            <v>1</v>
          </cell>
          <cell r="E237">
            <v>6</v>
          </cell>
        </row>
        <row r="238">
          <cell r="A238" t="str">
            <v>B074Q9S43R</v>
          </cell>
          <cell r="B238">
            <v>0</v>
          </cell>
          <cell r="C238">
            <v>0</v>
          </cell>
          <cell r="D238">
            <v>12</v>
          </cell>
          <cell r="E238">
            <v>26</v>
          </cell>
        </row>
        <row r="239">
          <cell r="A239" t="str">
            <v>B074QCGCJC</v>
          </cell>
          <cell r="B239">
            <v>8</v>
          </cell>
          <cell r="C239">
            <v>5</v>
          </cell>
          <cell r="D239">
            <v>3</v>
          </cell>
          <cell r="E239">
            <v>7</v>
          </cell>
        </row>
        <row r="240">
          <cell r="A240" t="str">
            <v>B074QCYQ9L</v>
          </cell>
          <cell r="B240">
            <v>1</v>
          </cell>
          <cell r="C240">
            <v>6</v>
          </cell>
          <cell r="D240">
            <v>3</v>
          </cell>
          <cell r="E240">
            <v>5</v>
          </cell>
        </row>
        <row r="241">
          <cell r="A241" t="str">
            <v>B074QDS9ZN</v>
          </cell>
          <cell r="B241">
            <v>10</v>
          </cell>
          <cell r="C241">
            <v>5</v>
          </cell>
          <cell r="D241">
            <v>3</v>
          </cell>
          <cell r="E241">
            <v>6</v>
          </cell>
        </row>
        <row r="242">
          <cell r="A242" t="str">
            <v>B074QDSYXY</v>
          </cell>
          <cell r="B242">
            <v>11</v>
          </cell>
          <cell r="C242">
            <v>3</v>
          </cell>
          <cell r="D242">
            <v>6</v>
          </cell>
          <cell r="E242">
            <v>5</v>
          </cell>
        </row>
        <row r="243">
          <cell r="A243" t="str">
            <v>B074QFDH8R</v>
          </cell>
          <cell r="B243">
            <v>6</v>
          </cell>
          <cell r="C243">
            <v>4</v>
          </cell>
          <cell r="D243">
            <v>3</v>
          </cell>
          <cell r="E243">
            <v>4</v>
          </cell>
        </row>
        <row r="244">
          <cell r="A244" t="str">
            <v>B074QG3P8G</v>
          </cell>
          <cell r="B244">
            <v>15</v>
          </cell>
          <cell r="C244">
            <v>18</v>
          </cell>
          <cell r="D244">
            <v>23</v>
          </cell>
          <cell r="E244">
            <v>7</v>
          </cell>
        </row>
        <row r="245">
          <cell r="A245" t="str">
            <v>B074QGD61W</v>
          </cell>
          <cell r="B245">
            <v>4</v>
          </cell>
          <cell r="C245">
            <v>3</v>
          </cell>
          <cell r="D245">
            <v>2</v>
          </cell>
          <cell r="E245">
            <v>3</v>
          </cell>
        </row>
        <row r="246">
          <cell r="A246" t="str">
            <v>B074QGLLQN</v>
          </cell>
          <cell r="B246">
            <v>8</v>
          </cell>
          <cell r="C246">
            <v>4</v>
          </cell>
          <cell r="D246">
            <v>4</v>
          </cell>
          <cell r="E246">
            <v>5</v>
          </cell>
        </row>
        <row r="247">
          <cell r="A247" t="str">
            <v>B074QJ923S</v>
          </cell>
          <cell r="B247">
            <v>5</v>
          </cell>
          <cell r="C247">
            <v>4</v>
          </cell>
          <cell r="D247">
            <v>3</v>
          </cell>
          <cell r="E247">
            <v>6</v>
          </cell>
        </row>
        <row r="248">
          <cell r="A248" t="str">
            <v>B074QQ5S79</v>
          </cell>
          <cell r="B248">
            <v>4</v>
          </cell>
          <cell r="C248">
            <v>6</v>
          </cell>
          <cell r="D248">
            <v>6</v>
          </cell>
          <cell r="E248">
            <v>4</v>
          </cell>
        </row>
        <row r="249">
          <cell r="A249" t="str">
            <v>B0761MLYTQ</v>
          </cell>
          <cell r="B249">
            <v>4</v>
          </cell>
          <cell r="C249">
            <v>2</v>
          </cell>
          <cell r="D249">
            <v>1</v>
          </cell>
          <cell r="E249">
            <v>2</v>
          </cell>
        </row>
        <row r="250">
          <cell r="A250" t="str">
            <v>B0761MXCJB</v>
          </cell>
          <cell r="B250">
            <v>3</v>
          </cell>
          <cell r="C250">
            <v>4</v>
          </cell>
          <cell r="D250">
            <v>3</v>
          </cell>
          <cell r="E250">
            <v>7</v>
          </cell>
        </row>
        <row r="251">
          <cell r="A251" t="str">
            <v>B0761N286T</v>
          </cell>
          <cell r="B251">
            <v>2</v>
          </cell>
          <cell r="C251">
            <v>5</v>
          </cell>
          <cell r="D251">
            <v>6</v>
          </cell>
          <cell r="E251">
            <v>5</v>
          </cell>
        </row>
        <row r="252">
          <cell r="A252" t="str">
            <v>B0761N3HJ3</v>
          </cell>
          <cell r="B252">
            <v>2</v>
          </cell>
          <cell r="C252">
            <v>4</v>
          </cell>
          <cell r="D252">
            <v>6</v>
          </cell>
          <cell r="E252">
            <v>4</v>
          </cell>
        </row>
        <row r="253">
          <cell r="A253" t="str">
            <v>B0761N46BN</v>
          </cell>
          <cell r="B253">
            <v>3</v>
          </cell>
          <cell r="C253">
            <v>5</v>
          </cell>
          <cell r="D253">
            <v>7</v>
          </cell>
          <cell r="E253">
            <v>4</v>
          </cell>
        </row>
        <row r="254">
          <cell r="A254" t="str">
            <v>B0761NFQMT</v>
          </cell>
          <cell r="B254">
            <v>6</v>
          </cell>
          <cell r="C254">
            <v>5</v>
          </cell>
          <cell r="D254">
            <v>6</v>
          </cell>
          <cell r="E254">
            <v>4</v>
          </cell>
        </row>
        <row r="255">
          <cell r="A255" t="str">
            <v>B0761NFTQC</v>
          </cell>
          <cell r="B255">
            <v>4</v>
          </cell>
          <cell r="C255">
            <v>4</v>
          </cell>
          <cell r="D255">
            <v>8</v>
          </cell>
          <cell r="E255">
            <v>3</v>
          </cell>
        </row>
        <row r="256">
          <cell r="A256" t="str">
            <v>B0761NGWJD</v>
          </cell>
          <cell r="B256">
            <v>7</v>
          </cell>
          <cell r="C256">
            <v>7</v>
          </cell>
          <cell r="D256">
            <v>8</v>
          </cell>
          <cell r="E256">
            <v>3</v>
          </cell>
        </row>
        <row r="257">
          <cell r="A257" t="str">
            <v>B0761NGYTK</v>
          </cell>
          <cell r="B257">
            <v>3</v>
          </cell>
          <cell r="C257">
            <v>6</v>
          </cell>
          <cell r="D257">
            <v>5</v>
          </cell>
          <cell r="E257">
            <v>4</v>
          </cell>
        </row>
        <row r="258">
          <cell r="A258" t="str">
            <v>B0761NHB1Y</v>
          </cell>
          <cell r="B258">
            <v>4</v>
          </cell>
          <cell r="C258">
            <v>3</v>
          </cell>
          <cell r="D258">
            <v>4</v>
          </cell>
          <cell r="E258">
            <v>2</v>
          </cell>
        </row>
        <row r="259">
          <cell r="A259" t="str">
            <v>B0761NJPNM</v>
          </cell>
          <cell r="B259">
            <v>6</v>
          </cell>
          <cell r="C259">
            <v>3</v>
          </cell>
          <cell r="D259">
            <v>3</v>
          </cell>
          <cell r="E259">
            <v>3</v>
          </cell>
        </row>
        <row r="260">
          <cell r="A260" t="str">
            <v>B0761NM1NH</v>
          </cell>
          <cell r="B260">
            <v>2</v>
          </cell>
          <cell r="C260">
            <v>4</v>
          </cell>
          <cell r="D260">
            <v>7</v>
          </cell>
          <cell r="E260">
            <v>5</v>
          </cell>
        </row>
        <row r="261">
          <cell r="A261" t="str">
            <v>B0761NM3BZ</v>
          </cell>
          <cell r="B261">
            <v>30</v>
          </cell>
          <cell r="C261">
            <v>43</v>
          </cell>
          <cell r="D261">
            <v>41</v>
          </cell>
          <cell r="E261">
            <v>39</v>
          </cell>
        </row>
        <row r="262">
          <cell r="A262" t="str">
            <v>B0761NM3SZ</v>
          </cell>
          <cell r="B262">
            <v>4</v>
          </cell>
          <cell r="C262">
            <v>4</v>
          </cell>
          <cell r="D262">
            <v>8</v>
          </cell>
          <cell r="E262">
            <v>3</v>
          </cell>
        </row>
        <row r="263">
          <cell r="A263" t="str">
            <v>B0761NNDWM</v>
          </cell>
          <cell r="B263">
            <v>3</v>
          </cell>
          <cell r="C263">
            <v>4</v>
          </cell>
          <cell r="D263">
            <v>8</v>
          </cell>
          <cell r="E263">
            <v>4</v>
          </cell>
        </row>
        <row r="264">
          <cell r="A264" t="str">
            <v>B0761NNM84</v>
          </cell>
          <cell r="B264">
            <v>7</v>
          </cell>
          <cell r="C264">
            <v>4</v>
          </cell>
          <cell r="D264">
            <v>12</v>
          </cell>
          <cell r="E264">
            <v>5</v>
          </cell>
        </row>
        <row r="265">
          <cell r="A265" t="str">
            <v>B0761P4LK2</v>
          </cell>
          <cell r="B265">
            <v>7</v>
          </cell>
          <cell r="C265">
            <v>5</v>
          </cell>
          <cell r="D265">
            <v>8</v>
          </cell>
          <cell r="E265">
            <v>3</v>
          </cell>
        </row>
        <row r="266">
          <cell r="A266" t="str">
            <v>B0761P4LKC</v>
          </cell>
          <cell r="B266">
            <v>3</v>
          </cell>
          <cell r="C266">
            <v>5</v>
          </cell>
          <cell r="D266">
            <v>11</v>
          </cell>
          <cell r="E266">
            <v>2</v>
          </cell>
        </row>
        <row r="267">
          <cell r="A267" t="str">
            <v>B0761PBXCV</v>
          </cell>
          <cell r="B267">
            <v>8</v>
          </cell>
          <cell r="C267">
            <v>5</v>
          </cell>
          <cell r="D267">
            <v>7</v>
          </cell>
          <cell r="E267">
            <v>6</v>
          </cell>
        </row>
        <row r="268">
          <cell r="A268" t="str">
            <v>B0761PDHV5</v>
          </cell>
          <cell r="B268">
            <v>3</v>
          </cell>
          <cell r="C268">
            <v>6</v>
          </cell>
          <cell r="D268">
            <v>11</v>
          </cell>
          <cell r="E268">
            <v>4</v>
          </cell>
        </row>
        <row r="269">
          <cell r="A269" t="str">
            <v>B0761PDMGN</v>
          </cell>
          <cell r="B269">
            <v>5</v>
          </cell>
          <cell r="C269">
            <v>7</v>
          </cell>
          <cell r="D269">
            <v>9</v>
          </cell>
          <cell r="E269">
            <v>5</v>
          </cell>
        </row>
        <row r="270">
          <cell r="A270" t="str">
            <v>B0761PL2N2</v>
          </cell>
          <cell r="B270">
            <v>3</v>
          </cell>
          <cell r="C270">
            <v>7</v>
          </cell>
          <cell r="D270">
            <v>8</v>
          </cell>
          <cell r="E270">
            <v>5</v>
          </cell>
        </row>
        <row r="271">
          <cell r="A271" t="str">
            <v>B0761PSPTJ</v>
          </cell>
          <cell r="B271">
            <v>3</v>
          </cell>
          <cell r="C271">
            <v>7</v>
          </cell>
          <cell r="D271">
            <v>10</v>
          </cell>
          <cell r="E271">
            <v>3</v>
          </cell>
        </row>
        <row r="272">
          <cell r="A272" t="str">
            <v>B0761PTZY2</v>
          </cell>
          <cell r="B272">
            <v>5</v>
          </cell>
          <cell r="C272">
            <v>5</v>
          </cell>
          <cell r="D272">
            <v>9</v>
          </cell>
          <cell r="E272">
            <v>6</v>
          </cell>
        </row>
        <row r="273">
          <cell r="A273" t="str">
            <v>B0761PV952</v>
          </cell>
          <cell r="B273">
            <v>2</v>
          </cell>
          <cell r="C273">
            <v>6</v>
          </cell>
          <cell r="D273">
            <v>5</v>
          </cell>
          <cell r="E273">
            <v>2</v>
          </cell>
        </row>
        <row r="274">
          <cell r="A274" t="str">
            <v>B0761PWB12</v>
          </cell>
          <cell r="B274">
            <v>4</v>
          </cell>
          <cell r="C274">
            <v>6</v>
          </cell>
          <cell r="D274">
            <v>7</v>
          </cell>
          <cell r="E274">
            <v>2</v>
          </cell>
        </row>
        <row r="275">
          <cell r="A275" t="str">
            <v>B0761PXTK8</v>
          </cell>
          <cell r="B275">
            <v>6</v>
          </cell>
          <cell r="C275">
            <v>8</v>
          </cell>
          <cell r="D275">
            <v>3</v>
          </cell>
          <cell r="E275">
            <v>2</v>
          </cell>
        </row>
        <row r="276">
          <cell r="A276" t="str">
            <v>B0761Q4YF6</v>
          </cell>
          <cell r="B276">
            <v>4</v>
          </cell>
          <cell r="C276">
            <v>8</v>
          </cell>
          <cell r="D276">
            <v>1</v>
          </cell>
          <cell r="E276">
            <v>1</v>
          </cell>
        </row>
        <row r="277">
          <cell r="A277" t="str">
            <v>B0761Q7KPX</v>
          </cell>
          <cell r="B277">
            <v>3</v>
          </cell>
          <cell r="C277">
            <v>10</v>
          </cell>
          <cell r="D277">
            <v>10</v>
          </cell>
          <cell r="E277">
            <v>2</v>
          </cell>
        </row>
        <row r="278">
          <cell r="A278" t="str">
            <v>B0761Q9VPH</v>
          </cell>
          <cell r="B278">
            <v>10</v>
          </cell>
          <cell r="C278">
            <v>8</v>
          </cell>
          <cell r="D278">
            <v>4</v>
          </cell>
          <cell r="E278">
            <v>4</v>
          </cell>
        </row>
        <row r="279">
          <cell r="A279" t="str">
            <v>B0761QBHM9</v>
          </cell>
          <cell r="B279">
            <v>4</v>
          </cell>
          <cell r="C279">
            <v>6</v>
          </cell>
          <cell r="D279">
            <v>5</v>
          </cell>
          <cell r="E279">
            <v>3</v>
          </cell>
        </row>
        <row r="280">
          <cell r="A280" t="str">
            <v>B0761QW2JK</v>
          </cell>
          <cell r="B280">
            <v>9</v>
          </cell>
          <cell r="C280">
            <v>10</v>
          </cell>
          <cell r="D280">
            <v>3</v>
          </cell>
          <cell r="E280">
            <v>3</v>
          </cell>
        </row>
        <row r="281">
          <cell r="A281" t="str">
            <v>B0761R6ZG2</v>
          </cell>
          <cell r="B281">
            <v>7</v>
          </cell>
          <cell r="C281">
            <v>5</v>
          </cell>
          <cell r="D281">
            <v>1</v>
          </cell>
          <cell r="E281">
            <v>2</v>
          </cell>
        </row>
        <row r="282">
          <cell r="A282" t="str">
            <v>B0761R93J2</v>
          </cell>
          <cell r="B282">
            <v>6</v>
          </cell>
          <cell r="C282">
            <v>4</v>
          </cell>
          <cell r="D282">
            <v>2</v>
          </cell>
          <cell r="E282">
            <v>1</v>
          </cell>
        </row>
        <row r="283">
          <cell r="A283" t="str">
            <v>B0761S2M63</v>
          </cell>
          <cell r="B283">
            <v>5</v>
          </cell>
          <cell r="C283">
            <v>4</v>
          </cell>
          <cell r="D283">
            <v>0</v>
          </cell>
          <cell r="E283">
            <v>2</v>
          </cell>
        </row>
        <row r="284">
          <cell r="A284" t="str">
            <v>B0761S8TXR</v>
          </cell>
          <cell r="B284">
            <v>4</v>
          </cell>
          <cell r="C284">
            <v>5</v>
          </cell>
          <cell r="D284">
            <v>3</v>
          </cell>
          <cell r="E284">
            <v>1</v>
          </cell>
        </row>
        <row r="285">
          <cell r="A285" t="str">
            <v>B0761SKR3P</v>
          </cell>
          <cell r="B285">
            <v>3</v>
          </cell>
          <cell r="C285">
            <v>9</v>
          </cell>
          <cell r="D285">
            <v>2</v>
          </cell>
          <cell r="E285">
            <v>4</v>
          </cell>
        </row>
        <row r="286">
          <cell r="A286" t="str">
            <v>B0761V7L2R</v>
          </cell>
          <cell r="B286">
            <v>2</v>
          </cell>
          <cell r="C286">
            <v>4</v>
          </cell>
          <cell r="D286">
            <v>3</v>
          </cell>
          <cell r="E286">
            <v>3</v>
          </cell>
        </row>
        <row r="287">
          <cell r="A287" t="str">
            <v>B078NGPQK3</v>
          </cell>
          <cell r="B287">
            <v>9</v>
          </cell>
          <cell r="C287">
            <v>4</v>
          </cell>
          <cell r="D287">
            <v>1</v>
          </cell>
          <cell r="E287">
            <v>5</v>
          </cell>
        </row>
        <row r="288">
          <cell r="A288" t="str">
            <v>B078NN9LW4</v>
          </cell>
          <cell r="B288">
            <v>3</v>
          </cell>
          <cell r="C288">
            <v>7</v>
          </cell>
          <cell r="D288">
            <v>3</v>
          </cell>
          <cell r="E288">
            <v>2</v>
          </cell>
        </row>
        <row r="289">
          <cell r="A289" t="str">
            <v>B078NN9RD2</v>
          </cell>
          <cell r="B289">
            <v>4</v>
          </cell>
          <cell r="C289">
            <v>5</v>
          </cell>
          <cell r="D289">
            <v>4</v>
          </cell>
          <cell r="E289">
            <v>5</v>
          </cell>
        </row>
        <row r="290">
          <cell r="A290" t="str">
            <v>B078NNB2PQ</v>
          </cell>
          <cell r="B290">
            <v>15</v>
          </cell>
          <cell r="C290">
            <v>12</v>
          </cell>
          <cell r="D290">
            <v>8</v>
          </cell>
          <cell r="E290">
            <v>8</v>
          </cell>
        </row>
        <row r="291">
          <cell r="A291" t="str">
            <v>B078NNLWT7</v>
          </cell>
          <cell r="B291">
            <v>2</v>
          </cell>
          <cell r="C291">
            <v>4</v>
          </cell>
          <cell r="D291">
            <v>3</v>
          </cell>
          <cell r="E291">
            <v>2</v>
          </cell>
        </row>
        <row r="292">
          <cell r="A292" t="str">
            <v>B078NNNW7X</v>
          </cell>
          <cell r="B292">
            <v>6</v>
          </cell>
          <cell r="C292">
            <v>6</v>
          </cell>
          <cell r="D292">
            <v>3</v>
          </cell>
          <cell r="E292">
            <v>3</v>
          </cell>
        </row>
        <row r="293">
          <cell r="A293" t="str">
            <v>B078NNWT42</v>
          </cell>
          <cell r="B293">
            <v>1</v>
          </cell>
          <cell r="C293">
            <v>4</v>
          </cell>
          <cell r="D293">
            <v>6</v>
          </cell>
          <cell r="E293">
            <v>4</v>
          </cell>
        </row>
        <row r="294">
          <cell r="A294" t="str">
            <v>B078NNYW4V</v>
          </cell>
          <cell r="B294">
            <v>15</v>
          </cell>
          <cell r="C294">
            <v>24</v>
          </cell>
          <cell r="D294">
            <v>17</v>
          </cell>
          <cell r="E294">
            <v>12</v>
          </cell>
        </row>
        <row r="295">
          <cell r="A295" t="str">
            <v>B078NNZ9M6</v>
          </cell>
          <cell r="B295">
            <v>16</v>
          </cell>
          <cell r="C295">
            <v>9</v>
          </cell>
          <cell r="D295">
            <v>11</v>
          </cell>
          <cell r="E295">
            <v>13</v>
          </cell>
        </row>
        <row r="296">
          <cell r="A296" t="str">
            <v>B078NNZQ5Y</v>
          </cell>
          <cell r="B296">
            <v>4</v>
          </cell>
          <cell r="C296">
            <v>1</v>
          </cell>
          <cell r="D296">
            <v>2</v>
          </cell>
          <cell r="E296">
            <v>4</v>
          </cell>
        </row>
        <row r="297">
          <cell r="A297" t="str">
            <v>B078NNZWD6</v>
          </cell>
          <cell r="B297">
            <v>18</v>
          </cell>
          <cell r="C297">
            <v>11</v>
          </cell>
          <cell r="D297">
            <v>6</v>
          </cell>
          <cell r="E297">
            <v>4</v>
          </cell>
        </row>
        <row r="298">
          <cell r="A298" t="str">
            <v>B078NPBXD2</v>
          </cell>
          <cell r="B298">
            <v>7</v>
          </cell>
          <cell r="C298">
            <v>5</v>
          </cell>
          <cell r="D298">
            <v>3</v>
          </cell>
          <cell r="E298">
            <v>3</v>
          </cell>
        </row>
        <row r="299">
          <cell r="A299" t="str">
            <v>B078NPV9SY</v>
          </cell>
          <cell r="B299">
            <v>0</v>
          </cell>
          <cell r="C299">
            <v>0</v>
          </cell>
          <cell r="D299">
            <v>4</v>
          </cell>
          <cell r="E299">
            <v>4</v>
          </cell>
        </row>
        <row r="300">
          <cell r="A300" t="str">
            <v>B078NPVY5T</v>
          </cell>
          <cell r="B300">
            <v>7</v>
          </cell>
          <cell r="C300">
            <v>1</v>
          </cell>
          <cell r="D300">
            <v>4</v>
          </cell>
          <cell r="E300">
            <v>1</v>
          </cell>
        </row>
        <row r="301">
          <cell r="A301" t="str">
            <v>B078NQ2LH1</v>
          </cell>
          <cell r="B301">
            <v>4</v>
          </cell>
          <cell r="C301">
            <v>2</v>
          </cell>
          <cell r="D301">
            <v>2</v>
          </cell>
          <cell r="E301">
            <v>2</v>
          </cell>
        </row>
        <row r="302">
          <cell r="A302" t="str">
            <v>B078NQ6C6H</v>
          </cell>
          <cell r="B302">
            <v>9</v>
          </cell>
          <cell r="C302">
            <v>7</v>
          </cell>
          <cell r="D302">
            <v>8</v>
          </cell>
          <cell r="E302">
            <v>6</v>
          </cell>
        </row>
        <row r="303">
          <cell r="A303" t="str">
            <v>B078NQ7BCX</v>
          </cell>
          <cell r="B303">
            <v>11</v>
          </cell>
          <cell r="C303">
            <v>4</v>
          </cell>
          <cell r="D303">
            <v>6</v>
          </cell>
          <cell r="E303">
            <v>6</v>
          </cell>
        </row>
        <row r="304">
          <cell r="A304" t="str">
            <v>B078NQ8ZF7</v>
          </cell>
          <cell r="B304">
            <v>0</v>
          </cell>
          <cell r="C304">
            <v>0</v>
          </cell>
          <cell r="D304">
            <v>6</v>
          </cell>
          <cell r="E304">
            <v>7</v>
          </cell>
        </row>
        <row r="305">
          <cell r="A305" t="str">
            <v>B078NQ98JD</v>
          </cell>
          <cell r="B305">
            <v>8</v>
          </cell>
          <cell r="C305">
            <v>6</v>
          </cell>
          <cell r="D305">
            <v>9</v>
          </cell>
          <cell r="E305">
            <v>2</v>
          </cell>
        </row>
        <row r="306">
          <cell r="A306" t="str">
            <v>B078NQ9D6V</v>
          </cell>
          <cell r="B306">
            <v>3</v>
          </cell>
          <cell r="C306">
            <v>3</v>
          </cell>
          <cell r="D306">
            <v>1</v>
          </cell>
          <cell r="E306">
            <v>3</v>
          </cell>
        </row>
        <row r="307">
          <cell r="A307" t="str">
            <v>B078NQW8Y6</v>
          </cell>
          <cell r="B307">
            <v>2</v>
          </cell>
          <cell r="C307">
            <v>3</v>
          </cell>
          <cell r="D307">
            <v>3</v>
          </cell>
          <cell r="E307">
            <v>5</v>
          </cell>
        </row>
        <row r="308">
          <cell r="A308" t="str">
            <v>B078NQWBSV</v>
          </cell>
          <cell r="B308">
            <v>37</v>
          </cell>
          <cell r="C308">
            <v>41</v>
          </cell>
          <cell r="D308">
            <v>23</v>
          </cell>
          <cell r="E308">
            <v>18</v>
          </cell>
        </row>
        <row r="309">
          <cell r="A309" t="str">
            <v>B078NQZYP7</v>
          </cell>
          <cell r="B309">
            <v>4</v>
          </cell>
          <cell r="C309">
            <v>7</v>
          </cell>
          <cell r="D309">
            <v>4</v>
          </cell>
          <cell r="E309">
            <v>3</v>
          </cell>
        </row>
        <row r="310">
          <cell r="A310" t="str">
            <v>B078WPW9YL</v>
          </cell>
          <cell r="B310">
            <v>2</v>
          </cell>
          <cell r="C310">
            <v>6</v>
          </cell>
          <cell r="D310">
            <v>1</v>
          </cell>
          <cell r="E310">
            <v>3</v>
          </cell>
        </row>
        <row r="311">
          <cell r="A311" t="str">
            <v>B078WPYL96</v>
          </cell>
          <cell r="B311">
            <v>24</v>
          </cell>
          <cell r="C311">
            <v>15</v>
          </cell>
          <cell r="D311">
            <v>5</v>
          </cell>
          <cell r="E311">
            <v>7</v>
          </cell>
        </row>
        <row r="312">
          <cell r="A312" t="str">
            <v>B078WQ3MJ9</v>
          </cell>
          <cell r="B312">
            <v>2</v>
          </cell>
          <cell r="C312">
            <v>4</v>
          </cell>
          <cell r="D312">
            <v>1</v>
          </cell>
          <cell r="E312">
            <v>5</v>
          </cell>
        </row>
        <row r="313">
          <cell r="A313" t="str">
            <v>B078WQCTTM</v>
          </cell>
          <cell r="B313">
            <v>2</v>
          </cell>
          <cell r="C313">
            <v>3</v>
          </cell>
          <cell r="D313">
            <v>2</v>
          </cell>
          <cell r="E313">
            <v>4</v>
          </cell>
        </row>
        <row r="314">
          <cell r="A314" t="str">
            <v>B078WQHD98</v>
          </cell>
          <cell r="B314">
            <v>2</v>
          </cell>
          <cell r="C314">
            <v>4</v>
          </cell>
          <cell r="D314">
            <v>1</v>
          </cell>
          <cell r="E314">
            <v>5</v>
          </cell>
        </row>
        <row r="315">
          <cell r="A315" t="str">
            <v>B078WQMW23</v>
          </cell>
          <cell r="B315">
            <v>2</v>
          </cell>
          <cell r="C315">
            <v>3</v>
          </cell>
          <cell r="D315">
            <v>2</v>
          </cell>
          <cell r="E315">
            <v>3</v>
          </cell>
        </row>
        <row r="316">
          <cell r="A316" t="str">
            <v>B078WQN4YQ</v>
          </cell>
          <cell r="B316">
            <v>2</v>
          </cell>
          <cell r="C316">
            <v>3</v>
          </cell>
          <cell r="D316">
            <v>3</v>
          </cell>
          <cell r="E316">
            <v>2</v>
          </cell>
        </row>
        <row r="317">
          <cell r="A317" t="str">
            <v>B078WQV8SF</v>
          </cell>
          <cell r="B317">
            <v>2</v>
          </cell>
          <cell r="C317">
            <v>4</v>
          </cell>
          <cell r="D317">
            <v>2</v>
          </cell>
          <cell r="E317">
            <v>2</v>
          </cell>
        </row>
        <row r="318">
          <cell r="A318" t="str">
            <v>B078WQVSNV</v>
          </cell>
          <cell r="B318">
            <v>2</v>
          </cell>
          <cell r="C318">
            <v>4</v>
          </cell>
          <cell r="D318">
            <v>1</v>
          </cell>
          <cell r="E318">
            <v>1</v>
          </cell>
        </row>
        <row r="319">
          <cell r="A319" t="str">
            <v>B078WQY3NM</v>
          </cell>
          <cell r="B319">
            <v>2</v>
          </cell>
          <cell r="C319">
            <v>3</v>
          </cell>
          <cell r="D319">
            <v>1</v>
          </cell>
          <cell r="E319">
            <v>3</v>
          </cell>
        </row>
        <row r="320">
          <cell r="A320" t="str">
            <v>B078WR3XZL</v>
          </cell>
          <cell r="B320">
            <v>2</v>
          </cell>
          <cell r="C320">
            <v>2</v>
          </cell>
          <cell r="D320">
            <v>2</v>
          </cell>
          <cell r="E320">
            <v>4</v>
          </cell>
        </row>
        <row r="321">
          <cell r="A321" t="str">
            <v>B078WR6PY8</v>
          </cell>
          <cell r="B321">
            <v>0</v>
          </cell>
          <cell r="C321">
            <v>0</v>
          </cell>
          <cell r="D321">
            <v>0</v>
          </cell>
          <cell r="E321">
            <v>5</v>
          </cell>
        </row>
        <row r="322">
          <cell r="A322" t="str">
            <v>B078WRDL9P</v>
          </cell>
          <cell r="B322">
            <v>2</v>
          </cell>
          <cell r="C322">
            <v>1</v>
          </cell>
          <cell r="D322">
            <v>2</v>
          </cell>
          <cell r="E322">
            <v>1</v>
          </cell>
        </row>
        <row r="323">
          <cell r="A323" t="str">
            <v>B078WRLGFX</v>
          </cell>
          <cell r="B323">
            <v>2</v>
          </cell>
          <cell r="C323">
            <v>2</v>
          </cell>
          <cell r="D323">
            <v>2</v>
          </cell>
          <cell r="E323">
            <v>2</v>
          </cell>
        </row>
        <row r="324">
          <cell r="A324" t="str">
            <v>B078WRMSBV</v>
          </cell>
          <cell r="B324">
            <v>2</v>
          </cell>
          <cell r="C324">
            <v>1</v>
          </cell>
          <cell r="D324">
            <v>1</v>
          </cell>
          <cell r="E324">
            <v>1</v>
          </cell>
        </row>
        <row r="325">
          <cell r="A325" t="str">
            <v>B07B3TW6D2</v>
          </cell>
          <cell r="B325">
            <v>4</v>
          </cell>
          <cell r="C325">
            <v>2</v>
          </cell>
          <cell r="D325">
            <v>3</v>
          </cell>
          <cell r="E325">
            <v>4</v>
          </cell>
        </row>
        <row r="326">
          <cell r="A326" t="str">
            <v>B07B3TXJH7</v>
          </cell>
          <cell r="B326">
            <v>5</v>
          </cell>
          <cell r="C326">
            <v>4</v>
          </cell>
          <cell r="D326">
            <v>8</v>
          </cell>
          <cell r="E326">
            <v>10</v>
          </cell>
        </row>
        <row r="327">
          <cell r="A327" t="str">
            <v>B07B3V3BV5</v>
          </cell>
          <cell r="B327">
            <v>1</v>
          </cell>
          <cell r="C327">
            <v>1</v>
          </cell>
          <cell r="D327">
            <v>1</v>
          </cell>
          <cell r="E327">
            <v>3</v>
          </cell>
        </row>
        <row r="328">
          <cell r="A328" t="str">
            <v>B07B3V3G8H</v>
          </cell>
          <cell r="B328">
            <v>3</v>
          </cell>
          <cell r="C328">
            <v>0</v>
          </cell>
          <cell r="D328">
            <v>2</v>
          </cell>
          <cell r="E328">
            <v>2</v>
          </cell>
        </row>
        <row r="329">
          <cell r="A329" t="str">
            <v>B07BKNH45J</v>
          </cell>
          <cell r="B329">
            <v>0</v>
          </cell>
          <cell r="C329">
            <v>5</v>
          </cell>
          <cell r="D329">
            <v>2</v>
          </cell>
          <cell r="E329">
            <v>5</v>
          </cell>
        </row>
        <row r="330">
          <cell r="A330" t="str">
            <v>B07BKNWPWQ</v>
          </cell>
          <cell r="B330">
            <v>1</v>
          </cell>
          <cell r="C330">
            <v>0</v>
          </cell>
          <cell r="D330">
            <v>1</v>
          </cell>
          <cell r="E330">
            <v>8</v>
          </cell>
        </row>
        <row r="331">
          <cell r="A331" t="str">
            <v>B07BKPX8X2</v>
          </cell>
          <cell r="B331">
            <v>4</v>
          </cell>
          <cell r="C331">
            <v>6</v>
          </cell>
          <cell r="D331">
            <v>2</v>
          </cell>
          <cell r="E331">
            <v>4</v>
          </cell>
        </row>
        <row r="332">
          <cell r="A332" t="str">
            <v>B07BKQDRB2</v>
          </cell>
          <cell r="B332">
            <v>11</v>
          </cell>
          <cell r="C332">
            <v>9</v>
          </cell>
          <cell r="D332">
            <v>3</v>
          </cell>
          <cell r="E332">
            <v>4</v>
          </cell>
        </row>
        <row r="333">
          <cell r="A333" t="str">
            <v>B07BKQLKBG</v>
          </cell>
          <cell r="B333">
            <v>2</v>
          </cell>
          <cell r="C333">
            <v>2</v>
          </cell>
          <cell r="D333">
            <v>2</v>
          </cell>
          <cell r="E333">
            <v>2</v>
          </cell>
        </row>
        <row r="334">
          <cell r="A334" t="str">
            <v>B07BKQTYFV</v>
          </cell>
          <cell r="B334">
            <v>3</v>
          </cell>
          <cell r="C334">
            <v>6</v>
          </cell>
          <cell r="D334">
            <v>1</v>
          </cell>
          <cell r="E334">
            <v>2</v>
          </cell>
        </row>
        <row r="335">
          <cell r="A335" t="str">
            <v>B07BKR7DCF</v>
          </cell>
          <cell r="B335">
            <v>11</v>
          </cell>
          <cell r="C335">
            <v>10</v>
          </cell>
          <cell r="D335">
            <v>10</v>
          </cell>
          <cell r="E335">
            <v>7</v>
          </cell>
        </row>
        <row r="336">
          <cell r="A336" t="str">
            <v>B07BKR7DCG</v>
          </cell>
          <cell r="B336">
            <v>32</v>
          </cell>
          <cell r="C336">
            <v>44</v>
          </cell>
          <cell r="D336">
            <v>13</v>
          </cell>
          <cell r="E336">
            <v>13</v>
          </cell>
        </row>
        <row r="337">
          <cell r="A337" t="str">
            <v>B07BKR8D8Z</v>
          </cell>
          <cell r="B337">
            <v>14</v>
          </cell>
          <cell r="C337">
            <v>15</v>
          </cell>
          <cell r="D337">
            <v>8</v>
          </cell>
          <cell r="E337">
            <v>7</v>
          </cell>
        </row>
        <row r="338">
          <cell r="A338" t="str">
            <v>B07BKR9KYR</v>
          </cell>
          <cell r="B338">
            <v>0</v>
          </cell>
          <cell r="C338">
            <v>0</v>
          </cell>
          <cell r="D338">
            <v>10</v>
          </cell>
          <cell r="E338">
            <v>14</v>
          </cell>
        </row>
        <row r="339">
          <cell r="A339" t="str">
            <v>B07BKRLXJK</v>
          </cell>
          <cell r="B339">
            <v>5</v>
          </cell>
          <cell r="C339">
            <v>1</v>
          </cell>
          <cell r="D339">
            <v>1</v>
          </cell>
          <cell r="E339">
            <v>2</v>
          </cell>
        </row>
        <row r="340">
          <cell r="A340" t="str">
            <v>B07BKRPH4T</v>
          </cell>
          <cell r="B340">
            <v>3</v>
          </cell>
          <cell r="C340">
            <v>5</v>
          </cell>
          <cell r="D340">
            <v>1</v>
          </cell>
          <cell r="E340">
            <v>3</v>
          </cell>
        </row>
        <row r="341">
          <cell r="A341" t="str">
            <v>B07BKS4NK1</v>
          </cell>
          <cell r="B341">
            <v>7</v>
          </cell>
          <cell r="C341">
            <v>2</v>
          </cell>
          <cell r="D341">
            <v>4</v>
          </cell>
          <cell r="E341">
            <v>6</v>
          </cell>
        </row>
        <row r="342">
          <cell r="A342" t="str">
            <v>B07BKSWCR3</v>
          </cell>
          <cell r="B342">
            <v>12</v>
          </cell>
          <cell r="C342">
            <v>12</v>
          </cell>
          <cell r="D342">
            <v>2</v>
          </cell>
          <cell r="E342">
            <v>3</v>
          </cell>
        </row>
        <row r="343">
          <cell r="A343" t="str">
            <v>B07BKSX1D6</v>
          </cell>
          <cell r="B343">
            <v>5</v>
          </cell>
          <cell r="C343">
            <v>4</v>
          </cell>
          <cell r="D343">
            <v>5</v>
          </cell>
          <cell r="E343">
            <v>3</v>
          </cell>
        </row>
        <row r="344">
          <cell r="A344" t="str">
            <v>B07BKT1Y4D</v>
          </cell>
          <cell r="B344">
            <v>7</v>
          </cell>
          <cell r="C344">
            <v>7</v>
          </cell>
          <cell r="D344">
            <v>5</v>
          </cell>
          <cell r="E344">
            <v>3</v>
          </cell>
        </row>
        <row r="345">
          <cell r="A345" t="str">
            <v>B07BKTCPPS</v>
          </cell>
          <cell r="B345">
            <v>2</v>
          </cell>
          <cell r="C345">
            <v>8</v>
          </cell>
          <cell r="D345">
            <v>3</v>
          </cell>
          <cell r="E345">
            <v>4</v>
          </cell>
        </row>
        <row r="346">
          <cell r="A346" t="str">
            <v>B07BKTKK7K</v>
          </cell>
          <cell r="B346">
            <v>9</v>
          </cell>
          <cell r="C346">
            <v>4</v>
          </cell>
          <cell r="D346">
            <v>4</v>
          </cell>
          <cell r="E346">
            <v>5</v>
          </cell>
        </row>
        <row r="347">
          <cell r="A347" t="str">
            <v>B07BKTLC85</v>
          </cell>
          <cell r="B347">
            <v>4</v>
          </cell>
          <cell r="C347">
            <v>12</v>
          </cell>
          <cell r="D347">
            <v>1</v>
          </cell>
          <cell r="E347">
            <v>4</v>
          </cell>
        </row>
        <row r="348">
          <cell r="A348" t="str">
            <v>B07BKTSQ1R</v>
          </cell>
          <cell r="B348">
            <v>5</v>
          </cell>
          <cell r="C348">
            <v>8</v>
          </cell>
          <cell r="D348">
            <v>6</v>
          </cell>
          <cell r="E348">
            <v>2</v>
          </cell>
        </row>
        <row r="349">
          <cell r="A349" t="str">
            <v>B07BKVPJ6Q</v>
          </cell>
          <cell r="B349">
            <v>4</v>
          </cell>
          <cell r="C349">
            <v>9</v>
          </cell>
          <cell r="D349">
            <v>1</v>
          </cell>
          <cell r="E349">
            <v>2</v>
          </cell>
        </row>
        <row r="350">
          <cell r="A350" t="str">
            <v>B07BKWBM9B</v>
          </cell>
          <cell r="B350">
            <v>5</v>
          </cell>
          <cell r="C350">
            <v>4</v>
          </cell>
          <cell r="D350">
            <v>1</v>
          </cell>
          <cell r="E350">
            <v>3</v>
          </cell>
        </row>
        <row r="351">
          <cell r="A351" t="str">
            <v>B07BKWNVLL</v>
          </cell>
          <cell r="B351">
            <v>0</v>
          </cell>
          <cell r="C351">
            <v>0</v>
          </cell>
          <cell r="D351">
            <v>0</v>
          </cell>
          <cell r="E351">
            <v>6</v>
          </cell>
        </row>
        <row r="352">
          <cell r="A352" t="str">
            <v>B07DC3CQDX</v>
          </cell>
          <cell r="B352">
            <v>6</v>
          </cell>
          <cell r="C352">
            <v>6</v>
          </cell>
          <cell r="D352">
            <v>7</v>
          </cell>
          <cell r="E352">
            <v>11</v>
          </cell>
        </row>
        <row r="353">
          <cell r="A353" t="str">
            <v>B07DG2NGBY</v>
          </cell>
          <cell r="B353">
            <v>0</v>
          </cell>
          <cell r="C353">
            <v>0</v>
          </cell>
          <cell r="D353">
            <v>238</v>
          </cell>
          <cell r="E353">
            <v>275</v>
          </cell>
        </row>
        <row r="354">
          <cell r="A354" t="str">
            <v>B074CS9H1P</v>
          </cell>
          <cell r="B354">
            <v>0</v>
          </cell>
          <cell r="C354">
            <v>0</v>
          </cell>
          <cell r="D354">
            <v>2</v>
          </cell>
          <cell r="E354">
            <v>0</v>
          </cell>
        </row>
        <row r="355">
          <cell r="A355" t="str">
            <v>B074CX6ML1</v>
          </cell>
          <cell r="B355">
            <v>4</v>
          </cell>
          <cell r="C355">
            <v>1</v>
          </cell>
          <cell r="D355">
            <v>1</v>
          </cell>
          <cell r="E355">
            <v>0</v>
          </cell>
        </row>
        <row r="356">
          <cell r="A356" t="str">
            <v>B074DW1685</v>
          </cell>
          <cell r="B356">
            <v>0</v>
          </cell>
          <cell r="C356">
            <v>0</v>
          </cell>
          <cell r="D356">
            <v>1</v>
          </cell>
          <cell r="E356">
            <v>0</v>
          </cell>
        </row>
        <row r="357">
          <cell r="A357" t="str">
            <v>B074DWD9YY</v>
          </cell>
          <cell r="B357">
            <v>4</v>
          </cell>
          <cell r="C357">
            <v>1</v>
          </cell>
          <cell r="D357">
            <v>1</v>
          </cell>
          <cell r="E357">
            <v>0</v>
          </cell>
        </row>
        <row r="358">
          <cell r="A358" t="str">
            <v>B074DWFHTM</v>
          </cell>
          <cell r="B358">
            <v>0</v>
          </cell>
          <cell r="C358">
            <v>1</v>
          </cell>
          <cell r="D358">
            <v>2</v>
          </cell>
          <cell r="E358">
            <v>0</v>
          </cell>
        </row>
        <row r="359">
          <cell r="A359" t="str">
            <v>B074FSHJB3</v>
          </cell>
          <cell r="B359">
            <v>5</v>
          </cell>
          <cell r="C359">
            <v>0</v>
          </cell>
          <cell r="D359">
            <v>1</v>
          </cell>
          <cell r="E359">
            <v>0</v>
          </cell>
        </row>
        <row r="360">
          <cell r="A360" t="str">
            <v>B074FSYM6B</v>
          </cell>
          <cell r="B360">
            <v>3</v>
          </cell>
          <cell r="C360">
            <v>2</v>
          </cell>
          <cell r="D360">
            <v>1</v>
          </cell>
          <cell r="E360">
            <v>0</v>
          </cell>
        </row>
        <row r="361">
          <cell r="A361" t="str">
            <v>B074FW8FGF</v>
          </cell>
          <cell r="B361">
            <v>4</v>
          </cell>
          <cell r="C361">
            <v>0</v>
          </cell>
          <cell r="D361">
            <v>1</v>
          </cell>
          <cell r="E361">
            <v>0</v>
          </cell>
        </row>
        <row r="362">
          <cell r="A362" t="str">
            <v>B074FWGTNB</v>
          </cell>
          <cell r="B362">
            <v>4</v>
          </cell>
          <cell r="C362">
            <v>1</v>
          </cell>
          <cell r="D362">
            <v>3</v>
          </cell>
          <cell r="E362">
            <v>0</v>
          </cell>
        </row>
        <row r="363">
          <cell r="A363" t="str">
            <v>B074FWYPHZ</v>
          </cell>
          <cell r="B363">
            <v>4</v>
          </cell>
          <cell r="C363">
            <v>1</v>
          </cell>
          <cell r="D363">
            <v>2</v>
          </cell>
          <cell r="E363">
            <v>0</v>
          </cell>
        </row>
        <row r="364">
          <cell r="A364" t="str">
            <v>B074FX1CXN</v>
          </cell>
          <cell r="B364">
            <v>2</v>
          </cell>
          <cell r="C364">
            <v>3</v>
          </cell>
          <cell r="D364">
            <v>2</v>
          </cell>
          <cell r="E364">
            <v>0</v>
          </cell>
        </row>
        <row r="365">
          <cell r="A365" t="str">
            <v>B074FX94G1</v>
          </cell>
          <cell r="B365">
            <v>2</v>
          </cell>
          <cell r="C365">
            <v>3</v>
          </cell>
          <cell r="D365">
            <v>4</v>
          </cell>
          <cell r="E365">
            <v>0</v>
          </cell>
        </row>
        <row r="366">
          <cell r="A366" t="str">
            <v>B074FYGSKY</v>
          </cell>
          <cell r="B366">
            <v>2</v>
          </cell>
          <cell r="C366">
            <v>0</v>
          </cell>
          <cell r="D366">
            <v>1</v>
          </cell>
          <cell r="E366">
            <v>0</v>
          </cell>
        </row>
        <row r="367">
          <cell r="A367" t="str">
            <v>B074FZKWPJ</v>
          </cell>
          <cell r="B367">
            <v>0</v>
          </cell>
          <cell r="C367">
            <v>1</v>
          </cell>
          <cell r="D367">
            <v>3</v>
          </cell>
          <cell r="E367">
            <v>0</v>
          </cell>
        </row>
        <row r="368">
          <cell r="A368" t="str">
            <v>B074JTR9T4</v>
          </cell>
          <cell r="B368">
            <v>2</v>
          </cell>
          <cell r="C368">
            <v>2</v>
          </cell>
          <cell r="D368">
            <v>3</v>
          </cell>
          <cell r="E368">
            <v>0</v>
          </cell>
        </row>
        <row r="369">
          <cell r="A369" t="str">
            <v>B074JVF4LK</v>
          </cell>
          <cell r="B369">
            <v>1</v>
          </cell>
          <cell r="C369">
            <v>0</v>
          </cell>
          <cell r="D369">
            <v>2</v>
          </cell>
          <cell r="E369">
            <v>0</v>
          </cell>
        </row>
        <row r="370">
          <cell r="A370" t="str">
            <v>B074JXQX4Z</v>
          </cell>
          <cell r="B370">
            <v>2</v>
          </cell>
          <cell r="C370">
            <v>1</v>
          </cell>
          <cell r="D370">
            <v>1</v>
          </cell>
          <cell r="E370">
            <v>0</v>
          </cell>
        </row>
        <row r="371">
          <cell r="A371" t="str">
            <v>B074JXZSJM</v>
          </cell>
          <cell r="B371">
            <v>1</v>
          </cell>
          <cell r="C371">
            <v>2</v>
          </cell>
          <cell r="D371">
            <v>3</v>
          </cell>
          <cell r="E371">
            <v>0</v>
          </cell>
        </row>
        <row r="372">
          <cell r="A372" t="str">
            <v>B074JXZYR5</v>
          </cell>
          <cell r="B372">
            <v>2</v>
          </cell>
          <cell r="C372">
            <v>2</v>
          </cell>
          <cell r="D372">
            <v>4</v>
          </cell>
          <cell r="E372">
            <v>0</v>
          </cell>
        </row>
        <row r="373">
          <cell r="A373" t="str">
            <v>B074JY1RXB</v>
          </cell>
          <cell r="B373">
            <v>5</v>
          </cell>
          <cell r="C373">
            <v>2</v>
          </cell>
          <cell r="D373">
            <v>1</v>
          </cell>
          <cell r="E373">
            <v>0</v>
          </cell>
        </row>
        <row r="374">
          <cell r="A374" t="str">
            <v>B074K1913X</v>
          </cell>
          <cell r="B374">
            <v>1</v>
          </cell>
          <cell r="C374">
            <v>4</v>
          </cell>
          <cell r="D374">
            <v>2</v>
          </cell>
          <cell r="E374">
            <v>0</v>
          </cell>
        </row>
        <row r="375">
          <cell r="A375" t="str">
            <v>B074K2QJ5H</v>
          </cell>
          <cell r="B375">
            <v>34</v>
          </cell>
          <cell r="C375">
            <v>20</v>
          </cell>
          <cell r="D375">
            <v>2</v>
          </cell>
          <cell r="E375">
            <v>0</v>
          </cell>
        </row>
        <row r="376">
          <cell r="A376" t="str">
            <v>B074K2VQNZ</v>
          </cell>
          <cell r="B376">
            <v>2</v>
          </cell>
          <cell r="C376">
            <v>7</v>
          </cell>
          <cell r="D376">
            <v>1</v>
          </cell>
          <cell r="E376">
            <v>0</v>
          </cell>
        </row>
        <row r="377">
          <cell r="A377" t="str">
            <v>B074K3MSFD</v>
          </cell>
          <cell r="B377">
            <v>4</v>
          </cell>
          <cell r="C377">
            <v>2</v>
          </cell>
          <cell r="D377">
            <v>2</v>
          </cell>
          <cell r="E377">
            <v>0</v>
          </cell>
        </row>
        <row r="378">
          <cell r="A378" t="str">
            <v>B078WR4F43</v>
          </cell>
          <cell r="B378">
            <v>4</v>
          </cell>
          <cell r="C378">
            <v>0</v>
          </cell>
          <cell r="D378">
            <v>2</v>
          </cell>
          <cell r="E378">
            <v>0</v>
          </cell>
        </row>
        <row r="379">
          <cell r="A379" t="str">
            <v>B07BKTFWMH</v>
          </cell>
          <cell r="B379">
            <v>0</v>
          </cell>
          <cell r="C379">
            <v>0</v>
          </cell>
          <cell r="D379">
            <v>2</v>
          </cell>
          <cell r="E379">
            <v>0</v>
          </cell>
        </row>
        <row r="380">
          <cell r="A380" t="str">
            <v>B07FMXMNLG</v>
          </cell>
          <cell r="B380">
            <v>8</v>
          </cell>
          <cell r="C380">
            <v>1</v>
          </cell>
          <cell r="D380">
            <v>3</v>
          </cell>
          <cell r="E380">
            <v>0</v>
          </cell>
        </row>
        <row r="381">
          <cell r="A381" t="str">
            <v>B07FP9DVQN</v>
          </cell>
          <cell r="B381">
            <v>82</v>
          </cell>
          <cell r="C381">
            <v>78</v>
          </cell>
          <cell r="D381">
            <v>26</v>
          </cell>
          <cell r="E381">
            <v>0</v>
          </cell>
        </row>
        <row r="382">
          <cell r="A382" t="str">
            <v>B073F29B28</v>
          </cell>
          <cell r="B382">
            <v>0</v>
          </cell>
          <cell r="C382">
            <v>1</v>
          </cell>
          <cell r="D382">
            <v>0</v>
          </cell>
          <cell r="E382">
            <v>0</v>
          </cell>
        </row>
        <row r="383">
          <cell r="A383" t="str">
            <v>B073F3JBY6</v>
          </cell>
          <cell r="B383">
            <v>0</v>
          </cell>
          <cell r="C383">
            <v>2</v>
          </cell>
          <cell r="D383">
            <v>0</v>
          </cell>
          <cell r="E383">
            <v>0</v>
          </cell>
        </row>
        <row r="384">
          <cell r="A384" t="str">
            <v>B074DWC6PK</v>
          </cell>
          <cell r="B384">
            <v>0</v>
          </cell>
          <cell r="C384">
            <v>1</v>
          </cell>
          <cell r="D384">
            <v>0</v>
          </cell>
          <cell r="E384">
            <v>0</v>
          </cell>
        </row>
        <row r="385">
          <cell r="A385" t="str">
            <v>B074FTBSZV</v>
          </cell>
          <cell r="B385">
            <v>1</v>
          </cell>
          <cell r="C385">
            <v>1</v>
          </cell>
          <cell r="D385">
            <v>0</v>
          </cell>
          <cell r="E385">
            <v>0</v>
          </cell>
        </row>
        <row r="386">
          <cell r="A386" t="str">
            <v>B074FX6ZGT</v>
          </cell>
          <cell r="B386">
            <v>1</v>
          </cell>
          <cell r="C386">
            <v>3</v>
          </cell>
          <cell r="D386">
            <v>0</v>
          </cell>
          <cell r="E386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53</v>
          </cell>
          <cell r="D2">
            <v>41</v>
          </cell>
          <cell r="E2">
            <v>41</v>
          </cell>
          <cell r="F2">
            <v>34</v>
          </cell>
        </row>
        <row r="3">
          <cell r="A3" t="str">
            <v>NY-XUHM331-B0-L</v>
          </cell>
          <cell r="B3" t="str">
            <v>NY-XUHM331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9.99</v>
          </cell>
        </row>
        <row r="4">
          <cell r="A4" t="str">
            <v>N2716YR036</v>
          </cell>
          <cell r="B4" t="str">
            <v>N2716Y</v>
          </cell>
          <cell r="C4">
            <v>0</v>
          </cell>
          <cell r="D4">
            <v>0</v>
          </cell>
          <cell r="E4">
            <v>1</v>
          </cell>
          <cell r="F4">
            <v>1</v>
          </cell>
          <cell r="G4">
            <v>9.99</v>
          </cell>
        </row>
        <row r="5">
          <cell r="A5" t="str">
            <v>N2716YYGL38</v>
          </cell>
          <cell r="B5" t="str">
            <v>N2716Y</v>
          </cell>
          <cell r="C5">
            <v>1</v>
          </cell>
          <cell r="D5">
            <v>0</v>
          </cell>
          <cell r="E5">
            <v>2</v>
          </cell>
          <cell r="F5">
            <v>3</v>
          </cell>
          <cell r="G5">
            <v>7.46</v>
          </cell>
        </row>
        <row r="6">
          <cell r="A6" t="str">
            <v>N87318KXGHXL</v>
          </cell>
          <cell r="B6" t="str">
            <v>N87318K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4.99</v>
          </cell>
        </row>
        <row r="7">
          <cell r="A7" t="str">
            <v>N2716YHL34</v>
          </cell>
          <cell r="B7" t="str">
            <v>N263Y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7.99</v>
          </cell>
        </row>
        <row r="8">
          <cell r="A8" t="str">
            <v>N31459YMH48</v>
          </cell>
          <cell r="B8" t="str">
            <v>N31459Y</v>
          </cell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13.9</v>
          </cell>
        </row>
        <row r="9">
          <cell r="A9" t="str">
            <v>N2716YHL36</v>
          </cell>
          <cell r="B9" t="str">
            <v>N263Y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7.89</v>
          </cell>
        </row>
        <row r="10">
          <cell r="A10" t="str">
            <v>N2716YMH36</v>
          </cell>
          <cell r="B10" t="str">
            <v>N2716Y</v>
          </cell>
          <cell r="C10">
            <v>0</v>
          </cell>
          <cell r="D10">
            <v>0</v>
          </cell>
          <cell r="E10">
            <v>1</v>
          </cell>
          <cell r="F10">
            <v>1</v>
          </cell>
          <cell r="G10">
            <v>5.41</v>
          </cell>
        </row>
        <row r="11">
          <cell r="A11" t="str">
            <v>KTKXKR0</v>
          </cell>
          <cell r="B11" t="str">
            <v>KTKXXK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22.9</v>
          </cell>
        </row>
        <row r="12">
          <cell r="A12" t="str">
            <v>N89122KK04XL</v>
          </cell>
          <cell r="B12" t="str">
            <v>N89122K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4.66</v>
          </cell>
        </row>
        <row r="13">
          <cell r="A13" t="str">
            <v>KTKW0TW0XL</v>
          </cell>
          <cell r="B13" t="str">
            <v>KTKSTY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18.99</v>
          </cell>
        </row>
        <row r="14">
          <cell r="A14" t="str">
            <v>N2716YR038</v>
          </cell>
          <cell r="B14" t="str">
            <v>N2716Y</v>
          </cell>
          <cell r="C14">
            <v>0</v>
          </cell>
          <cell r="D14">
            <v>2</v>
          </cell>
          <cell r="E14">
            <v>1</v>
          </cell>
          <cell r="F14">
            <v>3</v>
          </cell>
          <cell r="G14">
            <v>9.99</v>
          </cell>
        </row>
        <row r="15">
          <cell r="A15" t="str">
            <v>N2716YMH34</v>
          </cell>
          <cell r="B15" t="str">
            <v>N2716Y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7.99</v>
          </cell>
        </row>
        <row r="16">
          <cell r="A16" t="str">
            <v>NY-XUHM463-P0-XL</v>
          </cell>
          <cell r="B16" t="str">
            <v>NY-XUHM463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15.99</v>
          </cell>
        </row>
        <row r="17">
          <cell r="A17" t="str">
            <v>N3818-2YW048</v>
          </cell>
          <cell r="B17" t="str">
            <v>N3818-2Y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9.48</v>
          </cell>
        </row>
        <row r="18">
          <cell r="A18" t="str">
            <v>KTKXKY0</v>
          </cell>
          <cell r="B18" t="str">
            <v>KTKXXK</v>
          </cell>
          <cell r="C18">
            <v>0</v>
          </cell>
          <cell r="D18">
            <v>0</v>
          </cell>
          <cell r="E18">
            <v>3</v>
          </cell>
          <cell r="F18">
            <v>1</v>
          </cell>
          <cell r="G18">
            <v>17.2425</v>
          </cell>
        </row>
        <row r="19">
          <cell r="A19" t="str">
            <v>N039YG040</v>
          </cell>
          <cell r="B19" t="str">
            <v>N039Y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8.7</v>
          </cell>
        </row>
        <row r="20">
          <cell r="A20" t="str">
            <v>N039YTHS40</v>
          </cell>
          <cell r="B20" t="str">
            <v>N039Y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7.99</v>
          </cell>
        </row>
        <row r="21">
          <cell r="A21" t="str">
            <v>N039YR040</v>
          </cell>
          <cell r="B21" t="str">
            <v>N039Y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9.99</v>
          </cell>
        </row>
        <row r="22">
          <cell r="A22" t="str">
            <v>N039YB040</v>
          </cell>
          <cell r="B22" t="str">
            <v>N029Y</v>
          </cell>
          <cell r="C22">
            <v>0</v>
          </cell>
          <cell r="D22">
            <v>0</v>
          </cell>
          <cell r="E22">
            <v>1</v>
          </cell>
          <cell r="F22">
            <v>2</v>
          </cell>
          <cell r="G22">
            <v>8.02</v>
          </cell>
        </row>
        <row r="23">
          <cell r="A23" t="str">
            <v>N039YP040</v>
          </cell>
          <cell r="B23" t="str">
            <v>N039Y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7.97</v>
          </cell>
        </row>
        <row r="24">
          <cell r="A24" t="str">
            <v>N531YXS40</v>
          </cell>
          <cell r="B24" t="str">
            <v>N531Y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9.42</v>
          </cell>
        </row>
        <row r="25">
          <cell r="A25" t="str">
            <v>N039YR038</v>
          </cell>
          <cell r="B25" t="str">
            <v>N039Y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9.99</v>
          </cell>
        </row>
        <row r="26">
          <cell r="A26" t="str">
            <v>N31459YP038</v>
          </cell>
          <cell r="B26" t="str">
            <v>N31459Y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13.9</v>
          </cell>
        </row>
        <row r="27">
          <cell r="A27" t="str">
            <v>JBL-QFFMMHXL</v>
          </cell>
          <cell r="B27" t="str">
            <v>JBL-QFFM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20.9</v>
          </cell>
        </row>
        <row r="28">
          <cell r="A28" t="str">
            <v>N2716YYGL36</v>
          </cell>
          <cell r="B28" t="str">
            <v>N2716Y</v>
          </cell>
          <cell r="C28">
            <v>2</v>
          </cell>
          <cell r="D28">
            <v>2</v>
          </cell>
          <cell r="E28">
            <v>3</v>
          </cell>
          <cell r="F28">
            <v>1</v>
          </cell>
          <cell r="G28">
            <v>8.53</v>
          </cell>
        </row>
        <row r="29">
          <cell r="A29" t="str">
            <v>N029YHL40</v>
          </cell>
          <cell r="B29" t="str">
            <v>N029Y</v>
          </cell>
          <cell r="C29">
            <v>1</v>
          </cell>
          <cell r="D29">
            <v>0</v>
          </cell>
          <cell r="E29">
            <v>1</v>
          </cell>
          <cell r="F29">
            <v>1</v>
          </cell>
          <cell r="G29">
            <v>7.99</v>
          </cell>
        </row>
        <row r="30">
          <cell r="A30" t="str">
            <v>TTYCMZFCX2</v>
          </cell>
          <cell r="B30" t="str">
            <v>TTYCMZFCS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20.99</v>
          </cell>
        </row>
        <row r="31">
          <cell r="A31" t="str">
            <v>NY-XUHM005-GA-S</v>
          </cell>
          <cell r="B31" t="str">
            <v>NY-B15021</v>
          </cell>
          <cell r="C31">
            <v>0</v>
          </cell>
          <cell r="D31">
            <v>0</v>
          </cell>
          <cell r="E31">
            <v>1</v>
          </cell>
          <cell r="F31">
            <v>0</v>
          </cell>
          <cell r="G31">
            <v>16.99</v>
          </cell>
        </row>
        <row r="32">
          <cell r="A32" t="str">
            <v>N2716YR034</v>
          </cell>
          <cell r="B32" t="str">
            <v>N2716Y</v>
          </cell>
          <cell r="C32">
            <v>0</v>
          </cell>
          <cell r="D32">
            <v>0</v>
          </cell>
          <cell r="E32">
            <v>1</v>
          </cell>
          <cell r="F32">
            <v>0</v>
          </cell>
          <cell r="G32">
            <v>9.99</v>
          </cell>
        </row>
        <row r="33">
          <cell r="A33" t="str">
            <v>N1709YR048</v>
          </cell>
          <cell r="B33" t="str">
            <v>N1709Y</v>
          </cell>
          <cell r="C33">
            <v>0</v>
          </cell>
          <cell r="D33">
            <v>0</v>
          </cell>
          <cell r="E33">
            <v>1</v>
          </cell>
          <cell r="F33">
            <v>0</v>
          </cell>
          <cell r="G33">
            <v>11.9</v>
          </cell>
        </row>
        <row r="34">
          <cell r="A34" t="str">
            <v>NY-XUHM002-PI-L</v>
          </cell>
          <cell r="B34" t="str">
            <v>NY-B15021</v>
          </cell>
          <cell r="C34">
            <v>0</v>
          </cell>
          <cell r="D34">
            <v>3</v>
          </cell>
          <cell r="E34">
            <v>1</v>
          </cell>
          <cell r="F34">
            <v>0</v>
          </cell>
          <cell r="G34">
            <v>16.24</v>
          </cell>
        </row>
        <row r="35">
          <cell r="A35" t="str">
            <v>NY-XUHM002-K0-L</v>
          </cell>
          <cell r="B35" t="str">
            <v>NY-B15021</v>
          </cell>
          <cell r="C35">
            <v>1</v>
          </cell>
          <cell r="D35">
            <v>0</v>
          </cell>
          <cell r="E35">
            <v>2</v>
          </cell>
          <cell r="F35">
            <v>0</v>
          </cell>
          <cell r="G35">
            <v>16.6566666666667</v>
          </cell>
        </row>
        <row r="36">
          <cell r="A36" t="str">
            <v>N9383YP040</v>
          </cell>
          <cell r="B36" t="str">
            <v>N9383Y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13.9</v>
          </cell>
        </row>
        <row r="37">
          <cell r="A37" t="str">
            <v>NY-XUHM002-K0-S</v>
          </cell>
          <cell r="B37" t="str">
            <v>NY-B15021</v>
          </cell>
          <cell r="C37">
            <v>0</v>
          </cell>
          <cell r="D37">
            <v>2</v>
          </cell>
          <cell r="E37">
            <v>1</v>
          </cell>
          <cell r="F37">
            <v>0</v>
          </cell>
          <cell r="G37">
            <v>16.3233333333333</v>
          </cell>
        </row>
        <row r="38">
          <cell r="A38" t="str">
            <v>NY-XUHM002-K0-M</v>
          </cell>
          <cell r="B38" t="str">
            <v>NY-B15021</v>
          </cell>
          <cell r="C38">
            <v>3</v>
          </cell>
          <cell r="D38">
            <v>2</v>
          </cell>
          <cell r="E38">
            <v>3</v>
          </cell>
          <cell r="F38">
            <v>0</v>
          </cell>
          <cell r="G38">
            <v>16.365</v>
          </cell>
        </row>
        <row r="39">
          <cell r="A39" t="str">
            <v>NY-B15021-PI-M</v>
          </cell>
          <cell r="B39" t="str">
            <v>NY-B15021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15.19</v>
          </cell>
        </row>
        <row r="40">
          <cell r="A40" t="str">
            <v>NY-B15016-K0-L</v>
          </cell>
          <cell r="B40" t="str">
            <v>NWZE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18.99</v>
          </cell>
        </row>
        <row r="41">
          <cell r="A41" t="str">
            <v>NY-B15021-K0-L</v>
          </cell>
          <cell r="B41" t="str">
            <v>NY-B15021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18.99</v>
          </cell>
        </row>
        <row r="42">
          <cell r="A42" t="str">
            <v>NY-XUHM005-K0-L</v>
          </cell>
          <cell r="B42" t="str">
            <v>NY-B15021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16.99</v>
          </cell>
        </row>
        <row r="43">
          <cell r="A43" t="str">
            <v>NY-B15016-Y0-S</v>
          </cell>
          <cell r="B43" t="str">
            <v>NY-B15016</v>
          </cell>
          <cell r="C43">
            <v>1</v>
          </cell>
          <cell r="D43">
            <v>0</v>
          </cell>
          <cell r="E43">
            <v>1</v>
          </cell>
          <cell r="F43">
            <v>0</v>
          </cell>
          <cell r="G43">
            <v>17.49</v>
          </cell>
        </row>
        <row r="44">
          <cell r="A44" t="str">
            <v>NY-XUHM002-PI-M</v>
          </cell>
          <cell r="B44" t="str">
            <v>NY-B15021</v>
          </cell>
          <cell r="C44">
            <v>1</v>
          </cell>
          <cell r="D44">
            <v>0</v>
          </cell>
          <cell r="E44">
            <v>1</v>
          </cell>
          <cell r="F44">
            <v>0</v>
          </cell>
          <cell r="G44">
            <v>16.49</v>
          </cell>
        </row>
        <row r="45">
          <cell r="A45" t="str">
            <v>N029YE038</v>
          </cell>
          <cell r="B45" t="str">
            <v>MZCXK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7.99</v>
          </cell>
        </row>
        <row r="46">
          <cell r="A46" t="str">
            <v>N039YXGH38</v>
          </cell>
          <cell r="B46" t="str">
            <v>N039Y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8.71</v>
          </cell>
        </row>
        <row r="47">
          <cell r="A47" t="str">
            <v>N9383YG038</v>
          </cell>
          <cell r="B47" t="str">
            <v>N9383Y</v>
          </cell>
          <cell r="C47">
            <v>1</v>
          </cell>
          <cell r="D47">
            <v>0</v>
          </cell>
          <cell r="E47">
            <v>1</v>
          </cell>
          <cell r="F47">
            <v>0</v>
          </cell>
          <cell r="G47">
            <v>13.9</v>
          </cell>
        </row>
        <row r="48">
          <cell r="A48" t="str">
            <v>N2257YR538</v>
          </cell>
          <cell r="B48" t="str">
            <v>N2257Y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17.9</v>
          </cell>
        </row>
        <row r="49">
          <cell r="A49" t="str">
            <v>N029YMH40</v>
          </cell>
          <cell r="B49" t="str">
            <v>N029Y</v>
          </cell>
          <cell r="C49">
            <v>1</v>
          </cell>
          <cell r="D49">
            <v>0</v>
          </cell>
          <cell r="E49">
            <v>1</v>
          </cell>
          <cell r="F49">
            <v>0</v>
          </cell>
          <cell r="G49">
            <v>7.99</v>
          </cell>
        </row>
        <row r="50">
          <cell r="A50" t="str">
            <v>GJHNYK0</v>
          </cell>
          <cell r="B50" t="str">
            <v>GJHNY</v>
          </cell>
          <cell r="C50">
            <v>4</v>
          </cell>
          <cell r="D50">
            <v>4</v>
          </cell>
          <cell r="E50">
            <v>2</v>
          </cell>
          <cell r="F50">
            <v>0</v>
          </cell>
          <cell r="G50">
            <v>8.394</v>
          </cell>
        </row>
        <row r="51">
          <cell r="A51" t="str">
            <v>NY-B15021-B0-S</v>
          </cell>
          <cell r="B51" t="str">
            <v>NY-B15016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 t="e">
            <v>#DIV/0!</v>
          </cell>
        </row>
        <row r="52">
          <cell r="A52" t="str">
            <v>N039YTHS36</v>
          </cell>
          <cell r="B52" t="str">
            <v>N039Y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7.8</v>
          </cell>
        </row>
        <row r="53">
          <cell r="A53" t="str">
            <v>NY-B15016-W0-L</v>
          </cell>
          <cell r="B53" t="str">
            <v>NY-B15016</v>
          </cell>
          <cell r="C53">
            <v>4</v>
          </cell>
          <cell r="D53">
            <v>1</v>
          </cell>
          <cell r="E53">
            <v>1</v>
          </cell>
          <cell r="F53">
            <v>0</v>
          </cell>
          <cell r="G53">
            <v>15.99</v>
          </cell>
        </row>
        <row r="54">
          <cell r="A54" t="str">
            <v>NY-XUHM002-PI-S</v>
          </cell>
          <cell r="B54" t="str">
            <v>NY-B15021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15.99</v>
          </cell>
        </row>
        <row r="55">
          <cell r="A55" t="str">
            <v>NY-B15021-PI-XL</v>
          </cell>
          <cell r="B55" t="str">
            <v>NY-B15021</v>
          </cell>
          <cell r="C55">
            <v>4</v>
          </cell>
          <cell r="D55">
            <v>1</v>
          </cell>
          <cell r="E55">
            <v>0</v>
          </cell>
          <cell r="F55">
            <v>0</v>
          </cell>
          <cell r="G55">
            <v>15.99</v>
          </cell>
        </row>
        <row r="56">
          <cell r="A56" t="str">
            <v>XTLAXSC</v>
          </cell>
          <cell r="B56" t="str">
            <v>XTLA</v>
          </cell>
          <cell r="C56">
            <v>0</v>
          </cell>
          <cell r="D56">
            <v>1</v>
          </cell>
          <cell r="E56">
            <v>0</v>
          </cell>
          <cell r="F56">
            <v>0</v>
          </cell>
          <cell r="G56">
            <v>8.99</v>
          </cell>
        </row>
        <row r="57">
          <cell r="A57" t="str">
            <v>NY-XUHM463-K0-L</v>
          </cell>
          <cell r="B57" t="str">
            <v>NY-XUHM463</v>
          </cell>
          <cell r="C57">
            <v>0</v>
          </cell>
          <cell r="D57">
            <v>1</v>
          </cell>
          <cell r="E57">
            <v>0</v>
          </cell>
          <cell r="F57">
            <v>0</v>
          </cell>
          <cell r="G57">
            <v>15.99</v>
          </cell>
        </row>
        <row r="58">
          <cell r="A58" t="str">
            <v>N531YB040</v>
          </cell>
          <cell r="B58" t="str">
            <v>N531Y</v>
          </cell>
          <cell r="C58">
            <v>0</v>
          </cell>
          <cell r="D58">
            <v>1</v>
          </cell>
          <cell r="E58">
            <v>0</v>
          </cell>
          <cell r="F58">
            <v>0</v>
          </cell>
          <cell r="G58">
            <v>11.6</v>
          </cell>
        </row>
        <row r="59">
          <cell r="A59" t="str">
            <v>N531YR038</v>
          </cell>
          <cell r="B59" t="str">
            <v>N531Y</v>
          </cell>
          <cell r="C59">
            <v>0</v>
          </cell>
          <cell r="D59">
            <v>1</v>
          </cell>
          <cell r="E59">
            <v>0</v>
          </cell>
          <cell r="F59">
            <v>0</v>
          </cell>
          <cell r="G59">
            <v>12.99</v>
          </cell>
        </row>
        <row r="60">
          <cell r="A60" t="str">
            <v>N039YB036</v>
          </cell>
          <cell r="B60" t="str">
            <v>N029Y</v>
          </cell>
          <cell r="C60">
            <v>0</v>
          </cell>
          <cell r="D60">
            <v>1</v>
          </cell>
          <cell r="E60">
            <v>0</v>
          </cell>
          <cell r="F60">
            <v>0</v>
          </cell>
          <cell r="G60">
            <v>9.99</v>
          </cell>
        </row>
        <row r="61">
          <cell r="A61" t="str">
            <v>N029YE036</v>
          </cell>
          <cell r="B61" t="str">
            <v>MZCXK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7.99</v>
          </cell>
        </row>
        <row r="62">
          <cell r="A62" t="str">
            <v>NY-XUHM005-GA-L</v>
          </cell>
          <cell r="B62" t="str">
            <v>NY-B15021</v>
          </cell>
          <cell r="C62">
            <v>2</v>
          </cell>
          <cell r="D62">
            <v>1</v>
          </cell>
          <cell r="E62">
            <v>0</v>
          </cell>
          <cell r="F62">
            <v>0</v>
          </cell>
          <cell r="G62">
            <v>15.99</v>
          </cell>
        </row>
        <row r="63">
          <cell r="A63" t="str">
            <v>XTHQK0C</v>
          </cell>
          <cell r="B63" t="str">
            <v>XTHQ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10</v>
          </cell>
        </row>
        <row r="64">
          <cell r="A64" t="str">
            <v>NY-B15016-W0-M</v>
          </cell>
          <cell r="B64" t="str">
            <v>NY-B15016</v>
          </cell>
          <cell r="C64">
            <v>1</v>
          </cell>
          <cell r="D64">
            <v>1</v>
          </cell>
          <cell r="E64">
            <v>0</v>
          </cell>
          <cell r="F64">
            <v>0</v>
          </cell>
          <cell r="G64">
            <v>15.99</v>
          </cell>
        </row>
        <row r="65">
          <cell r="A65" t="str">
            <v>NY-B15016-K0-M</v>
          </cell>
          <cell r="B65" t="str">
            <v>NWZE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15.99</v>
          </cell>
        </row>
        <row r="66">
          <cell r="A66" t="str">
            <v>N31459YMH38</v>
          </cell>
          <cell r="B66" t="str">
            <v>N31459Y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13.9</v>
          </cell>
        </row>
        <row r="67">
          <cell r="A67" t="str">
            <v>N888YXS42</v>
          </cell>
          <cell r="B67" t="str">
            <v>N888Y</v>
          </cell>
          <cell r="C67">
            <v>1</v>
          </cell>
          <cell r="D67">
            <v>1</v>
          </cell>
          <cell r="E67">
            <v>0</v>
          </cell>
          <cell r="F67">
            <v>0</v>
          </cell>
          <cell r="G67">
            <v>12.9</v>
          </cell>
        </row>
        <row r="68">
          <cell r="A68" t="str">
            <v>JBL-QFFMR5XL</v>
          </cell>
          <cell r="B68" t="str">
            <v>JBL-QFFM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20.9</v>
          </cell>
        </row>
        <row r="69">
          <cell r="A69" t="str">
            <v>NK-XUHM001-K0-XL</v>
          </cell>
          <cell r="B69" t="str">
            <v>NK-XUHM001</v>
          </cell>
          <cell r="C69">
            <v>0</v>
          </cell>
          <cell r="D69">
            <v>2</v>
          </cell>
          <cell r="E69">
            <v>0</v>
          </cell>
          <cell r="F69">
            <v>0</v>
          </cell>
          <cell r="G69">
            <v>6.99</v>
          </cell>
        </row>
        <row r="70">
          <cell r="A70" t="str">
            <v>N2257YSG36</v>
          </cell>
          <cell r="B70" t="str">
            <v>N2257Y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17.9</v>
          </cell>
        </row>
        <row r="71">
          <cell r="A71" t="str">
            <v>N2257YG036</v>
          </cell>
          <cell r="B71" t="str">
            <v>N2082Y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17.9</v>
          </cell>
        </row>
        <row r="72">
          <cell r="A72" t="str">
            <v>N2257YK038</v>
          </cell>
          <cell r="B72" t="str">
            <v>N2257Y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17.9</v>
          </cell>
        </row>
        <row r="73">
          <cell r="A73" t="str">
            <v>NY-XUHM463-K0-XL</v>
          </cell>
          <cell r="B73" t="str">
            <v>NY-XUHM463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15.99</v>
          </cell>
        </row>
        <row r="74">
          <cell r="A74" t="str">
            <v>N9383YR038</v>
          </cell>
          <cell r="B74" t="str">
            <v>N9383Y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 t="e">
            <v>#DIV/0!</v>
          </cell>
        </row>
        <row r="75">
          <cell r="A75" t="str">
            <v>N029YMH38</v>
          </cell>
          <cell r="B75" t="str">
            <v>N029Y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10</v>
          </cell>
        </row>
        <row r="76">
          <cell r="A76" t="str">
            <v>NY-XUHM463-P0-S</v>
          </cell>
          <cell r="B76" t="str">
            <v>NY-XUHM463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15.99</v>
          </cell>
        </row>
        <row r="77">
          <cell r="A77" t="str">
            <v>DDHNYK0</v>
          </cell>
          <cell r="B77" t="str">
            <v>DDHNY</v>
          </cell>
          <cell r="C77">
            <v>1</v>
          </cell>
          <cell r="D77">
            <v>1</v>
          </cell>
          <cell r="E77">
            <v>0</v>
          </cell>
          <cell r="F77">
            <v>0</v>
          </cell>
          <cell r="G77">
            <v>15.99</v>
          </cell>
        </row>
        <row r="78">
          <cell r="A78" t="str">
            <v>JBL-QFFMR5L</v>
          </cell>
          <cell r="B78" t="str">
            <v>JBL-QFFM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20.9</v>
          </cell>
        </row>
        <row r="79">
          <cell r="A79" t="str">
            <v>NY-B15016-K0-S</v>
          </cell>
          <cell r="B79" t="str">
            <v>NWZE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15.99</v>
          </cell>
        </row>
        <row r="80">
          <cell r="A80" t="str">
            <v>KTKXKW0L</v>
          </cell>
          <cell r="B80" t="str">
            <v>KTKXXK</v>
          </cell>
          <cell r="C80">
            <v>3</v>
          </cell>
          <cell r="D80">
            <v>0</v>
          </cell>
          <cell r="E80">
            <v>0</v>
          </cell>
          <cell r="F80">
            <v>0</v>
          </cell>
          <cell r="G80">
            <v>18.99</v>
          </cell>
        </row>
        <row r="81">
          <cell r="A81" t="str">
            <v>N9383YB042</v>
          </cell>
          <cell r="B81" t="str">
            <v>N89122K</v>
          </cell>
          <cell r="C81">
            <v>2</v>
          </cell>
          <cell r="D81">
            <v>0</v>
          </cell>
          <cell r="E81">
            <v>0</v>
          </cell>
          <cell r="F81">
            <v>0</v>
          </cell>
          <cell r="G81">
            <v>13.9</v>
          </cell>
        </row>
        <row r="82">
          <cell r="A82" t="str">
            <v>NY-XUHM005-GA-M</v>
          </cell>
          <cell r="B82" t="str">
            <v>NY-B15021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15.99</v>
          </cell>
        </row>
        <row r="83">
          <cell r="A83" t="str">
            <v>N2716YHL38</v>
          </cell>
          <cell r="B83" t="str">
            <v>N263Y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10</v>
          </cell>
        </row>
        <row r="84">
          <cell r="A84" t="str">
            <v>XTHQXSB</v>
          </cell>
          <cell r="B84" t="str">
            <v>XTHQ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8.99</v>
          </cell>
        </row>
        <row r="85">
          <cell r="A85" t="str">
            <v>N531YR040</v>
          </cell>
          <cell r="B85" t="str">
            <v>N531Y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12.99</v>
          </cell>
        </row>
        <row r="86">
          <cell r="A86" t="str">
            <v>NY-B15016-Y0-M</v>
          </cell>
          <cell r="B86" t="str">
            <v>NY-B15016</v>
          </cell>
          <cell r="C86">
            <v>2</v>
          </cell>
          <cell r="D86">
            <v>0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N9932YXS36</v>
          </cell>
          <cell r="B87" t="str">
            <v>N9932Y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12.9</v>
          </cell>
        </row>
        <row r="88">
          <cell r="A88" t="str">
            <v>NY-XUHM333-HS-L</v>
          </cell>
          <cell r="B88" t="str">
            <v>NY-XUHM333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15.99</v>
          </cell>
        </row>
        <row r="89">
          <cell r="A89" t="str">
            <v>NY-B15021-K0-XL</v>
          </cell>
          <cell r="B89" t="str">
            <v>NY-B15021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15.99</v>
          </cell>
        </row>
        <row r="90">
          <cell r="A90" t="str">
            <v>DDBNYW0</v>
          </cell>
          <cell r="B90" t="str">
            <v>DDBNY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15.99</v>
          </cell>
        </row>
        <row r="91">
          <cell r="A91" t="str">
            <v>SPHNYK0</v>
          </cell>
          <cell r="B91" t="str">
            <v>SJKTK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13.99</v>
          </cell>
        </row>
        <row r="92">
          <cell r="A92" t="str">
            <v>NK-XUHM001-K0-M</v>
          </cell>
          <cell r="B92" t="str">
            <v>ZSNW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6.99</v>
          </cell>
        </row>
        <row r="93">
          <cell r="A93" t="str">
            <v>N531YQL40</v>
          </cell>
          <cell r="B93" t="str">
            <v>N531Y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10.39</v>
          </cell>
        </row>
        <row r="94">
          <cell r="A94" t="str">
            <v>N9383YXGH42</v>
          </cell>
          <cell r="B94" t="str">
            <v>N9383Y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13.9</v>
          </cell>
        </row>
        <row r="95">
          <cell r="A95" t="str">
            <v>NY-B15021-B0-L</v>
          </cell>
          <cell r="B95" t="str">
            <v>NY-B15016</v>
          </cell>
          <cell r="C95">
            <v>1</v>
          </cell>
          <cell r="D95">
            <v>0</v>
          </cell>
          <cell r="E95">
            <v>0</v>
          </cell>
          <cell r="F95">
            <v>0</v>
          </cell>
          <cell r="G95">
            <v>15.99</v>
          </cell>
        </row>
        <row r="96">
          <cell r="A96" t="str">
            <v>N87301KK0XL</v>
          </cell>
          <cell r="B96" t="str">
            <v>N87301K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5.63</v>
          </cell>
        </row>
        <row r="97">
          <cell r="A97" t="str">
            <v>NY-B15016-W0-S</v>
          </cell>
          <cell r="B97" t="str">
            <v>NY-B15016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15.99</v>
          </cell>
        </row>
        <row r="98">
          <cell r="A98" t="str">
            <v>NY-XUHM005-K0-M</v>
          </cell>
          <cell r="B98" t="str">
            <v>NY-B15021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15.99</v>
          </cell>
        </row>
        <row r="170">
          <cell r="A170" t="str">
            <v>NY-B15016-W0-L</v>
          </cell>
        </row>
        <row r="179">
          <cell r="A179" t="str">
            <v>GJHNYK0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NY-XUHM331</v>
          </cell>
          <cell r="B2">
            <v>9.99</v>
          </cell>
        </row>
        <row r="3">
          <cell r="A3" t="str">
            <v>N2716Y</v>
          </cell>
          <cell r="B3">
            <v>8.52769230769231</v>
          </cell>
        </row>
        <row r="4">
          <cell r="A4" t="str">
            <v>N87318K</v>
          </cell>
          <cell r="B4">
            <v>4.99</v>
          </cell>
        </row>
        <row r="5">
          <cell r="A5" t="str">
            <v>N263Y</v>
          </cell>
          <cell r="B5">
            <v>8.4425</v>
          </cell>
        </row>
        <row r="6">
          <cell r="A6" t="str">
            <v>N31459Y</v>
          </cell>
          <cell r="B6">
            <v>13.9</v>
          </cell>
        </row>
        <row r="7">
          <cell r="A7" t="str">
            <v>KTKXXK</v>
          </cell>
          <cell r="B7">
            <v>18.605</v>
          </cell>
        </row>
        <row r="8">
          <cell r="A8" t="str">
            <v>N89122K</v>
          </cell>
          <cell r="B8">
            <v>10.82</v>
          </cell>
        </row>
        <row r="9">
          <cell r="A9" t="str">
            <v>KTKSTY</v>
          </cell>
          <cell r="B9">
            <v>18.99</v>
          </cell>
        </row>
        <row r="10">
          <cell r="A10" t="str">
            <v>NY-XUHM463</v>
          </cell>
          <cell r="B10">
            <v>15.99</v>
          </cell>
        </row>
        <row r="11">
          <cell r="A11" t="str">
            <v>N3818-2Y</v>
          </cell>
          <cell r="B11">
            <v>9.48</v>
          </cell>
        </row>
        <row r="12">
          <cell r="A12" t="str">
            <v>N039Y</v>
          </cell>
          <cell r="B12">
            <v>8.61875</v>
          </cell>
        </row>
        <row r="13">
          <cell r="A13" t="str">
            <v>N029Y</v>
          </cell>
          <cell r="B13">
            <v>8.4</v>
          </cell>
        </row>
        <row r="14">
          <cell r="A14" t="str">
            <v>N531Y</v>
          </cell>
          <cell r="B14">
            <v>11.478</v>
          </cell>
        </row>
        <row r="15">
          <cell r="A15" t="str">
            <v>JBL-QFFM</v>
          </cell>
          <cell r="B15">
            <v>20.9</v>
          </cell>
        </row>
        <row r="16">
          <cell r="A16" t="str">
            <v>TTYCMZFCS</v>
          </cell>
          <cell r="B16">
            <v>20.99</v>
          </cell>
        </row>
        <row r="17">
          <cell r="A17" t="str">
            <v>NY-B15021</v>
          </cell>
          <cell r="B17">
            <v>16.3288888888889</v>
          </cell>
        </row>
        <row r="18">
          <cell r="A18" t="str">
            <v>N1709Y</v>
          </cell>
          <cell r="B18">
            <v>11.9</v>
          </cell>
        </row>
        <row r="19">
          <cell r="A19" t="str">
            <v>N9383Y</v>
          </cell>
          <cell r="B19">
            <v>13.9</v>
          </cell>
        </row>
        <row r="20">
          <cell r="A20" t="str">
            <v>NWZE</v>
          </cell>
          <cell r="B20">
            <v>16.99</v>
          </cell>
        </row>
        <row r="21">
          <cell r="A21" t="str">
            <v>NY-B15016</v>
          </cell>
          <cell r="B21">
            <v>16.2042857142857</v>
          </cell>
        </row>
        <row r="22">
          <cell r="A22" t="str">
            <v>MZCXK</v>
          </cell>
          <cell r="B22">
            <v>7.99</v>
          </cell>
        </row>
        <row r="23">
          <cell r="A23" t="str">
            <v>N2257Y</v>
          </cell>
          <cell r="B23">
            <v>17.9</v>
          </cell>
        </row>
        <row r="24">
          <cell r="A24" t="str">
            <v>GJHNY</v>
          </cell>
          <cell r="B24">
            <v>8.394</v>
          </cell>
        </row>
        <row r="25">
          <cell r="A25" t="str">
            <v>XTLA</v>
          </cell>
          <cell r="B25">
            <v>8.99</v>
          </cell>
        </row>
        <row r="26">
          <cell r="A26" t="str">
            <v>XTHQ</v>
          </cell>
          <cell r="B26">
            <v>9.495</v>
          </cell>
        </row>
        <row r="27">
          <cell r="A27" t="str">
            <v>N888Y</v>
          </cell>
          <cell r="B27">
            <v>12.9</v>
          </cell>
        </row>
        <row r="28">
          <cell r="A28" t="str">
            <v>NK-XUHM001</v>
          </cell>
          <cell r="B28">
            <v>6.99</v>
          </cell>
        </row>
        <row r="29">
          <cell r="A29" t="str">
            <v>N2082Y</v>
          </cell>
          <cell r="B29">
            <v>17.9</v>
          </cell>
        </row>
        <row r="30">
          <cell r="A30" t="str">
            <v>DDHNY</v>
          </cell>
          <cell r="B30">
            <v>15.99</v>
          </cell>
        </row>
        <row r="31">
          <cell r="A31" t="str">
            <v>N9932Y</v>
          </cell>
          <cell r="B31">
            <v>12.9</v>
          </cell>
        </row>
        <row r="32">
          <cell r="A32" t="str">
            <v>NY-XUHM333</v>
          </cell>
          <cell r="B32">
            <v>15.99</v>
          </cell>
        </row>
        <row r="33">
          <cell r="A33" t="str">
            <v>DDBNY</v>
          </cell>
          <cell r="B33">
            <v>15.99</v>
          </cell>
        </row>
        <row r="34">
          <cell r="A34" t="str">
            <v>SJKTK</v>
          </cell>
          <cell r="B34">
            <v>13.99</v>
          </cell>
        </row>
        <row r="35">
          <cell r="A35" t="str">
            <v>ZSNW</v>
          </cell>
          <cell r="B35">
            <v>6.99</v>
          </cell>
        </row>
        <row r="36">
          <cell r="A36" t="str">
            <v>N87301K</v>
          </cell>
          <cell r="B36">
            <v>5.63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6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43290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2018/7/30-2018/8/5</v>
      </c>
      <c r="E3" s="14" t="str">
        <f>TEXT(时间!$B$8,"yyyy/M/d")&amp;"-"&amp;TEXT(时间!$B$7,"yyyy/M/d")</f>
        <v>2018/7/23-2018/7/29</v>
      </c>
      <c r="F3" s="14" t="str">
        <f>TEXT(时间!$B$10,"yyyy/M/d")&amp;"-"&amp;TEXT(时间!$B$9,"yyyy/M/d")</f>
        <v>2018/7/16-2018/7/22</v>
      </c>
      <c r="G3" s="14" t="str">
        <f>TEXT(时间!$B$12,"yyyy/M/d")&amp;"-"&amp;TEXT(时间!$B$11,"yyyy/M/d")</f>
        <v>2018/7/9-2018/7/15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43311</v>
      </c>
      <c r="AG4" s="21">
        <f>时间!$B$7</f>
        <v>43310</v>
      </c>
      <c r="AH4" s="21">
        <f>时间!$B$8</f>
        <v>43304</v>
      </c>
      <c r="AI4" s="21">
        <f>时间!$B$9</f>
        <v>43303</v>
      </c>
      <c r="AJ4" s="21">
        <f>时间!$B$6</f>
        <v>43311</v>
      </c>
      <c r="AK4" s="21">
        <f>时间!$B$7</f>
        <v>43310</v>
      </c>
      <c r="AL4" s="21">
        <f>时间!$B$8</f>
        <v>43304</v>
      </c>
      <c r="AM4" s="21">
        <f>时间!$B$9</f>
        <v>43303</v>
      </c>
      <c r="AN4" s="21">
        <f>时间!$B$6</f>
        <v>43311</v>
      </c>
      <c r="AO4" s="21">
        <f>时间!$B$7</f>
        <v>43310</v>
      </c>
      <c r="AP4" s="21">
        <f>时间!$B$8</f>
        <v>43304</v>
      </c>
      <c r="AQ4" s="21">
        <f>时间!$B$9</f>
        <v>43303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53</v>
      </c>
      <c r="E5" s="5">
        <f>SUM(E6:E19972)</f>
        <v>41</v>
      </c>
      <c r="F5" s="5">
        <f>SUM(F6:F19972)</f>
        <v>41</v>
      </c>
      <c r="G5" s="5">
        <f>SUM(G6:G19972)</f>
        <v>34</v>
      </c>
      <c r="I5" s="5">
        <f t="shared" ref="I5:O5" si="4">SUM(I6:I2972)</f>
        <v>4222</v>
      </c>
      <c r="J5" s="5">
        <f t="shared" si="4"/>
        <v>0</v>
      </c>
      <c r="K5" s="5">
        <f t="shared" si="4"/>
        <v>0</v>
      </c>
      <c r="L5" s="5">
        <f t="shared" si="4"/>
        <v>3</v>
      </c>
      <c r="M5" s="5">
        <f t="shared" si="4"/>
        <v>4225</v>
      </c>
      <c r="N5" s="5">
        <f t="shared" si="4"/>
        <v>16</v>
      </c>
      <c r="O5" s="5">
        <f t="shared" si="4"/>
        <v>4185</v>
      </c>
      <c r="AB5" s="5">
        <f>SUM(AB6:AB2072)</f>
        <v>374.35</v>
      </c>
      <c r="AC5" s="5">
        <f>SUM(AC6:AC2072)</f>
        <v>415.68</v>
      </c>
      <c r="AD5" s="5">
        <f>SUM(AD6:AD2072)</f>
        <v>371.67</v>
      </c>
      <c r="AE5" s="5">
        <f>SUM(AE6:AE2072)</f>
        <v>151.76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1</v>
      </c>
      <c r="E6" s="33">
        <v>0</v>
      </c>
      <c r="F6" s="33">
        <v>0</v>
      </c>
      <c r="G6" s="33">
        <v>0</v>
      </c>
      <c r="H6" s="34">
        <v>15.99</v>
      </c>
      <c r="I6">
        <v>23</v>
      </c>
      <c r="J6" s="35">
        <v>0</v>
      </c>
      <c r="K6" s="35">
        <v>0</v>
      </c>
      <c r="L6" s="35">
        <v>0</v>
      </c>
      <c r="M6">
        <v>23</v>
      </c>
      <c r="N6">
        <v>0</v>
      </c>
      <c r="O6">
        <v>24</v>
      </c>
      <c r="P6">
        <v>0</v>
      </c>
      <c r="Q6">
        <v>7895</v>
      </c>
      <c r="R6">
        <v>5983</v>
      </c>
      <c r="S6">
        <v>602</v>
      </c>
      <c r="T6">
        <v>0</v>
      </c>
      <c r="U6">
        <v>16</v>
      </c>
      <c r="V6">
        <v>13</v>
      </c>
      <c r="W6">
        <v>4</v>
      </c>
      <c r="X6" s="23" t="s">
        <v>54</v>
      </c>
      <c r="Y6" s="23">
        <v>0.00202659911336289</v>
      </c>
      <c r="Z6" s="23">
        <v>0.00217282299849574</v>
      </c>
      <c r="AA6" s="23">
        <v>0.00664451827242525</v>
      </c>
      <c r="AB6">
        <v>0</v>
      </c>
      <c r="AC6">
        <v>12.71</v>
      </c>
      <c r="AD6">
        <v>10.22</v>
      </c>
      <c r="AE6">
        <v>3.33</v>
      </c>
      <c r="AF6" s="23" t="s">
        <v>54</v>
      </c>
      <c r="AG6" s="23" t="s">
        <v>55</v>
      </c>
      <c r="AH6" s="23" t="s">
        <v>56</v>
      </c>
      <c r="AI6" s="23" t="s">
        <v>57</v>
      </c>
      <c r="AJ6">
        <v>9</v>
      </c>
      <c r="AK6">
        <v>7</v>
      </c>
      <c r="AL6">
        <v>14</v>
      </c>
      <c r="AM6">
        <v>3</v>
      </c>
      <c r="AN6" s="23">
        <v>0.111111111111111</v>
      </c>
      <c r="AO6" s="23">
        <v>0</v>
      </c>
      <c r="AP6" s="23">
        <v>0</v>
      </c>
      <c r="AQ6" s="23">
        <v>0</v>
      </c>
      <c r="AR6" s="37">
        <v>0.142857142857143</v>
      </c>
      <c r="AS6" s="37">
        <v>8.57142857142857</v>
      </c>
      <c r="AT6" s="37">
        <v>14.4285714285714</v>
      </c>
      <c r="AU6" s="33">
        <f t="shared" si="3"/>
        <v>161</v>
      </c>
      <c r="AV6" s="38">
        <f>IFERROR(时间!$B$4+AU6,"上周无销量")</f>
        <v>43479</v>
      </c>
    </row>
    <row r="7" spans="1:48">
      <c r="A7" s="21" t="s">
        <v>58</v>
      </c>
      <c r="B7" t="s">
        <v>59</v>
      </c>
      <c r="C7" t="s">
        <v>60</v>
      </c>
      <c r="D7" s="33">
        <v>1</v>
      </c>
      <c r="E7" s="33">
        <v>1</v>
      </c>
      <c r="F7" s="33">
        <v>0</v>
      </c>
      <c r="G7" s="33">
        <v>0</v>
      </c>
      <c r="H7" s="34">
        <v>15.99</v>
      </c>
      <c r="I7">
        <v>4</v>
      </c>
      <c r="J7" s="35">
        <v>0</v>
      </c>
      <c r="K7" s="35">
        <v>0</v>
      </c>
      <c r="L7" s="35">
        <v>0</v>
      </c>
      <c r="M7">
        <v>4</v>
      </c>
      <c r="N7">
        <v>0</v>
      </c>
      <c r="O7">
        <v>4</v>
      </c>
      <c r="P7">
        <v>0</v>
      </c>
      <c r="Q7">
        <v>7419</v>
      </c>
      <c r="R7">
        <v>11635</v>
      </c>
      <c r="S7">
        <v>3605</v>
      </c>
      <c r="T7">
        <v>0</v>
      </c>
      <c r="U7">
        <v>67</v>
      </c>
      <c r="V7">
        <v>45</v>
      </c>
      <c r="W7">
        <v>20</v>
      </c>
      <c r="X7" s="23" t="s">
        <v>54</v>
      </c>
      <c r="Y7" s="23">
        <v>0.00903086669362448</v>
      </c>
      <c r="Z7" s="23">
        <v>0.00386764073914912</v>
      </c>
      <c r="AA7" s="23">
        <v>0.00554785020804438</v>
      </c>
      <c r="AB7">
        <v>0</v>
      </c>
      <c r="AC7">
        <v>61.94</v>
      </c>
      <c r="AD7">
        <v>40.19</v>
      </c>
      <c r="AE7">
        <v>18.05</v>
      </c>
      <c r="AF7" s="23" t="s">
        <v>54</v>
      </c>
      <c r="AG7" s="23">
        <v>3.87367104440275</v>
      </c>
      <c r="AH7" s="23" t="s">
        <v>61</v>
      </c>
      <c r="AI7" s="23" t="s">
        <v>62</v>
      </c>
      <c r="AJ7">
        <v>13</v>
      </c>
      <c r="AK7">
        <v>33</v>
      </c>
      <c r="AL7">
        <v>30</v>
      </c>
      <c r="AM7">
        <v>15</v>
      </c>
      <c r="AN7" s="23">
        <v>0.0769230769230769</v>
      </c>
      <c r="AO7" s="23">
        <v>0.0303030303030303</v>
      </c>
      <c r="AP7" s="23">
        <v>0</v>
      </c>
      <c r="AQ7" s="23">
        <v>0</v>
      </c>
      <c r="AR7" s="37">
        <v>0.142857142857143</v>
      </c>
      <c r="AS7" s="37">
        <v>8.57142857142857</v>
      </c>
      <c r="AT7" s="37">
        <v>-4.57142857142857</v>
      </c>
      <c r="AU7" s="33">
        <f t="shared" si="3"/>
        <v>28</v>
      </c>
      <c r="AV7" s="38">
        <f>IFERROR(时间!$B$4+AU7,"上周无销量")</f>
        <v>43346</v>
      </c>
    </row>
    <row r="8" spans="1:48">
      <c r="A8" s="21" t="s">
        <v>63</v>
      </c>
      <c r="B8" t="s">
        <v>64</v>
      </c>
      <c r="C8" t="s">
        <v>65</v>
      </c>
      <c r="D8" s="33">
        <v>4</v>
      </c>
      <c r="E8" s="33">
        <v>4</v>
      </c>
      <c r="F8" s="33">
        <v>2</v>
      </c>
      <c r="G8" s="33">
        <v>0</v>
      </c>
      <c r="H8" s="34">
        <v>8.394</v>
      </c>
      <c r="I8">
        <v>32</v>
      </c>
      <c r="J8" s="35">
        <v>0</v>
      </c>
      <c r="K8" s="35">
        <v>0</v>
      </c>
      <c r="L8" s="35">
        <v>0</v>
      </c>
      <c r="M8">
        <v>32</v>
      </c>
      <c r="N8">
        <v>0</v>
      </c>
      <c r="O8">
        <v>33</v>
      </c>
      <c r="P8">
        <v>48679</v>
      </c>
      <c r="Q8">
        <v>9779</v>
      </c>
      <c r="R8">
        <v>22540</v>
      </c>
      <c r="S8">
        <v>1239</v>
      </c>
      <c r="T8">
        <v>145</v>
      </c>
      <c r="U8">
        <v>29</v>
      </c>
      <c r="V8">
        <v>39</v>
      </c>
      <c r="W8">
        <v>4</v>
      </c>
      <c r="X8" s="23">
        <v>0.00297869717948191</v>
      </c>
      <c r="Y8" s="23">
        <v>0.00296553839860926</v>
      </c>
      <c r="Z8" s="23">
        <v>0.00173025732031943</v>
      </c>
      <c r="AA8" s="23">
        <v>0.00322841000807102</v>
      </c>
      <c r="AB8">
        <v>63.22</v>
      </c>
      <c r="AC8">
        <v>27.97</v>
      </c>
      <c r="AD8">
        <v>32.49</v>
      </c>
      <c r="AE8">
        <v>2.9</v>
      </c>
      <c r="AF8" s="23">
        <v>1.88289254229211</v>
      </c>
      <c r="AG8" s="23">
        <v>0.833035501548725</v>
      </c>
      <c r="AH8" s="23">
        <v>1.93531093638313</v>
      </c>
      <c r="AI8" s="23" t="s">
        <v>66</v>
      </c>
      <c r="AJ8">
        <v>82</v>
      </c>
      <c r="AK8">
        <v>16</v>
      </c>
      <c r="AL8">
        <v>34</v>
      </c>
      <c r="AM8">
        <v>12</v>
      </c>
      <c r="AN8" s="23">
        <v>0.0487804878048781</v>
      </c>
      <c r="AO8" s="23">
        <v>0.25</v>
      </c>
      <c r="AP8" s="23">
        <v>0.0588235294117647</v>
      </c>
      <c r="AQ8" s="23">
        <v>0</v>
      </c>
      <c r="AR8" s="37">
        <v>0.571428571428571</v>
      </c>
      <c r="AS8" s="37">
        <v>34.2857142857143</v>
      </c>
      <c r="AT8" s="37">
        <v>-2.28571428571428</v>
      </c>
      <c r="AU8" s="33">
        <f t="shared" si="3"/>
        <v>56</v>
      </c>
      <c r="AV8" s="38">
        <f>IFERROR(时间!$B$4+AU8,"上周无销量")</f>
        <v>43374</v>
      </c>
    </row>
    <row r="9" spans="1:48">
      <c r="A9" s="21" t="s">
        <v>67</v>
      </c>
      <c r="B9" t="s">
        <v>68</v>
      </c>
      <c r="C9" t="s">
        <v>69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6</v>
      </c>
      <c r="AK9">
        <v>5</v>
      </c>
      <c r="AL9">
        <v>6</v>
      </c>
      <c r="AM9">
        <v>4</v>
      </c>
      <c r="AN9" s="23">
        <v>0</v>
      </c>
      <c r="AO9" s="23">
        <v>0</v>
      </c>
      <c r="AP9" s="23">
        <v>0</v>
      </c>
      <c r="AQ9" s="23">
        <v>0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70</v>
      </c>
      <c r="B10" t="s">
        <v>71</v>
      </c>
      <c r="C10" t="s">
        <v>72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2</v>
      </c>
      <c r="J10" s="35">
        <v>0</v>
      </c>
      <c r="K10" s="35">
        <v>0</v>
      </c>
      <c r="L10" s="35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3</v>
      </c>
      <c r="AK10">
        <v>1</v>
      </c>
      <c r="AL10">
        <v>4</v>
      </c>
      <c r="AM10">
        <v>2</v>
      </c>
      <c r="AN10" s="23">
        <v>0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2</v>
      </c>
      <c r="AU10" s="33" t="str">
        <f t="shared" si="3"/>
        <v>库存为2</v>
      </c>
      <c r="AV10" s="38" t="str">
        <f>IFERROR(时间!$B$4+AU10,"上周无销量")</f>
        <v>上周无销量</v>
      </c>
    </row>
    <row r="11" spans="1:48">
      <c r="A11" s="21" t="s">
        <v>73</v>
      </c>
      <c r="B11" t="s">
        <v>74</v>
      </c>
      <c r="C11" t="s">
        <v>72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4</v>
      </c>
      <c r="AK11">
        <v>3</v>
      </c>
      <c r="AL11">
        <v>1</v>
      </c>
      <c r="AM11">
        <v>4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75</v>
      </c>
      <c r="B12" t="s">
        <v>76</v>
      </c>
      <c r="C12" t="s">
        <v>72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s">
        <v>54</v>
      </c>
      <c r="AO12" s="23" t="s">
        <v>54</v>
      </c>
      <c r="AP12" s="23" t="s">
        <v>54</v>
      </c>
      <c r="AQ12" s="23" t="s">
        <v>54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77</v>
      </c>
      <c r="B13" t="s">
        <v>78</v>
      </c>
      <c r="C13" t="s">
        <v>79</v>
      </c>
      <c r="D13" s="33">
        <v>0</v>
      </c>
      <c r="E13" s="33">
        <v>0</v>
      </c>
      <c r="F13" s="33">
        <v>0</v>
      </c>
      <c r="G13" s="33">
        <v>1</v>
      </c>
      <c r="H13" s="34">
        <v>20.9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1</v>
      </c>
      <c r="AN13" s="23" t="s">
        <v>54</v>
      </c>
      <c r="AO13" s="23" t="s">
        <v>54</v>
      </c>
      <c r="AP13" s="23" t="s">
        <v>54</v>
      </c>
      <c r="AQ13" s="23">
        <v>1</v>
      </c>
      <c r="AR13" s="37">
        <v>0</v>
      </c>
      <c r="AS13" s="37">
        <v>0</v>
      </c>
      <c r="AT13" s="37">
        <v>0</v>
      </c>
      <c r="AU13" s="33" t="str">
        <f t="shared" si="3"/>
        <v>库存为0</v>
      </c>
      <c r="AV13" s="38" t="str">
        <f>IFERROR(时间!$B$4+AU13,"上周无销量")</f>
        <v>上周无销量</v>
      </c>
    </row>
    <row r="14" spans="1:48">
      <c r="A14" s="21" t="s">
        <v>80</v>
      </c>
      <c r="B14" t="s">
        <v>81</v>
      </c>
      <c r="C14" t="s">
        <v>79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2</v>
      </c>
      <c r="AL14">
        <v>0</v>
      </c>
      <c r="AM14">
        <v>0</v>
      </c>
      <c r="AN14" s="23" t="s">
        <v>54</v>
      </c>
      <c r="AO14" s="23">
        <v>0</v>
      </c>
      <c r="AP14" s="23" t="s">
        <v>54</v>
      </c>
      <c r="AQ14" s="23" t="s">
        <v>54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82</v>
      </c>
      <c r="B15" t="s">
        <v>83</v>
      </c>
      <c r="C15" t="s">
        <v>79</v>
      </c>
      <c r="D15" s="33">
        <v>0</v>
      </c>
      <c r="E15" s="33">
        <v>1</v>
      </c>
      <c r="F15" s="33">
        <v>0</v>
      </c>
      <c r="G15" s="33">
        <v>0</v>
      </c>
      <c r="H15" s="34">
        <v>20.9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1</v>
      </c>
      <c r="AL15">
        <v>0</v>
      </c>
      <c r="AM15">
        <v>0</v>
      </c>
      <c r="AN15" s="23" t="s">
        <v>54</v>
      </c>
      <c r="AO15" s="23">
        <v>1</v>
      </c>
      <c r="AP15" s="23" t="s">
        <v>54</v>
      </c>
      <c r="AQ15" s="23" t="s">
        <v>54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84</v>
      </c>
      <c r="B16" t="s">
        <v>85</v>
      </c>
      <c r="C16" t="s">
        <v>79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3</v>
      </c>
      <c r="AK16">
        <v>2</v>
      </c>
      <c r="AL16">
        <v>2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86</v>
      </c>
      <c r="B17" t="s">
        <v>87</v>
      </c>
      <c r="C17" t="s">
        <v>79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6</v>
      </c>
      <c r="AK17">
        <v>5</v>
      </c>
      <c r="AL17">
        <v>3</v>
      </c>
      <c r="AM17">
        <v>6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88</v>
      </c>
      <c r="B18" t="s">
        <v>89</v>
      </c>
      <c r="C18" t="s">
        <v>79</v>
      </c>
      <c r="D18" s="33">
        <v>0</v>
      </c>
      <c r="E18" s="33">
        <v>1</v>
      </c>
      <c r="F18" s="33">
        <v>0</v>
      </c>
      <c r="G18" s="33">
        <v>0</v>
      </c>
      <c r="H18" s="34">
        <v>20.9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0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3</v>
      </c>
      <c r="AK18">
        <v>5</v>
      </c>
      <c r="AL18">
        <v>4</v>
      </c>
      <c r="AM18">
        <v>2</v>
      </c>
      <c r="AN18" s="23">
        <v>0</v>
      </c>
      <c r="AO18" s="23">
        <v>0.2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3"/>
        <v>库存为2</v>
      </c>
      <c r="AV18" s="38" t="str">
        <f>IFERROR(时间!$B$4+AU18,"上周无销量")</f>
        <v>上周无销量</v>
      </c>
    </row>
    <row r="19" spans="1:48">
      <c r="A19" s="21" t="s">
        <v>90</v>
      </c>
      <c r="B19" t="s">
        <v>91</v>
      </c>
      <c r="C19" t="s">
        <v>79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4</v>
      </c>
      <c r="AL19">
        <v>3</v>
      </c>
      <c r="AM19">
        <v>3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92</v>
      </c>
      <c r="B20" t="s">
        <v>93</v>
      </c>
      <c r="C20" t="s">
        <v>94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s">
        <v>54</v>
      </c>
      <c r="AO20" s="23" t="s">
        <v>54</v>
      </c>
      <c r="AP20" s="23" t="s">
        <v>54</v>
      </c>
      <c r="AQ20" s="23" t="s">
        <v>54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s">
        <v>54</v>
      </c>
      <c r="AO21" s="23" t="s">
        <v>54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98</v>
      </c>
      <c r="B22" t="s">
        <v>99</v>
      </c>
      <c r="C22" t="s">
        <v>97</v>
      </c>
      <c r="D22" s="33">
        <v>0</v>
      </c>
      <c r="E22" s="33">
        <v>0</v>
      </c>
      <c r="F22" s="33">
        <v>0</v>
      </c>
      <c r="G22" s="33">
        <v>1</v>
      </c>
      <c r="H22" s="34">
        <v>18.99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7</v>
      </c>
      <c r="AN22" s="23" t="s">
        <v>54</v>
      </c>
      <c r="AO22" s="23" t="s">
        <v>54</v>
      </c>
      <c r="AP22" s="23" t="s">
        <v>54</v>
      </c>
      <c r="AQ22" s="23">
        <v>0.142857142857143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100</v>
      </c>
      <c r="B23" t="s">
        <v>101</v>
      </c>
      <c r="C23" t="s">
        <v>102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102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105</v>
      </c>
      <c r="B25" t="s">
        <v>106</v>
      </c>
      <c r="C25" t="s">
        <v>102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107</v>
      </c>
      <c r="B26" t="s">
        <v>108</v>
      </c>
      <c r="C26" t="s">
        <v>109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110</v>
      </c>
      <c r="B27" t="s">
        <v>111</v>
      </c>
      <c r="C27" t="s">
        <v>109</v>
      </c>
      <c r="D27" s="33">
        <v>0</v>
      </c>
      <c r="E27" s="33">
        <v>0</v>
      </c>
      <c r="F27" s="33">
        <v>0</v>
      </c>
      <c r="G27" s="33">
        <v>1</v>
      </c>
      <c r="H27" s="34">
        <v>22.9</v>
      </c>
      <c r="I27">
        <v>1</v>
      </c>
      <c r="J27" s="35">
        <v>0</v>
      </c>
      <c r="K27" s="35">
        <v>0</v>
      </c>
      <c r="L27" s="35">
        <v>0</v>
      </c>
      <c r="M27">
        <v>1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19</v>
      </c>
      <c r="AN27" s="23" t="s">
        <v>54</v>
      </c>
      <c r="AO27" s="23" t="s">
        <v>54</v>
      </c>
      <c r="AP27" s="23" t="s">
        <v>54</v>
      </c>
      <c r="AQ27" s="23">
        <v>0.0526315789473684</v>
      </c>
      <c r="AR27" s="37">
        <v>0</v>
      </c>
      <c r="AS27" s="37">
        <v>0</v>
      </c>
      <c r="AT27" s="37">
        <v>1</v>
      </c>
      <c r="AU27" s="33" t="str">
        <f t="shared" si="3"/>
        <v>库存为1</v>
      </c>
      <c r="AV27" s="38" t="str">
        <f>IFERROR(时间!$B$4+AU27,"上周无销量")</f>
        <v>上周无销量</v>
      </c>
    </row>
    <row r="28" spans="1:48">
      <c r="A28" s="21" t="s">
        <v>112</v>
      </c>
      <c r="B28" t="s">
        <v>113</v>
      </c>
      <c r="C28" t="s">
        <v>109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114</v>
      </c>
      <c r="B29" t="s">
        <v>115</v>
      </c>
      <c r="C29" t="s">
        <v>109</v>
      </c>
      <c r="D29" s="33">
        <v>3</v>
      </c>
      <c r="E29" s="33">
        <v>0</v>
      </c>
      <c r="F29" s="33">
        <v>0</v>
      </c>
      <c r="G29" s="33">
        <v>0</v>
      </c>
      <c r="H29" s="34">
        <v>18.99</v>
      </c>
      <c r="I29">
        <v>13</v>
      </c>
      <c r="J29" s="35">
        <v>0</v>
      </c>
      <c r="K29" s="35">
        <v>0</v>
      </c>
      <c r="L29" s="35">
        <v>0</v>
      </c>
      <c r="M29">
        <v>13</v>
      </c>
      <c r="N29">
        <v>0</v>
      </c>
      <c r="O29">
        <v>9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22</v>
      </c>
      <c r="AK29">
        <v>33</v>
      </c>
      <c r="AL29">
        <v>35</v>
      </c>
      <c r="AM29">
        <v>41</v>
      </c>
      <c r="AN29" s="23">
        <v>0.136363636363636</v>
      </c>
      <c r="AO29" s="23">
        <v>0</v>
      </c>
      <c r="AP29" s="23">
        <v>0</v>
      </c>
      <c r="AQ29" s="23">
        <v>0</v>
      </c>
      <c r="AR29" s="37">
        <v>0.428571428571429</v>
      </c>
      <c r="AS29" s="37">
        <v>25.7142857142857</v>
      </c>
      <c r="AT29" s="37">
        <v>-12.7142857142857</v>
      </c>
      <c r="AU29" s="33">
        <f t="shared" si="3"/>
        <v>30</v>
      </c>
      <c r="AV29" s="38">
        <f>IFERROR(时间!$B$4+AU29,"上周无销量")</f>
        <v>43348</v>
      </c>
    </row>
    <row r="30" spans="1:48">
      <c r="A30" s="21" t="s">
        <v>116</v>
      </c>
      <c r="B30" t="s">
        <v>117</v>
      </c>
      <c r="C30" t="s">
        <v>109</v>
      </c>
      <c r="D30" s="33">
        <v>0</v>
      </c>
      <c r="E30" s="33">
        <v>0</v>
      </c>
      <c r="F30" s="33">
        <v>3</v>
      </c>
      <c r="G30" s="33">
        <v>1</v>
      </c>
      <c r="H30" s="34">
        <v>17.2425</v>
      </c>
      <c r="I30">
        <v>5</v>
      </c>
      <c r="J30" s="35">
        <v>0</v>
      </c>
      <c r="K30" s="35">
        <v>0</v>
      </c>
      <c r="L30" s="35">
        <v>0</v>
      </c>
      <c r="M30">
        <v>5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36</v>
      </c>
      <c r="AM30">
        <v>62</v>
      </c>
      <c r="AN30" s="23" t="s">
        <v>54</v>
      </c>
      <c r="AO30" s="23" t="s">
        <v>54</v>
      </c>
      <c r="AP30" s="23">
        <v>0.0833333333333333</v>
      </c>
      <c r="AQ30" s="23">
        <v>0.0161290322580645</v>
      </c>
      <c r="AR30" s="37">
        <v>0</v>
      </c>
      <c r="AS30" s="37">
        <v>0</v>
      </c>
      <c r="AT30" s="37">
        <v>5</v>
      </c>
      <c r="AU30" s="33" t="str">
        <f t="shared" si="3"/>
        <v>库存为5</v>
      </c>
      <c r="AV30" s="38" t="str">
        <f>IFERROR(时间!$B$4+AU30,"上周无销量")</f>
        <v>上周无销量</v>
      </c>
    </row>
    <row r="31" spans="1:48">
      <c r="A31" s="21" t="s">
        <v>118</v>
      </c>
      <c r="B31" t="s">
        <v>119</v>
      </c>
      <c r="C31" t="s">
        <v>120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2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2</v>
      </c>
      <c r="AK31">
        <v>4</v>
      </c>
      <c r="AL31">
        <v>3</v>
      </c>
      <c r="AM31">
        <v>3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121</v>
      </c>
      <c r="B32" t="s">
        <v>122</v>
      </c>
      <c r="C32" t="s">
        <v>120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4</v>
      </c>
      <c r="AK32">
        <v>6</v>
      </c>
      <c r="AL32">
        <v>5</v>
      </c>
      <c r="AM32">
        <v>3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123</v>
      </c>
      <c r="B33" t="s">
        <v>124</v>
      </c>
      <c r="C33" t="s">
        <v>120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4</v>
      </c>
      <c r="AK33">
        <v>5</v>
      </c>
      <c r="AL33">
        <v>3</v>
      </c>
      <c r="AM33">
        <v>1</v>
      </c>
      <c r="AN33" s="23">
        <v>0</v>
      </c>
      <c r="AO33" s="23">
        <v>0</v>
      </c>
      <c r="AP33" s="23">
        <v>0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125</v>
      </c>
      <c r="B34" t="s">
        <v>126</v>
      </c>
      <c r="C34" t="s">
        <v>127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2</v>
      </c>
      <c r="AK34">
        <v>4</v>
      </c>
      <c r="AL34">
        <v>6</v>
      </c>
      <c r="AM34">
        <v>4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128</v>
      </c>
      <c r="B35" t="s">
        <v>129</v>
      </c>
      <c r="C35" t="s">
        <v>127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6</v>
      </c>
      <c r="AK35">
        <v>4</v>
      </c>
      <c r="AL35">
        <v>2</v>
      </c>
      <c r="AM35">
        <v>1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130</v>
      </c>
      <c r="B36" t="s">
        <v>131</v>
      </c>
      <c r="C36" t="s">
        <v>127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2</v>
      </c>
      <c r="AK36">
        <v>4</v>
      </c>
      <c r="AL36">
        <v>7</v>
      </c>
      <c r="AM36">
        <v>5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132</v>
      </c>
      <c r="B37" t="s">
        <v>133</v>
      </c>
      <c r="C37" t="s">
        <v>127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10</v>
      </c>
      <c r="AK37">
        <v>8</v>
      </c>
      <c r="AL37">
        <v>4</v>
      </c>
      <c r="AM37">
        <v>4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134</v>
      </c>
      <c r="B38" t="s">
        <v>135</v>
      </c>
      <c r="C38" t="s">
        <v>127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3</v>
      </c>
      <c r="AK38">
        <v>10</v>
      </c>
      <c r="AL38">
        <v>10</v>
      </c>
      <c r="AM38">
        <v>2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136</v>
      </c>
      <c r="B39" t="s">
        <v>137</v>
      </c>
      <c r="C39" t="s">
        <v>127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9</v>
      </c>
      <c r="AK39">
        <v>10</v>
      </c>
      <c r="AL39">
        <v>3</v>
      </c>
      <c r="AM39">
        <v>3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138</v>
      </c>
      <c r="B40" t="s">
        <v>139</v>
      </c>
      <c r="C40" t="s">
        <v>127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6</v>
      </c>
      <c r="AK40">
        <v>8</v>
      </c>
      <c r="AL40">
        <v>3</v>
      </c>
      <c r="AM40">
        <v>2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140</v>
      </c>
      <c r="B41" t="s">
        <v>141</v>
      </c>
      <c r="C41" t="s">
        <v>127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4</v>
      </c>
      <c r="AK41">
        <v>8</v>
      </c>
      <c r="AL41">
        <v>1</v>
      </c>
      <c r="AM41">
        <v>1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142</v>
      </c>
      <c r="B42" t="s">
        <v>143</v>
      </c>
      <c r="C42" t="s">
        <v>127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3</v>
      </c>
      <c r="AK42">
        <v>7</v>
      </c>
      <c r="AL42">
        <v>8</v>
      </c>
      <c r="AM42">
        <v>5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144</v>
      </c>
      <c r="B43" t="s">
        <v>145</v>
      </c>
      <c r="C43" t="s">
        <v>127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3</v>
      </c>
      <c r="AK43">
        <v>6</v>
      </c>
      <c r="AL43">
        <v>5</v>
      </c>
      <c r="AM43">
        <v>4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4</v>
      </c>
      <c r="AU43" s="33" t="str">
        <f t="shared" si="3"/>
        <v>库存为4</v>
      </c>
      <c r="AV43" s="38" t="str">
        <f>IFERROR(时间!$B$4+AU43,"上周无销量")</f>
        <v>上周无销量</v>
      </c>
    </row>
    <row r="44" spans="1:48">
      <c r="A44" s="21" t="s">
        <v>146</v>
      </c>
      <c r="B44" t="s">
        <v>147</v>
      </c>
      <c r="C44" t="s">
        <v>127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1</v>
      </c>
      <c r="J44" s="35">
        <v>0</v>
      </c>
      <c r="K44" s="35">
        <v>0</v>
      </c>
      <c r="L44" s="35">
        <v>0</v>
      </c>
      <c r="M44">
        <v>1</v>
      </c>
      <c r="N44">
        <v>1</v>
      </c>
      <c r="O44">
        <v>1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3</v>
      </c>
      <c r="AK44">
        <v>7</v>
      </c>
      <c r="AL44">
        <v>10</v>
      </c>
      <c r="AM44">
        <v>3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1</v>
      </c>
      <c r="AU44" s="33" t="str">
        <f t="shared" si="3"/>
        <v>库存为1</v>
      </c>
      <c r="AV44" s="38" t="str">
        <f>IFERROR(时间!$B$4+AU44,"上周无销量")</f>
        <v>上周无销量</v>
      </c>
    </row>
    <row r="45" spans="1:48">
      <c r="A45" s="21" t="s">
        <v>148</v>
      </c>
      <c r="B45" t="s">
        <v>149</v>
      </c>
      <c r="C45" t="s">
        <v>127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4</v>
      </c>
      <c r="J45" s="35">
        <v>0</v>
      </c>
      <c r="K45" s="35">
        <v>0</v>
      </c>
      <c r="L45" s="35">
        <v>0</v>
      </c>
      <c r="M45">
        <v>4</v>
      </c>
      <c r="N45">
        <v>0</v>
      </c>
      <c r="O45">
        <v>4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5</v>
      </c>
      <c r="AK45">
        <v>7</v>
      </c>
      <c r="AL45">
        <v>9</v>
      </c>
      <c r="AM45">
        <v>5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4</v>
      </c>
      <c r="AU45" s="33" t="str">
        <f t="shared" si="3"/>
        <v>库存为4</v>
      </c>
      <c r="AV45" s="38" t="str">
        <f>IFERROR(时间!$B$4+AU45,"上周无销量")</f>
        <v>上周无销量</v>
      </c>
    </row>
    <row r="46" spans="1:48">
      <c r="A46" s="21" t="s">
        <v>150</v>
      </c>
      <c r="B46" t="s">
        <v>151</v>
      </c>
      <c r="C46" t="s">
        <v>152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0</v>
      </c>
      <c r="J46" s="35">
        <v>0</v>
      </c>
      <c r="K46" s="35">
        <v>0</v>
      </c>
      <c r="L46" s="35">
        <v>0</v>
      </c>
      <c r="M46">
        <v>0</v>
      </c>
      <c r="N46">
        <v>3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7">
        <v>0</v>
      </c>
      <c r="AS46" s="37">
        <v>0</v>
      </c>
      <c r="AT46" s="37">
        <v>0</v>
      </c>
      <c r="AU46" s="33" t="str">
        <f t="shared" si="3"/>
        <v>库存为0</v>
      </c>
      <c r="AV46" s="38" t="str">
        <f>IFERROR(时间!$B$4+AU46,"上周无销量")</f>
        <v>上周无销量</v>
      </c>
    </row>
    <row r="47" spans="1:48">
      <c r="A47" s="21" t="s">
        <v>153</v>
      </c>
      <c r="B47" t="s">
        <v>154</v>
      </c>
      <c r="C47" t="s">
        <v>152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155</v>
      </c>
      <c r="B48" t="s">
        <v>156</v>
      </c>
      <c r="C48" t="s">
        <v>152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3</v>
      </c>
      <c r="J48" s="35">
        <v>0</v>
      </c>
      <c r="K48" s="35">
        <v>0</v>
      </c>
      <c r="L48" s="35">
        <v>0</v>
      </c>
      <c r="M48">
        <v>3</v>
      </c>
      <c r="N48">
        <v>1</v>
      </c>
      <c r="O48">
        <v>3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3</v>
      </c>
      <c r="AK48">
        <v>5</v>
      </c>
      <c r="AL48">
        <v>11</v>
      </c>
      <c r="AM48">
        <v>2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3</v>
      </c>
      <c r="AU48" s="33" t="str">
        <f t="shared" si="3"/>
        <v>库存为3</v>
      </c>
      <c r="AV48" s="38" t="str">
        <f>IFERROR(时间!$B$4+AU48,"上周无销量")</f>
        <v>上周无销量</v>
      </c>
    </row>
    <row r="49" spans="1:48">
      <c r="A49" s="21" t="s">
        <v>157</v>
      </c>
      <c r="B49" t="s">
        <v>158</v>
      </c>
      <c r="C49" t="s">
        <v>152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7</v>
      </c>
      <c r="J49" s="35">
        <v>0</v>
      </c>
      <c r="K49" s="35">
        <v>0</v>
      </c>
      <c r="L49" s="35">
        <v>0</v>
      </c>
      <c r="M49">
        <v>7</v>
      </c>
      <c r="N49">
        <v>1</v>
      </c>
      <c r="O49">
        <v>7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6</v>
      </c>
      <c r="AK49">
        <v>3</v>
      </c>
      <c r="AL49">
        <v>3</v>
      </c>
      <c r="AM49">
        <v>3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7</v>
      </c>
      <c r="AU49" s="33" t="str">
        <f t="shared" si="3"/>
        <v>库存为7</v>
      </c>
      <c r="AV49" s="38" t="str">
        <f>IFERROR(时间!$B$4+AU49,"上周无销量")</f>
        <v>上周无销量</v>
      </c>
    </row>
    <row r="50" spans="1:48">
      <c r="A50" s="21" t="s">
        <v>159</v>
      </c>
      <c r="B50" t="s">
        <v>160</v>
      </c>
      <c r="C50" t="s">
        <v>152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4</v>
      </c>
      <c r="AK50">
        <v>4</v>
      </c>
      <c r="AL50">
        <v>8</v>
      </c>
      <c r="AM50">
        <v>3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5</v>
      </c>
      <c r="AU50" s="33" t="str">
        <f t="shared" si="3"/>
        <v>库存为5</v>
      </c>
      <c r="AV50" s="38" t="str">
        <f>IFERROR(时间!$B$4+AU50,"上周无销量")</f>
        <v>上周无销量</v>
      </c>
    </row>
    <row r="51" spans="1:48">
      <c r="A51" s="21" t="s">
        <v>161</v>
      </c>
      <c r="B51" t="s">
        <v>162</v>
      </c>
      <c r="C51" t="s">
        <v>152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8</v>
      </c>
      <c r="J51" s="35">
        <v>0</v>
      </c>
      <c r="K51" s="35">
        <v>0</v>
      </c>
      <c r="L51" s="35">
        <v>0</v>
      </c>
      <c r="M51">
        <v>8</v>
      </c>
      <c r="N51">
        <v>1</v>
      </c>
      <c r="O51">
        <v>8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7</v>
      </c>
      <c r="AK51">
        <v>4</v>
      </c>
      <c r="AL51">
        <v>12</v>
      </c>
      <c r="AM51">
        <v>5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8</v>
      </c>
      <c r="AU51" s="33" t="str">
        <f t="shared" si="3"/>
        <v>库存为8</v>
      </c>
      <c r="AV51" s="38" t="str">
        <f>IFERROR(时间!$B$4+AU51,"上周无销量")</f>
        <v>上周无销量</v>
      </c>
    </row>
    <row r="52" spans="1:48">
      <c r="A52" s="21" t="s">
        <v>163</v>
      </c>
      <c r="B52" t="s">
        <v>164</v>
      </c>
      <c r="C52" t="s">
        <v>152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10</v>
      </c>
      <c r="J52" s="35">
        <v>0</v>
      </c>
      <c r="K52" s="35">
        <v>0</v>
      </c>
      <c r="L52" s="35">
        <v>0</v>
      </c>
      <c r="M52">
        <v>10</v>
      </c>
      <c r="N52">
        <v>0</v>
      </c>
      <c r="O52">
        <v>10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5</v>
      </c>
      <c r="AK52">
        <v>5</v>
      </c>
      <c r="AL52">
        <v>9</v>
      </c>
      <c r="AM52">
        <v>6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10</v>
      </c>
      <c r="AU52" s="33" t="str">
        <f t="shared" si="3"/>
        <v>库存为10</v>
      </c>
      <c r="AV52" s="38" t="str">
        <f>IFERROR(时间!$B$4+AU52,"上周无销量")</f>
        <v>上周无销量</v>
      </c>
    </row>
    <row r="53" spans="1:48">
      <c r="A53" s="21" t="s">
        <v>165</v>
      </c>
      <c r="B53" t="s">
        <v>166</v>
      </c>
      <c r="C53" t="s">
        <v>152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0</v>
      </c>
      <c r="J53" s="35">
        <v>0</v>
      </c>
      <c r="K53" s="35">
        <v>0</v>
      </c>
      <c r="L53" s="35">
        <v>0</v>
      </c>
      <c r="M53">
        <v>0</v>
      </c>
      <c r="N53">
        <v>1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0</v>
      </c>
      <c r="AU53" s="33" t="str">
        <f t="shared" si="3"/>
        <v>库存为0</v>
      </c>
      <c r="AV53" s="38" t="str">
        <f>IFERROR(时间!$B$4+AU53,"上周无销量")</f>
        <v>上周无销量</v>
      </c>
    </row>
    <row r="54" spans="1:48">
      <c r="A54" s="21" t="s">
        <v>167</v>
      </c>
      <c r="B54" t="s">
        <v>168</v>
      </c>
      <c r="C54" t="s">
        <v>152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7</v>
      </c>
      <c r="AK54">
        <v>5</v>
      </c>
      <c r="AL54">
        <v>8</v>
      </c>
      <c r="AM54">
        <v>3</v>
      </c>
      <c r="AN54" s="23">
        <v>0</v>
      </c>
      <c r="AO54" s="23">
        <v>0</v>
      </c>
      <c r="AP54" s="23">
        <v>0</v>
      </c>
      <c r="AQ54" s="23">
        <v>0</v>
      </c>
      <c r="AR54" s="37">
        <v>0</v>
      </c>
      <c r="AS54" s="37">
        <v>0</v>
      </c>
      <c r="AT54" s="37">
        <v>1</v>
      </c>
      <c r="AU54" s="33" t="str">
        <f t="shared" si="3"/>
        <v>库存为1</v>
      </c>
      <c r="AV54" s="38" t="str">
        <f>IFERROR(时间!$B$4+AU54,"上周无销量")</f>
        <v>上周无销量</v>
      </c>
    </row>
    <row r="55" spans="1:48">
      <c r="A55" s="21" t="s">
        <v>169</v>
      </c>
      <c r="B55" t="s">
        <v>170</v>
      </c>
      <c r="C55" t="s">
        <v>152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2</v>
      </c>
      <c r="J55" s="35">
        <v>0</v>
      </c>
      <c r="K55" s="35">
        <v>0</v>
      </c>
      <c r="L55" s="35">
        <v>0</v>
      </c>
      <c r="M55">
        <v>2</v>
      </c>
      <c r="N55">
        <v>0</v>
      </c>
      <c r="O55">
        <v>2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2</v>
      </c>
      <c r="AK55">
        <v>5</v>
      </c>
      <c r="AL55">
        <v>6</v>
      </c>
      <c r="AM55">
        <v>5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2</v>
      </c>
      <c r="AU55" s="33" t="str">
        <f t="shared" si="3"/>
        <v>库存为2</v>
      </c>
      <c r="AV55" s="38" t="str">
        <f>IFERROR(时间!$B$4+AU55,"上周无销量")</f>
        <v>上周无销量</v>
      </c>
    </row>
    <row r="56" spans="1:48">
      <c r="A56" s="21" t="s">
        <v>171</v>
      </c>
      <c r="B56" t="s">
        <v>172</v>
      </c>
      <c r="C56" t="s">
        <v>152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0</v>
      </c>
      <c r="J56" s="35">
        <v>0</v>
      </c>
      <c r="K56" s="35">
        <v>0</v>
      </c>
      <c r="L56" s="35">
        <v>0</v>
      </c>
      <c r="M56">
        <v>0</v>
      </c>
      <c r="N56">
        <v>1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0</v>
      </c>
      <c r="AU56" s="33" t="str">
        <f t="shared" si="3"/>
        <v>库存为0</v>
      </c>
      <c r="AV56" s="38" t="str">
        <f>IFERROR(时间!$B$4+AU56,"上周无销量")</f>
        <v>上周无销量</v>
      </c>
    </row>
    <row r="57" spans="1:48">
      <c r="A57" s="21" t="s">
        <v>173</v>
      </c>
      <c r="B57" t="s">
        <v>174</v>
      </c>
      <c r="C57" t="s">
        <v>152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175</v>
      </c>
      <c r="B58" t="s">
        <v>176</v>
      </c>
      <c r="C58" t="s">
        <v>152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1</v>
      </c>
      <c r="O58">
        <v>1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3</v>
      </c>
      <c r="AK58">
        <v>4</v>
      </c>
      <c r="AL58">
        <v>8</v>
      </c>
      <c r="AM58">
        <v>4</v>
      </c>
      <c r="AN58" s="23">
        <v>0</v>
      </c>
      <c r="AO58" s="23">
        <v>0</v>
      </c>
      <c r="AP58" s="23">
        <v>0</v>
      </c>
      <c r="AQ58" s="23">
        <v>0</v>
      </c>
      <c r="AR58" s="37">
        <v>0</v>
      </c>
      <c r="AS58" s="37">
        <v>0</v>
      </c>
      <c r="AT58" s="37">
        <v>2</v>
      </c>
      <c r="AU58" s="33" t="str">
        <f t="shared" si="3"/>
        <v>库存为2</v>
      </c>
      <c r="AV58" s="38" t="str">
        <f>IFERROR(时间!$B$4+AU58,"上周无销量")</f>
        <v>上周无销量</v>
      </c>
    </row>
    <row r="59" spans="1:48">
      <c r="A59" s="21" t="s">
        <v>177</v>
      </c>
      <c r="B59" t="s">
        <v>178</v>
      </c>
      <c r="C59" t="s">
        <v>152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4</v>
      </c>
      <c r="J59" s="35">
        <v>0</v>
      </c>
      <c r="K59" s="35">
        <v>0</v>
      </c>
      <c r="L59" s="35">
        <v>0</v>
      </c>
      <c r="M59">
        <v>4</v>
      </c>
      <c r="N59">
        <v>1</v>
      </c>
      <c r="O59">
        <v>4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3</v>
      </c>
      <c r="AK59">
        <v>6</v>
      </c>
      <c r="AL59">
        <v>11</v>
      </c>
      <c r="AM59">
        <v>4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4</v>
      </c>
      <c r="AU59" s="33" t="str">
        <f t="shared" si="3"/>
        <v>库存为4</v>
      </c>
      <c r="AV59" s="38" t="str">
        <f>IFERROR(时间!$B$4+AU59,"上周无销量")</f>
        <v>上周无销量</v>
      </c>
    </row>
    <row r="60" spans="1:48">
      <c r="A60" s="21" t="s">
        <v>179</v>
      </c>
      <c r="B60" t="s">
        <v>180</v>
      </c>
      <c r="C60" t="s">
        <v>181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6</v>
      </c>
      <c r="J60" s="35">
        <v>0</v>
      </c>
      <c r="K60" s="35">
        <v>0</v>
      </c>
      <c r="L60" s="35">
        <v>0</v>
      </c>
      <c r="M60">
        <v>6</v>
      </c>
      <c r="N60">
        <v>0</v>
      </c>
      <c r="O60">
        <v>6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7</v>
      </c>
      <c r="AK60">
        <v>7</v>
      </c>
      <c r="AL60">
        <v>8</v>
      </c>
      <c r="AM60">
        <v>3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6</v>
      </c>
      <c r="AU60" s="33" t="str">
        <f t="shared" si="3"/>
        <v>库存为6</v>
      </c>
      <c r="AV60" s="38" t="str">
        <f>IFERROR(时间!$B$4+AU60,"上周无销量")</f>
        <v>上周无销量</v>
      </c>
    </row>
    <row r="61" spans="1:48">
      <c r="A61" s="21" t="s">
        <v>182</v>
      </c>
      <c r="B61" t="s">
        <v>183</v>
      </c>
      <c r="C61" t="s">
        <v>181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2</v>
      </c>
      <c r="J61" s="35">
        <v>0</v>
      </c>
      <c r="K61" s="35">
        <v>0</v>
      </c>
      <c r="L61" s="35">
        <v>0</v>
      </c>
      <c r="M61">
        <v>2</v>
      </c>
      <c r="N61">
        <v>0</v>
      </c>
      <c r="O61">
        <v>2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3</v>
      </c>
      <c r="AK61">
        <v>9</v>
      </c>
      <c r="AL61">
        <v>2</v>
      </c>
      <c r="AM61">
        <v>4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2</v>
      </c>
      <c r="AU61" s="33" t="str">
        <f t="shared" si="3"/>
        <v>库存为2</v>
      </c>
      <c r="AV61" s="38" t="str">
        <f>IFERROR(时间!$B$4+AU61,"上周无销量")</f>
        <v>上周无销量</v>
      </c>
    </row>
    <row r="62" spans="1:48">
      <c r="A62" s="21" t="s">
        <v>184</v>
      </c>
      <c r="B62" t="s">
        <v>185</v>
      </c>
      <c r="C62" t="s">
        <v>181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5</v>
      </c>
      <c r="J62" s="35">
        <v>0</v>
      </c>
      <c r="K62" s="35">
        <v>0</v>
      </c>
      <c r="L62" s="35">
        <v>0</v>
      </c>
      <c r="M62">
        <v>5</v>
      </c>
      <c r="N62">
        <v>0</v>
      </c>
      <c r="O62">
        <v>5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4</v>
      </c>
      <c r="AK62">
        <v>4</v>
      </c>
      <c r="AL62">
        <v>8</v>
      </c>
      <c r="AM62">
        <v>3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5</v>
      </c>
      <c r="AU62" s="33" t="str">
        <f t="shared" si="3"/>
        <v>库存为5</v>
      </c>
      <c r="AV62" s="38" t="str">
        <f>IFERROR(时间!$B$4+AU62,"上周无销量")</f>
        <v>上周无销量</v>
      </c>
    </row>
    <row r="63" spans="1:48">
      <c r="A63" s="21" t="s">
        <v>186</v>
      </c>
      <c r="B63" t="s">
        <v>187</v>
      </c>
      <c r="C63" t="s">
        <v>181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4</v>
      </c>
      <c r="J63" s="35">
        <v>0</v>
      </c>
      <c r="K63" s="35">
        <v>0</v>
      </c>
      <c r="L63" s="35">
        <v>0</v>
      </c>
      <c r="M63">
        <v>4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6</v>
      </c>
      <c r="AL63">
        <v>5</v>
      </c>
      <c r="AM63">
        <v>2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4</v>
      </c>
      <c r="AU63" s="33" t="str">
        <f t="shared" si="3"/>
        <v>库存为4</v>
      </c>
      <c r="AV63" s="38" t="str">
        <f>IFERROR(时间!$B$4+AU63,"上周无销量")</f>
        <v>上周无销量</v>
      </c>
    </row>
    <row r="64" spans="1:48">
      <c r="A64" s="21" t="s">
        <v>188</v>
      </c>
      <c r="B64" t="s">
        <v>189</v>
      </c>
      <c r="C64" t="s">
        <v>181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5</v>
      </c>
      <c r="J64" s="35">
        <v>0</v>
      </c>
      <c r="K64" s="35">
        <v>0</v>
      </c>
      <c r="L64" s="35">
        <v>0</v>
      </c>
      <c r="M64">
        <v>5</v>
      </c>
      <c r="N64">
        <v>0</v>
      </c>
      <c r="O64">
        <v>5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3</v>
      </c>
      <c r="AL64">
        <v>4</v>
      </c>
      <c r="AM64">
        <v>2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5</v>
      </c>
      <c r="AU64" s="33" t="str">
        <f t="shared" si="3"/>
        <v>库存为5</v>
      </c>
      <c r="AV64" s="38" t="str">
        <f>IFERROR(时间!$B$4+AU64,"上周无销量")</f>
        <v>上周无销量</v>
      </c>
    </row>
    <row r="65" spans="1:48">
      <c r="A65" s="21" t="s">
        <v>190</v>
      </c>
      <c r="B65" t="s">
        <v>191</v>
      </c>
      <c r="C65" t="s">
        <v>181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4</v>
      </c>
      <c r="AK65">
        <v>6</v>
      </c>
      <c r="AL65">
        <v>7</v>
      </c>
      <c r="AM65">
        <v>2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192</v>
      </c>
      <c r="B66" t="s">
        <v>193</v>
      </c>
      <c r="C66" t="s">
        <v>181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4</v>
      </c>
      <c r="J66" s="35">
        <v>0</v>
      </c>
      <c r="K66" s="35">
        <v>0</v>
      </c>
      <c r="L66" s="35">
        <v>0</v>
      </c>
      <c r="M66">
        <v>4</v>
      </c>
      <c r="N66">
        <v>0</v>
      </c>
      <c r="O66">
        <v>4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3</v>
      </c>
      <c r="AK66">
        <v>5</v>
      </c>
      <c r="AL66">
        <v>7</v>
      </c>
      <c r="AM66">
        <v>4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4</v>
      </c>
      <c r="AU66" s="33" t="str">
        <f t="shared" si="3"/>
        <v>库存为4</v>
      </c>
      <c r="AV66" s="38" t="str">
        <f>IFERROR(时间!$B$4+AU66,"上周无销量")</f>
        <v>上周无销量</v>
      </c>
    </row>
    <row r="67" spans="1:48">
      <c r="A67" s="21" t="s">
        <v>194</v>
      </c>
      <c r="B67" t="s">
        <v>195</v>
      </c>
      <c r="C67" t="s">
        <v>181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5</v>
      </c>
      <c r="J67" s="35">
        <v>0</v>
      </c>
      <c r="K67" s="35">
        <v>0</v>
      </c>
      <c r="L67" s="35">
        <v>0</v>
      </c>
      <c r="M67">
        <v>5</v>
      </c>
      <c r="N67">
        <v>0</v>
      </c>
      <c r="O67">
        <v>5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5</v>
      </c>
      <c r="AK67">
        <v>4</v>
      </c>
      <c r="AL67">
        <v>0</v>
      </c>
      <c r="AM67">
        <v>2</v>
      </c>
      <c r="AN67" s="23">
        <v>0</v>
      </c>
      <c r="AO67" s="23">
        <v>0</v>
      </c>
      <c r="AP67" s="23" t="s">
        <v>54</v>
      </c>
      <c r="AQ67" s="23">
        <v>0</v>
      </c>
      <c r="AR67" s="37">
        <v>0</v>
      </c>
      <c r="AS67" s="37">
        <v>0</v>
      </c>
      <c r="AT67" s="37">
        <v>5</v>
      </c>
      <c r="AU67" s="33" t="str">
        <f t="shared" si="3"/>
        <v>库存为5</v>
      </c>
      <c r="AV67" s="38" t="str">
        <f>IFERROR(时间!$B$4+AU67,"上周无销量")</f>
        <v>上周无销量</v>
      </c>
    </row>
    <row r="68" spans="1:48">
      <c r="A68" s="21" t="s">
        <v>196</v>
      </c>
      <c r="B68" t="s">
        <v>197</v>
      </c>
      <c r="C68" t="s">
        <v>181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7</v>
      </c>
      <c r="J68" s="35">
        <v>0</v>
      </c>
      <c r="K68" s="35">
        <v>0</v>
      </c>
      <c r="L68" s="35">
        <v>0</v>
      </c>
      <c r="M68">
        <v>7</v>
      </c>
      <c r="N68">
        <v>0</v>
      </c>
      <c r="O68">
        <v>7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3</v>
      </c>
      <c r="AK68">
        <v>4</v>
      </c>
      <c r="AL68">
        <v>3</v>
      </c>
      <c r="AM68">
        <v>7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7</v>
      </c>
      <c r="AU68" s="33" t="str">
        <f t="shared" si="3"/>
        <v>库存为7</v>
      </c>
      <c r="AV68" s="38" t="str">
        <f>IFERROR(时间!$B$4+AU68,"上周无销量")</f>
        <v>上周无销量</v>
      </c>
    </row>
    <row r="69" spans="1:48">
      <c r="A69" s="21" t="s">
        <v>198</v>
      </c>
      <c r="B69" t="s">
        <v>199</v>
      </c>
      <c r="C69" t="s">
        <v>181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6</v>
      </c>
      <c r="J69" s="35">
        <v>0</v>
      </c>
      <c r="K69" s="35">
        <v>0</v>
      </c>
      <c r="L69" s="35">
        <v>0</v>
      </c>
      <c r="M69">
        <v>6</v>
      </c>
      <c r="N69">
        <v>0</v>
      </c>
      <c r="O69">
        <v>6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7</v>
      </c>
      <c r="AK69">
        <v>5</v>
      </c>
      <c r="AL69">
        <v>1</v>
      </c>
      <c r="AM69">
        <v>2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6</v>
      </c>
      <c r="AU69" s="33" t="str">
        <f t="shared" ref="AU69:AU132" si="5">IF(AR69="","库存为"&amp;M69,IF(AS69=0,"库存为"&amp;M69,INT(M69/AR69)))</f>
        <v>库存为6</v>
      </c>
      <c r="AV69" s="38" t="str">
        <f>IFERROR(时间!$B$4+AU69,"上周无销量")</f>
        <v>上周无销量</v>
      </c>
    </row>
    <row r="70" spans="1:48">
      <c r="A70" s="21" t="s">
        <v>200</v>
      </c>
      <c r="B70" t="s">
        <v>201</v>
      </c>
      <c r="C70" t="s">
        <v>181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5</v>
      </c>
      <c r="J70" s="35">
        <v>0</v>
      </c>
      <c r="K70" s="35">
        <v>0</v>
      </c>
      <c r="L70" s="35">
        <v>0</v>
      </c>
      <c r="M70">
        <v>5</v>
      </c>
      <c r="N70">
        <v>2</v>
      </c>
      <c r="O70">
        <v>4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8</v>
      </c>
      <c r="AK70">
        <v>5</v>
      </c>
      <c r="AL70">
        <v>7</v>
      </c>
      <c r="AM70">
        <v>6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5</v>
      </c>
      <c r="AU70" s="33" t="str">
        <f t="shared" si="5"/>
        <v>库存为5</v>
      </c>
      <c r="AV70" s="38" t="str">
        <f>IFERROR(时间!$B$4+AU70,"上周无销量")</f>
        <v>上周无销量</v>
      </c>
    </row>
    <row r="71" spans="1:48">
      <c r="A71" s="21" t="s">
        <v>202</v>
      </c>
      <c r="B71" t="s">
        <v>203</v>
      </c>
      <c r="C71" t="s">
        <v>181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8</v>
      </c>
      <c r="J71" s="35">
        <v>0</v>
      </c>
      <c r="K71" s="35">
        <v>0</v>
      </c>
      <c r="L71" s="35">
        <v>0</v>
      </c>
      <c r="M71">
        <v>8</v>
      </c>
      <c r="N71">
        <v>0</v>
      </c>
      <c r="O71">
        <v>8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4</v>
      </c>
      <c r="AK71">
        <v>2</v>
      </c>
      <c r="AL71">
        <v>1</v>
      </c>
      <c r="AM71">
        <v>2</v>
      </c>
      <c r="AN71" s="23">
        <v>0</v>
      </c>
      <c r="AO71" s="23">
        <v>0</v>
      </c>
      <c r="AP71" s="23">
        <v>0</v>
      </c>
      <c r="AQ71" s="23">
        <v>0</v>
      </c>
      <c r="AR71" s="37">
        <v>0</v>
      </c>
      <c r="AS71" s="37">
        <v>0</v>
      </c>
      <c r="AT71" s="37">
        <v>8</v>
      </c>
      <c r="AU71" s="33" t="str">
        <f t="shared" si="5"/>
        <v>库存为8</v>
      </c>
      <c r="AV71" s="38" t="str">
        <f>IFERROR(时间!$B$4+AU71,"上周无销量")</f>
        <v>上周无销量</v>
      </c>
    </row>
    <row r="72" spans="1:48">
      <c r="A72" s="21" t="s">
        <v>204</v>
      </c>
      <c r="B72" t="s">
        <v>205</v>
      </c>
      <c r="C72" t="s">
        <v>206</v>
      </c>
      <c r="D72" s="33">
        <v>0</v>
      </c>
      <c r="E72" s="33">
        <v>1</v>
      </c>
      <c r="F72" s="33">
        <v>0</v>
      </c>
      <c r="G72" s="33">
        <v>0</v>
      </c>
      <c r="H72" s="34">
        <v>7.99</v>
      </c>
      <c r="I72">
        <v>43</v>
      </c>
      <c r="J72" s="35">
        <v>0</v>
      </c>
      <c r="K72" s="35">
        <v>0</v>
      </c>
      <c r="L72" s="35">
        <v>0</v>
      </c>
      <c r="M72">
        <v>43</v>
      </c>
      <c r="N72">
        <v>0</v>
      </c>
      <c r="O72">
        <v>42</v>
      </c>
      <c r="P72">
        <v>222</v>
      </c>
      <c r="Q72">
        <v>154</v>
      </c>
      <c r="R72">
        <v>117</v>
      </c>
      <c r="S72">
        <v>63</v>
      </c>
      <c r="T72">
        <v>1</v>
      </c>
      <c r="U72">
        <v>1</v>
      </c>
      <c r="V72">
        <v>2</v>
      </c>
      <c r="W72">
        <v>1</v>
      </c>
      <c r="X72" s="23">
        <v>0.0045045045045045</v>
      </c>
      <c r="Y72" s="23">
        <v>0.00649350649350649</v>
      </c>
      <c r="Z72" s="23">
        <v>0.0170940170940171</v>
      </c>
      <c r="AA72" s="23">
        <v>0.0158730158730159</v>
      </c>
      <c r="AB72">
        <v>0.28</v>
      </c>
      <c r="AC72">
        <v>0.45</v>
      </c>
      <c r="AD72">
        <v>0.45</v>
      </c>
      <c r="AE72">
        <v>0.62</v>
      </c>
      <c r="AF72" s="23" t="s">
        <v>207</v>
      </c>
      <c r="AG72" s="23">
        <v>0.0563204005006258</v>
      </c>
      <c r="AH72" s="23" t="s">
        <v>208</v>
      </c>
      <c r="AI72" s="23" t="s">
        <v>209</v>
      </c>
      <c r="AJ72">
        <v>5</v>
      </c>
      <c r="AK72">
        <v>3</v>
      </c>
      <c r="AL72">
        <v>3</v>
      </c>
      <c r="AM72">
        <v>3</v>
      </c>
      <c r="AN72" s="23">
        <v>0</v>
      </c>
      <c r="AO72" s="23">
        <v>0.333333333333333</v>
      </c>
      <c r="AP72" s="23">
        <v>0</v>
      </c>
      <c r="AQ72" s="23">
        <v>0</v>
      </c>
      <c r="AR72" s="37">
        <v>0</v>
      </c>
      <c r="AS72" s="37">
        <v>0</v>
      </c>
      <c r="AT72" s="37">
        <v>43</v>
      </c>
      <c r="AU72" s="33" t="str">
        <f t="shared" si="5"/>
        <v>库存为43</v>
      </c>
      <c r="AV72" s="38" t="str">
        <f>IFERROR(时间!$B$4+AU72,"上周无销量")</f>
        <v>上周无销量</v>
      </c>
    </row>
    <row r="73" spans="1:48">
      <c r="A73" s="21" t="s">
        <v>210</v>
      </c>
      <c r="B73" t="s">
        <v>211</v>
      </c>
      <c r="C73" t="s">
        <v>206</v>
      </c>
      <c r="D73" s="33">
        <v>0</v>
      </c>
      <c r="E73" s="33">
        <v>0</v>
      </c>
      <c r="F73" s="33">
        <v>1</v>
      </c>
      <c r="G73" s="33">
        <v>0</v>
      </c>
      <c r="H73" s="34">
        <v>7.99</v>
      </c>
      <c r="I73">
        <v>40</v>
      </c>
      <c r="J73" s="35">
        <v>0</v>
      </c>
      <c r="K73" s="35">
        <v>0</v>
      </c>
      <c r="L73" s="35">
        <v>0</v>
      </c>
      <c r="M73">
        <v>40</v>
      </c>
      <c r="N73">
        <v>0</v>
      </c>
      <c r="O73">
        <v>40</v>
      </c>
      <c r="P73">
        <v>1321</v>
      </c>
      <c r="Q73">
        <v>991</v>
      </c>
      <c r="R73">
        <v>1084</v>
      </c>
      <c r="S73">
        <v>901</v>
      </c>
      <c r="T73">
        <v>0</v>
      </c>
      <c r="U73">
        <v>0</v>
      </c>
      <c r="V73">
        <v>0</v>
      </c>
      <c r="W73">
        <v>3</v>
      </c>
      <c r="X73" s="23">
        <v>0</v>
      </c>
      <c r="Y73" s="23">
        <v>0</v>
      </c>
      <c r="Z73" s="23">
        <v>0</v>
      </c>
      <c r="AA73" s="23">
        <v>0.00332963374028857</v>
      </c>
      <c r="AB73">
        <v>0</v>
      </c>
      <c r="AC73">
        <v>0</v>
      </c>
      <c r="AD73">
        <v>0</v>
      </c>
      <c r="AE73">
        <v>1.21</v>
      </c>
      <c r="AF73" s="23" t="s">
        <v>54</v>
      </c>
      <c r="AG73" s="23" t="s">
        <v>54</v>
      </c>
      <c r="AH73" s="23" t="s">
        <v>54</v>
      </c>
      <c r="AI73" s="23" t="s">
        <v>212</v>
      </c>
      <c r="AJ73">
        <v>3</v>
      </c>
      <c r="AK73">
        <v>4</v>
      </c>
      <c r="AL73">
        <v>4</v>
      </c>
      <c r="AM73">
        <v>3</v>
      </c>
      <c r="AN73" s="23">
        <v>0</v>
      </c>
      <c r="AO73" s="23">
        <v>0</v>
      </c>
      <c r="AP73" s="23">
        <v>0.25</v>
      </c>
      <c r="AQ73" s="23">
        <v>0</v>
      </c>
      <c r="AR73" s="37">
        <v>0</v>
      </c>
      <c r="AS73" s="37">
        <v>0</v>
      </c>
      <c r="AT73" s="37">
        <v>40</v>
      </c>
      <c r="AU73" s="33" t="str">
        <f t="shared" si="5"/>
        <v>库存为40</v>
      </c>
      <c r="AV73" s="38" t="str">
        <f>IFERROR(时间!$B$4+AU73,"上周无销量")</f>
        <v>上周无销量</v>
      </c>
    </row>
    <row r="74" spans="1:48">
      <c r="A74" s="21" t="s">
        <v>213</v>
      </c>
      <c r="B74" t="s">
        <v>214</v>
      </c>
      <c r="C74" t="s">
        <v>206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46</v>
      </c>
      <c r="J74" s="35">
        <v>0</v>
      </c>
      <c r="K74" s="35">
        <v>0</v>
      </c>
      <c r="L74" s="35">
        <v>0</v>
      </c>
      <c r="M74">
        <v>46</v>
      </c>
      <c r="N74">
        <v>0</v>
      </c>
      <c r="O74">
        <v>46</v>
      </c>
      <c r="P74">
        <v>1005</v>
      </c>
      <c r="Q74">
        <v>588</v>
      </c>
      <c r="R74">
        <v>409</v>
      </c>
      <c r="S74">
        <v>248</v>
      </c>
      <c r="T74">
        <v>4</v>
      </c>
      <c r="U74">
        <v>10</v>
      </c>
      <c r="V74">
        <v>6</v>
      </c>
      <c r="W74">
        <v>7</v>
      </c>
      <c r="X74" s="23">
        <v>0.00398009950248756</v>
      </c>
      <c r="Y74" s="23">
        <v>0.0170068027210884</v>
      </c>
      <c r="Z74" s="23">
        <v>0.0146699266503667</v>
      </c>
      <c r="AA74" s="23">
        <v>0.0282258064516129</v>
      </c>
      <c r="AB74">
        <v>1.24</v>
      </c>
      <c r="AC74">
        <v>4.01</v>
      </c>
      <c r="AD74">
        <v>1.45</v>
      </c>
      <c r="AE74">
        <v>2.16</v>
      </c>
      <c r="AF74" s="23" t="s">
        <v>215</v>
      </c>
      <c r="AG74" s="23" t="s">
        <v>216</v>
      </c>
      <c r="AH74" s="23" t="s">
        <v>217</v>
      </c>
      <c r="AI74" s="23" t="s">
        <v>218</v>
      </c>
      <c r="AJ74">
        <v>5</v>
      </c>
      <c r="AK74">
        <v>6</v>
      </c>
      <c r="AL74">
        <v>2</v>
      </c>
      <c r="AM74">
        <v>4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46</v>
      </c>
      <c r="AU74" s="33" t="str">
        <f t="shared" si="5"/>
        <v>库存为46</v>
      </c>
      <c r="AV74" s="38" t="str">
        <f>IFERROR(时间!$B$4+AU74,"上周无销量")</f>
        <v>上周无销量</v>
      </c>
    </row>
    <row r="75" spans="1:48">
      <c r="A75" s="21" t="s">
        <v>219</v>
      </c>
      <c r="B75" t="s">
        <v>220</v>
      </c>
      <c r="C75" t="s">
        <v>221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41</v>
      </c>
      <c r="J75" s="35">
        <v>0</v>
      </c>
      <c r="K75" s="35">
        <v>0</v>
      </c>
      <c r="L75" s="35">
        <v>0</v>
      </c>
      <c r="M75">
        <v>41</v>
      </c>
      <c r="N75">
        <v>0</v>
      </c>
      <c r="O75">
        <v>41</v>
      </c>
      <c r="P75">
        <v>1366</v>
      </c>
      <c r="Q75">
        <v>1543</v>
      </c>
      <c r="R75">
        <v>736</v>
      </c>
      <c r="S75">
        <v>409</v>
      </c>
      <c r="T75">
        <v>1</v>
      </c>
      <c r="U75">
        <v>3</v>
      </c>
      <c r="V75">
        <v>2</v>
      </c>
      <c r="W75">
        <v>3</v>
      </c>
      <c r="X75" s="23">
        <v>0.000732064421669107</v>
      </c>
      <c r="Y75" s="23">
        <v>0.00194426441996111</v>
      </c>
      <c r="Z75" s="23">
        <v>0.00271739130434783</v>
      </c>
      <c r="AA75" s="23">
        <v>0.00733496332518337</v>
      </c>
      <c r="AB75">
        <v>0.58</v>
      </c>
      <c r="AC75">
        <v>1.1</v>
      </c>
      <c r="AD75">
        <v>0.98</v>
      </c>
      <c r="AE75">
        <v>0.66</v>
      </c>
      <c r="AF75" s="23" t="s">
        <v>222</v>
      </c>
      <c r="AG75" s="23" t="s">
        <v>223</v>
      </c>
      <c r="AH75" s="23" t="s">
        <v>224</v>
      </c>
      <c r="AI75" s="23" t="s">
        <v>225</v>
      </c>
      <c r="AJ75">
        <v>3</v>
      </c>
      <c r="AK75">
        <v>6</v>
      </c>
      <c r="AL75">
        <v>1</v>
      </c>
      <c r="AM75">
        <v>2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41</v>
      </c>
      <c r="AU75" s="33" t="str">
        <f t="shared" si="5"/>
        <v>库存为41</v>
      </c>
      <c r="AV75" s="38" t="str">
        <f>IFERROR(时间!$B$4+AU75,"上周无销量")</f>
        <v>上周无销量</v>
      </c>
    </row>
    <row r="76" spans="1:48">
      <c r="A76" s="21" t="s">
        <v>226</v>
      </c>
      <c r="B76" t="s">
        <v>227</v>
      </c>
      <c r="C76" t="s">
        <v>221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44</v>
      </c>
      <c r="J76" s="35">
        <v>0</v>
      </c>
      <c r="K76" s="35">
        <v>0</v>
      </c>
      <c r="L76" s="35">
        <v>0</v>
      </c>
      <c r="M76">
        <v>44</v>
      </c>
      <c r="N76">
        <v>0</v>
      </c>
      <c r="O76">
        <v>44</v>
      </c>
      <c r="P76">
        <v>1415</v>
      </c>
      <c r="Q76">
        <v>1149</v>
      </c>
      <c r="R76">
        <v>547</v>
      </c>
      <c r="S76">
        <v>305</v>
      </c>
      <c r="T76">
        <v>0</v>
      </c>
      <c r="U76">
        <v>3</v>
      </c>
      <c r="V76">
        <v>3</v>
      </c>
      <c r="W76">
        <v>0</v>
      </c>
      <c r="X76" s="23">
        <v>0</v>
      </c>
      <c r="Y76" s="23">
        <v>0.00261096605744125</v>
      </c>
      <c r="Z76" s="23">
        <v>0.00548446069469835</v>
      </c>
      <c r="AA76" s="23">
        <v>0</v>
      </c>
      <c r="AB76">
        <v>0</v>
      </c>
      <c r="AC76">
        <v>1.55</v>
      </c>
      <c r="AD76">
        <v>0.74</v>
      </c>
      <c r="AE76">
        <v>0</v>
      </c>
      <c r="AF76" s="23" t="s">
        <v>54</v>
      </c>
      <c r="AG76" s="23" t="s">
        <v>228</v>
      </c>
      <c r="AH76" s="23" t="s">
        <v>229</v>
      </c>
      <c r="AI76" s="23" t="s">
        <v>54</v>
      </c>
      <c r="AJ76">
        <v>7</v>
      </c>
      <c r="AK76">
        <v>1</v>
      </c>
      <c r="AL76">
        <v>4</v>
      </c>
      <c r="AM76">
        <v>3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44</v>
      </c>
      <c r="AU76" s="33" t="str">
        <f t="shared" si="5"/>
        <v>库存为44</v>
      </c>
      <c r="AV76" s="38" t="str">
        <f>IFERROR(时间!$B$4+AU76,"上周无销量")</f>
        <v>上周无销量</v>
      </c>
    </row>
    <row r="77" spans="1:48">
      <c r="A77" s="21" t="s">
        <v>230</v>
      </c>
      <c r="B77" t="s">
        <v>231</v>
      </c>
      <c r="C77" t="s">
        <v>221</v>
      </c>
      <c r="D77" s="33">
        <v>1</v>
      </c>
      <c r="E77" s="33">
        <v>0</v>
      </c>
      <c r="F77" s="33">
        <v>1</v>
      </c>
      <c r="G77" s="33">
        <v>1</v>
      </c>
      <c r="H77" s="34">
        <v>7.99</v>
      </c>
      <c r="I77">
        <v>43</v>
      </c>
      <c r="J77" s="35">
        <v>0</v>
      </c>
      <c r="K77" s="35">
        <v>0</v>
      </c>
      <c r="L77" s="35">
        <v>0</v>
      </c>
      <c r="M77">
        <v>43</v>
      </c>
      <c r="N77">
        <v>0</v>
      </c>
      <c r="O77">
        <v>43</v>
      </c>
      <c r="P77">
        <v>4592</v>
      </c>
      <c r="Q77">
        <v>4218</v>
      </c>
      <c r="R77">
        <v>3905</v>
      </c>
      <c r="S77">
        <v>4081</v>
      </c>
      <c r="T77">
        <v>29</v>
      </c>
      <c r="U77">
        <v>28</v>
      </c>
      <c r="V77">
        <v>29</v>
      </c>
      <c r="W77">
        <v>23</v>
      </c>
      <c r="X77" s="23">
        <v>0.00631533101045296</v>
      </c>
      <c r="Y77" s="23">
        <v>0.00663821716453295</v>
      </c>
      <c r="Z77" s="23">
        <v>0.00742637644046095</v>
      </c>
      <c r="AA77" s="23">
        <v>0.00563587356040186</v>
      </c>
      <c r="AB77">
        <v>6.64</v>
      </c>
      <c r="AC77">
        <v>7.72</v>
      </c>
      <c r="AD77">
        <v>8.5</v>
      </c>
      <c r="AE77">
        <v>7.22</v>
      </c>
      <c r="AF77" s="23">
        <v>0.831038798498123</v>
      </c>
      <c r="AG77" s="23" t="s">
        <v>232</v>
      </c>
      <c r="AH77" s="23">
        <v>1.06382978723404</v>
      </c>
      <c r="AI77" s="23">
        <v>0.903629536921151</v>
      </c>
      <c r="AJ77">
        <v>9</v>
      </c>
      <c r="AK77">
        <v>10</v>
      </c>
      <c r="AL77">
        <v>7</v>
      </c>
      <c r="AM77">
        <v>5</v>
      </c>
      <c r="AN77" s="23">
        <v>0.111111111111111</v>
      </c>
      <c r="AO77" s="23">
        <v>0</v>
      </c>
      <c r="AP77" s="23">
        <v>0.142857142857143</v>
      </c>
      <c r="AQ77" s="23">
        <v>0.2</v>
      </c>
      <c r="AR77" s="37">
        <v>0.142857142857143</v>
      </c>
      <c r="AS77" s="37">
        <v>8.57142857142857</v>
      </c>
      <c r="AT77" s="37">
        <v>34.4285714285714</v>
      </c>
      <c r="AU77" s="33">
        <f t="shared" si="5"/>
        <v>301</v>
      </c>
      <c r="AV77" s="38">
        <f>IFERROR(时间!$B$4+AU77,"上周无销量")</f>
        <v>43619</v>
      </c>
    </row>
    <row r="78" spans="1:48">
      <c r="A78" s="21" t="s">
        <v>233</v>
      </c>
      <c r="B78" t="s">
        <v>234</v>
      </c>
      <c r="C78" t="s">
        <v>221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32</v>
      </c>
      <c r="J78" s="35">
        <v>0</v>
      </c>
      <c r="K78" s="35">
        <v>0</v>
      </c>
      <c r="L78" s="35">
        <v>0</v>
      </c>
      <c r="M78">
        <v>32</v>
      </c>
      <c r="N78">
        <v>0</v>
      </c>
      <c r="O78">
        <v>32</v>
      </c>
      <c r="P78">
        <v>148</v>
      </c>
      <c r="Q78">
        <v>153</v>
      </c>
      <c r="R78">
        <v>156</v>
      </c>
      <c r="S78">
        <v>128</v>
      </c>
      <c r="T78">
        <v>0</v>
      </c>
      <c r="U78">
        <v>0</v>
      </c>
      <c r="V78">
        <v>0</v>
      </c>
      <c r="W78">
        <v>0</v>
      </c>
      <c r="X78" s="23">
        <v>0</v>
      </c>
      <c r="Y78" s="23">
        <v>0</v>
      </c>
      <c r="Z78" s="23">
        <v>0</v>
      </c>
      <c r="AA78" s="23">
        <v>0</v>
      </c>
      <c r="AB78">
        <v>0</v>
      </c>
      <c r="AC78">
        <v>0</v>
      </c>
      <c r="AD78">
        <v>0</v>
      </c>
      <c r="AE78">
        <v>0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1</v>
      </c>
      <c r="AK78">
        <v>1</v>
      </c>
      <c r="AL78">
        <v>1</v>
      </c>
      <c r="AM78">
        <v>3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32</v>
      </c>
      <c r="AU78" s="33" t="str">
        <f t="shared" si="5"/>
        <v>库存为32</v>
      </c>
      <c r="AV78" s="38" t="str">
        <f>IFERROR(时间!$B$4+AU78,"上周无销量")</f>
        <v>上周无销量</v>
      </c>
    </row>
    <row r="79" spans="1:48">
      <c r="A79" s="21" t="s">
        <v>235</v>
      </c>
      <c r="B79" t="s">
        <v>236</v>
      </c>
      <c r="C79" t="s">
        <v>221</v>
      </c>
      <c r="D79" s="33">
        <v>0</v>
      </c>
      <c r="E79" s="33">
        <v>1</v>
      </c>
      <c r="F79" s="33">
        <v>0</v>
      </c>
      <c r="G79" s="33">
        <v>0</v>
      </c>
      <c r="H79" s="34">
        <v>10</v>
      </c>
      <c r="I79">
        <v>73</v>
      </c>
      <c r="J79" s="35">
        <v>0</v>
      </c>
      <c r="K79" s="35">
        <v>0</v>
      </c>
      <c r="L79" s="35">
        <v>0</v>
      </c>
      <c r="M79">
        <v>73</v>
      </c>
      <c r="N79">
        <v>0</v>
      </c>
      <c r="O79">
        <v>73</v>
      </c>
      <c r="P79">
        <v>558</v>
      </c>
      <c r="Q79">
        <v>337</v>
      </c>
      <c r="R79">
        <v>381</v>
      </c>
      <c r="S79">
        <v>350</v>
      </c>
      <c r="T79">
        <v>2</v>
      </c>
      <c r="U79">
        <v>1</v>
      </c>
      <c r="V79">
        <v>0</v>
      </c>
      <c r="W79">
        <v>2</v>
      </c>
      <c r="X79" s="23">
        <v>0.003584229390681</v>
      </c>
      <c r="Y79" s="23">
        <v>0.0029673590504451</v>
      </c>
      <c r="Z79" s="23">
        <v>0</v>
      </c>
      <c r="AA79" s="23">
        <v>0.00571428571428571</v>
      </c>
      <c r="AB79">
        <v>0.83</v>
      </c>
      <c r="AC79">
        <v>0.25</v>
      </c>
      <c r="AD79">
        <v>0</v>
      </c>
      <c r="AE79">
        <v>0.49</v>
      </c>
      <c r="AF79" s="23" t="s">
        <v>237</v>
      </c>
      <c r="AG79" s="23">
        <v>0.025</v>
      </c>
      <c r="AH79" s="23" t="s">
        <v>54</v>
      </c>
      <c r="AI79" s="23" t="s">
        <v>238</v>
      </c>
      <c r="AJ79">
        <v>3</v>
      </c>
      <c r="AK79">
        <v>4</v>
      </c>
      <c r="AL79">
        <v>0</v>
      </c>
      <c r="AM79">
        <v>3</v>
      </c>
      <c r="AN79" s="23">
        <v>0</v>
      </c>
      <c r="AO79" s="23">
        <v>0.25</v>
      </c>
      <c r="AP79" s="23" t="s">
        <v>54</v>
      </c>
      <c r="AQ79" s="23">
        <v>0</v>
      </c>
      <c r="AR79" s="37">
        <v>0</v>
      </c>
      <c r="AS79" s="37">
        <v>0</v>
      </c>
      <c r="AT79" s="37">
        <v>73</v>
      </c>
      <c r="AU79" s="33" t="str">
        <f t="shared" si="5"/>
        <v>库存为73</v>
      </c>
      <c r="AV79" s="38" t="str">
        <f>IFERROR(时间!$B$4+AU79,"上周无销量")</f>
        <v>上周无销量</v>
      </c>
    </row>
    <row r="80" spans="1:48">
      <c r="A80" s="21" t="s">
        <v>239</v>
      </c>
      <c r="B80" t="s">
        <v>240</v>
      </c>
      <c r="C80" t="s">
        <v>221</v>
      </c>
      <c r="D80" s="33">
        <v>1</v>
      </c>
      <c r="E80" s="33">
        <v>0</v>
      </c>
      <c r="F80" s="33">
        <v>1</v>
      </c>
      <c r="G80" s="33">
        <v>0</v>
      </c>
      <c r="H80" s="34">
        <v>7.99</v>
      </c>
      <c r="I80">
        <v>33</v>
      </c>
      <c r="J80" s="35">
        <v>0</v>
      </c>
      <c r="K80" s="35">
        <v>0</v>
      </c>
      <c r="L80" s="35">
        <v>0</v>
      </c>
      <c r="M80">
        <v>33</v>
      </c>
      <c r="N80">
        <v>0</v>
      </c>
      <c r="O80">
        <v>33</v>
      </c>
      <c r="P80">
        <v>2184</v>
      </c>
      <c r="Q80">
        <v>3685</v>
      </c>
      <c r="R80">
        <v>3420</v>
      </c>
      <c r="S80">
        <v>3052</v>
      </c>
      <c r="T80">
        <v>4</v>
      </c>
      <c r="U80">
        <v>3</v>
      </c>
      <c r="V80">
        <v>1</v>
      </c>
      <c r="W80">
        <v>2</v>
      </c>
      <c r="X80" s="23">
        <v>0.00183150183150183</v>
      </c>
      <c r="Y80" s="23">
        <v>0.000814111261872456</v>
      </c>
      <c r="Z80" s="23">
        <v>0.000292397660818713</v>
      </c>
      <c r="AA80" s="23">
        <v>0.000655307994757536</v>
      </c>
      <c r="AB80">
        <v>0.82</v>
      </c>
      <c r="AC80">
        <v>1.05</v>
      </c>
      <c r="AD80">
        <v>0.08</v>
      </c>
      <c r="AE80">
        <v>0.33</v>
      </c>
      <c r="AF80" s="23">
        <v>0.102628285356696</v>
      </c>
      <c r="AG80" s="23" t="s">
        <v>241</v>
      </c>
      <c r="AH80" s="23">
        <v>0.0100125156445557</v>
      </c>
      <c r="AI80" s="23" t="s">
        <v>242</v>
      </c>
      <c r="AJ80">
        <v>8</v>
      </c>
      <c r="AK80">
        <v>3</v>
      </c>
      <c r="AL80">
        <v>2</v>
      </c>
      <c r="AM80">
        <v>5</v>
      </c>
      <c r="AN80" s="23">
        <v>0.125</v>
      </c>
      <c r="AO80" s="23">
        <v>0</v>
      </c>
      <c r="AP80" s="23">
        <v>0.5</v>
      </c>
      <c r="AQ80" s="23">
        <v>0</v>
      </c>
      <c r="AR80" s="37">
        <v>0.142857142857143</v>
      </c>
      <c r="AS80" s="37">
        <v>8.57142857142857</v>
      </c>
      <c r="AT80" s="37">
        <v>24.4285714285714</v>
      </c>
      <c r="AU80" s="33">
        <f t="shared" si="5"/>
        <v>231</v>
      </c>
      <c r="AV80" s="38">
        <f>IFERROR(时间!$B$4+AU80,"上周无销量")</f>
        <v>43549</v>
      </c>
    </row>
    <row r="81" spans="1:48">
      <c r="A81" s="21" t="s">
        <v>243</v>
      </c>
      <c r="B81" t="s">
        <v>244</v>
      </c>
      <c r="C81" t="s">
        <v>221</v>
      </c>
      <c r="D81" s="33">
        <v>0</v>
      </c>
      <c r="E81" s="33">
        <v>1</v>
      </c>
      <c r="F81" s="33">
        <v>0</v>
      </c>
      <c r="G81" s="33">
        <v>0</v>
      </c>
      <c r="H81" s="34">
        <v>9.99</v>
      </c>
      <c r="I81">
        <v>31</v>
      </c>
      <c r="J81" s="35">
        <v>0</v>
      </c>
      <c r="K81" s="35">
        <v>0</v>
      </c>
      <c r="L81" s="35">
        <v>0</v>
      </c>
      <c r="M81">
        <v>31</v>
      </c>
      <c r="N81">
        <v>0</v>
      </c>
      <c r="O81">
        <v>31</v>
      </c>
      <c r="P81">
        <v>2524</v>
      </c>
      <c r="Q81">
        <v>1919</v>
      </c>
      <c r="R81">
        <v>1206</v>
      </c>
      <c r="S81">
        <v>1070</v>
      </c>
      <c r="T81">
        <v>4</v>
      </c>
      <c r="U81">
        <v>2</v>
      </c>
      <c r="V81">
        <v>5</v>
      </c>
      <c r="W81">
        <v>0</v>
      </c>
      <c r="X81" s="23">
        <v>0.00158478605388273</v>
      </c>
      <c r="Y81" s="23">
        <v>0.00104220948410631</v>
      </c>
      <c r="Z81" s="23">
        <v>0.00414593698175788</v>
      </c>
      <c r="AA81" s="23">
        <v>0</v>
      </c>
      <c r="AB81">
        <v>1.82</v>
      </c>
      <c r="AC81">
        <v>0.94</v>
      </c>
      <c r="AD81">
        <v>2.24</v>
      </c>
      <c r="AE81">
        <v>0</v>
      </c>
      <c r="AF81" s="23" t="s">
        <v>245</v>
      </c>
      <c r="AG81" s="23">
        <v>0.0940940940940941</v>
      </c>
      <c r="AH81" s="23" t="s">
        <v>246</v>
      </c>
      <c r="AI81" s="23" t="s">
        <v>54</v>
      </c>
      <c r="AJ81">
        <v>6</v>
      </c>
      <c r="AK81">
        <v>3</v>
      </c>
      <c r="AL81">
        <v>5</v>
      </c>
      <c r="AM81">
        <v>5</v>
      </c>
      <c r="AN81" s="23">
        <v>0</v>
      </c>
      <c r="AO81" s="23">
        <v>0.333333333333333</v>
      </c>
      <c r="AP81" s="23">
        <v>0</v>
      </c>
      <c r="AQ81" s="23">
        <v>0</v>
      </c>
      <c r="AR81" s="37">
        <v>0</v>
      </c>
      <c r="AS81" s="37">
        <v>0</v>
      </c>
      <c r="AT81" s="37">
        <v>31</v>
      </c>
      <c r="AU81" s="33" t="str">
        <f t="shared" si="5"/>
        <v>库存为31</v>
      </c>
      <c r="AV81" s="38" t="str">
        <f>IFERROR(时间!$B$4+AU81,"上周无销量")</f>
        <v>上周无销量</v>
      </c>
    </row>
    <row r="82" spans="1:48">
      <c r="A82" s="21" t="s">
        <v>247</v>
      </c>
      <c r="B82" t="s">
        <v>248</v>
      </c>
      <c r="C82" t="s">
        <v>221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29</v>
      </c>
      <c r="J82" s="35">
        <v>0</v>
      </c>
      <c r="K82" s="35">
        <v>0</v>
      </c>
      <c r="L82" s="35">
        <v>0</v>
      </c>
      <c r="M82">
        <v>29</v>
      </c>
      <c r="N82">
        <v>0</v>
      </c>
      <c r="O82">
        <v>29</v>
      </c>
      <c r="P82">
        <v>92</v>
      </c>
      <c r="Q82">
        <v>50</v>
      </c>
      <c r="R82">
        <v>69</v>
      </c>
      <c r="S82">
        <v>54</v>
      </c>
      <c r="T82">
        <v>0</v>
      </c>
      <c r="U82">
        <v>0</v>
      </c>
      <c r="V82">
        <v>0</v>
      </c>
      <c r="W82">
        <v>0</v>
      </c>
      <c r="X82" s="23">
        <v>0</v>
      </c>
      <c r="Y82" s="23">
        <v>0</v>
      </c>
      <c r="Z82" s="23">
        <v>0</v>
      </c>
      <c r="AA82" s="23">
        <v>0</v>
      </c>
      <c r="AB82">
        <v>0</v>
      </c>
      <c r="AC82">
        <v>0</v>
      </c>
      <c r="AD82">
        <v>0</v>
      </c>
      <c r="AE82">
        <v>0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1</v>
      </c>
      <c r="AK82">
        <v>2</v>
      </c>
      <c r="AL82">
        <v>2</v>
      </c>
      <c r="AM82">
        <v>2</v>
      </c>
      <c r="AN82" s="23">
        <v>0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29</v>
      </c>
      <c r="AU82" s="33" t="str">
        <f t="shared" si="5"/>
        <v>库存为29</v>
      </c>
      <c r="AV82" s="38" t="str">
        <f>IFERROR(时间!$B$4+AU82,"上周无销量")</f>
        <v>上周无销量</v>
      </c>
    </row>
    <row r="83" spans="1:48">
      <c r="A83" s="21" t="s">
        <v>249</v>
      </c>
      <c r="B83" t="s">
        <v>250</v>
      </c>
      <c r="C83" t="s">
        <v>221</v>
      </c>
      <c r="D83" s="33">
        <v>0</v>
      </c>
      <c r="E83" s="33">
        <v>0</v>
      </c>
      <c r="F83" s="33">
        <v>1</v>
      </c>
      <c r="G83" s="33">
        <v>2</v>
      </c>
      <c r="H83" s="34">
        <v>8.02</v>
      </c>
      <c r="I83">
        <v>25</v>
      </c>
      <c r="J83" s="35">
        <v>0</v>
      </c>
      <c r="K83" s="35">
        <v>0</v>
      </c>
      <c r="L83" s="35">
        <v>0</v>
      </c>
      <c r="M83">
        <v>25</v>
      </c>
      <c r="N83">
        <v>0</v>
      </c>
      <c r="O83">
        <v>24</v>
      </c>
      <c r="P83">
        <v>195</v>
      </c>
      <c r="Q83">
        <v>400</v>
      </c>
      <c r="R83">
        <v>278</v>
      </c>
      <c r="S83">
        <v>146</v>
      </c>
      <c r="T83">
        <v>0</v>
      </c>
      <c r="U83">
        <v>0</v>
      </c>
      <c r="V83">
        <v>0</v>
      </c>
      <c r="W83">
        <v>0</v>
      </c>
      <c r="X83" s="23">
        <v>0</v>
      </c>
      <c r="Y83" s="23">
        <v>0</v>
      </c>
      <c r="Z83" s="23">
        <v>0</v>
      </c>
      <c r="AA83" s="23">
        <v>0</v>
      </c>
      <c r="AB83">
        <v>0</v>
      </c>
      <c r="AC83">
        <v>0</v>
      </c>
      <c r="AD83">
        <v>0</v>
      </c>
      <c r="AE83">
        <v>0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1</v>
      </c>
      <c r="AK83">
        <v>2</v>
      </c>
      <c r="AL83">
        <v>5</v>
      </c>
      <c r="AM83">
        <v>2</v>
      </c>
      <c r="AN83" s="23">
        <v>0</v>
      </c>
      <c r="AO83" s="23">
        <v>0</v>
      </c>
      <c r="AP83" s="23">
        <v>0.2</v>
      </c>
      <c r="AQ83" s="23">
        <v>1</v>
      </c>
      <c r="AR83" s="37">
        <v>0</v>
      </c>
      <c r="AS83" s="37">
        <v>0</v>
      </c>
      <c r="AT83" s="37">
        <v>25</v>
      </c>
      <c r="AU83" s="33" t="str">
        <f t="shared" si="5"/>
        <v>库存为25</v>
      </c>
      <c r="AV83" s="38" t="str">
        <f>IFERROR(时间!$B$4+AU83,"上周无销量")</f>
        <v>上周无销量</v>
      </c>
    </row>
    <row r="84" spans="1:48">
      <c r="A84" s="21" t="s">
        <v>251</v>
      </c>
      <c r="B84" t="s">
        <v>252</v>
      </c>
      <c r="C84" t="s">
        <v>253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25</v>
      </c>
      <c r="J84" s="35">
        <v>0</v>
      </c>
      <c r="K84" s="35">
        <v>0</v>
      </c>
      <c r="L84" s="35">
        <v>0</v>
      </c>
      <c r="M84">
        <v>25</v>
      </c>
      <c r="N84">
        <v>0</v>
      </c>
      <c r="O84">
        <v>25</v>
      </c>
      <c r="P84">
        <v>224</v>
      </c>
      <c r="Q84">
        <v>317</v>
      </c>
      <c r="R84">
        <v>324</v>
      </c>
      <c r="S84">
        <v>223</v>
      </c>
      <c r="T84">
        <v>0</v>
      </c>
      <c r="U84">
        <v>0</v>
      </c>
      <c r="V84">
        <v>0</v>
      </c>
      <c r="W84">
        <v>0</v>
      </c>
      <c r="X84" s="23">
        <v>0</v>
      </c>
      <c r="Y84" s="23">
        <v>0</v>
      </c>
      <c r="Z84" s="23">
        <v>0</v>
      </c>
      <c r="AA84" s="23">
        <v>0</v>
      </c>
      <c r="AB84">
        <v>0</v>
      </c>
      <c r="AC84">
        <v>0</v>
      </c>
      <c r="AD84">
        <v>0</v>
      </c>
      <c r="AE84">
        <v>0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1</v>
      </c>
      <c r="AK84">
        <v>2</v>
      </c>
      <c r="AL84">
        <v>3</v>
      </c>
      <c r="AM84">
        <v>2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25</v>
      </c>
      <c r="AU84" s="33" t="str">
        <f t="shared" si="5"/>
        <v>库存为25</v>
      </c>
      <c r="AV84" s="38" t="str">
        <f>IFERROR(时间!$B$4+AU84,"上周无销量")</f>
        <v>上周无销量</v>
      </c>
    </row>
    <row r="85" spans="1:48">
      <c r="A85" s="21" t="s">
        <v>254</v>
      </c>
      <c r="B85" t="s">
        <v>255</v>
      </c>
      <c r="C85" t="s">
        <v>253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26</v>
      </c>
      <c r="J85" s="35">
        <v>0</v>
      </c>
      <c r="K85" s="35">
        <v>0</v>
      </c>
      <c r="L85" s="35">
        <v>0</v>
      </c>
      <c r="M85">
        <v>26</v>
      </c>
      <c r="N85">
        <v>0</v>
      </c>
      <c r="O85">
        <v>26</v>
      </c>
      <c r="P85">
        <v>2225</v>
      </c>
      <c r="Q85">
        <v>1728</v>
      </c>
      <c r="R85">
        <v>3144</v>
      </c>
      <c r="S85">
        <v>2085</v>
      </c>
      <c r="T85">
        <v>12</v>
      </c>
      <c r="U85">
        <v>6</v>
      </c>
      <c r="V85">
        <v>11</v>
      </c>
      <c r="W85">
        <v>11</v>
      </c>
      <c r="X85" s="23">
        <v>0.00539325842696629</v>
      </c>
      <c r="Y85" s="23">
        <v>0.00347222222222222</v>
      </c>
      <c r="Z85" s="23">
        <v>0.00349872773536896</v>
      </c>
      <c r="AA85" s="23">
        <v>0.0052757793764988</v>
      </c>
      <c r="AB85">
        <v>4.4</v>
      </c>
      <c r="AC85">
        <v>1.67</v>
      </c>
      <c r="AD85">
        <v>3.87</v>
      </c>
      <c r="AE85">
        <v>3.43</v>
      </c>
      <c r="AF85" s="23" t="s">
        <v>256</v>
      </c>
      <c r="AG85" s="23" t="s">
        <v>257</v>
      </c>
      <c r="AH85" s="23" t="s">
        <v>258</v>
      </c>
      <c r="AI85" s="23" t="s">
        <v>259</v>
      </c>
      <c r="AJ85">
        <v>5</v>
      </c>
      <c r="AK85">
        <v>5</v>
      </c>
      <c r="AL85">
        <v>4</v>
      </c>
      <c r="AM85">
        <v>7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26</v>
      </c>
      <c r="AU85" s="33" t="str">
        <f t="shared" si="5"/>
        <v>库存为26</v>
      </c>
      <c r="AV85" s="38" t="str">
        <f>IFERROR(时间!$B$4+AU85,"上周无销量")</f>
        <v>上周无销量</v>
      </c>
    </row>
    <row r="86" spans="1:48">
      <c r="A86" s="21" t="s">
        <v>260</v>
      </c>
      <c r="B86" t="s">
        <v>261</v>
      </c>
      <c r="C86" t="s">
        <v>253</v>
      </c>
      <c r="D86" s="33">
        <v>0</v>
      </c>
      <c r="E86" s="33">
        <v>0</v>
      </c>
      <c r="F86" s="33">
        <v>0</v>
      </c>
      <c r="G86" s="33">
        <v>1</v>
      </c>
      <c r="H86" s="34">
        <v>8.7</v>
      </c>
      <c r="I86">
        <v>32</v>
      </c>
      <c r="J86" s="35">
        <v>0</v>
      </c>
      <c r="K86" s="35">
        <v>0</v>
      </c>
      <c r="L86" s="35">
        <v>0</v>
      </c>
      <c r="M86">
        <v>32</v>
      </c>
      <c r="N86">
        <v>0</v>
      </c>
      <c r="O86">
        <v>32</v>
      </c>
      <c r="P86">
        <v>698</v>
      </c>
      <c r="Q86">
        <v>299</v>
      </c>
      <c r="R86">
        <v>254</v>
      </c>
      <c r="S86">
        <v>199</v>
      </c>
      <c r="T86">
        <v>1</v>
      </c>
      <c r="U86">
        <v>3</v>
      </c>
      <c r="V86">
        <v>1</v>
      </c>
      <c r="W86">
        <v>0</v>
      </c>
      <c r="X86" s="23">
        <v>0.00143266475644699</v>
      </c>
      <c r="Y86" s="23">
        <v>0.0100334448160535</v>
      </c>
      <c r="Z86" s="23">
        <v>0.00393700787401575</v>
      </c>
      <c r="AA86" s="23">
        <v>0</v>
      </c>
      <c r="AB86">
        <v>0.18</v>
      </c>
      <c r="AC86">
        <v>1.2</v>
      </c>
      <c r="AD86">
        <v>0.4</v>
      </c>
      <c r="AE86">
        <v>0</v>
      </c>
      <c r="AF86" s="23" t="s">
        <v>262</v>
      </c>
      <c r="AG86" s="23" t="s">
        <v>263</v>
      </c>
      <c r="AH86" s="23" t="s">
        <v>264</v>
      </c>
      <c r="AI86" s="23" t="s">
        <v>54</v>
      </c>
      <c r="AJ86">
        <v>4</v>
      </c>
      <c r="AK86">
        <v>3</v>
      </c>
      <c r="AL86">
        <v>3</v>
      </c>
      <c r="AM86">
        <v>2</v>
      </c>
      <c r="AN86" s="23">
        <v>0</v>
      </c>
      <c r="AO86" s="23">
        <v>0</v>
      </c>
      <c r="AP86" s="23">
        <v>0</v>
      </c>
      <c r="AQ86" s="23">
        <v>0.5</v>
      </c>
      <c r="AR86" s="37">
        <v>0</v>
      </c>
      <c r="AS86" s="37">
        <v>0</v>
      </c>
      <c r="AT86" s="37">
        <v>32</v>
      </c>
      <c r="AU86" s="33" t="str">
        <f t="shared" si="5"/>
        <v>库存为32</v>
      </c>
      <c r="AV86" s="38" t="str">
        <f>IFERROR(时间!$B$4+AU86,"上周无销量")</f>
        <v>上周无销量</v>
      </c>
    </row>
    <row r="87" spans="1:48">
      <c r="A87" s="21" t="s">
        <v>265</v>
      </c>
      <c r="B87" t="s">
        <v>266</v>
      </c>
      <c r="C87" t="s">
        <v>253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28</v>
      </c>
      <c r="J87" s="35">
        <v>0</v>
      </c>
      <c r="K87" s="35">
        <v>0</v>
      </c>
      <c r="L87" s="35">
        <v>0</v>
      </c>
      <c r="M87">
        <v>28</v>
      </c>
      <c r="N87">
        <v>0</v>
      </c>
      <c r="O87">
        <v>27</v>
      </c>
      <c r="P87">
        <v>281</v>
      </c>
      <c r="Q87">
        <v>240</v>
      </c>
      <c r="R87">
        <v>295</v>
      </c>
      <c r="S87">
        <v>261</v>
      </c>
      <c r="T87">
        <v>1</v>
      </c>
      <c r="U87">
        <v>1</v>
      </c>
      <c r="V87">
        <v>3</v>
      </c>
      <c r="W87">
        <v>0</v>
      </c>
      <c r="X87" s="23">
        <v>0.00355871886120996</v>
      </c>
      <c r="Y87" s="23">
        <v>0.00416666666666667</v>
      </c>
      <c r="Z87" s="23">
        <v>0.0101694915254237</v>
      </c>
      <c r="AA87" s="23">
        <v>0</v>
      </c>
      <c r="AB87">
        <v>0.41</v>
      </c>
      <c r="AC87">
        <v>0.23</v>
      </c>
      <c r="AD87">
        <v>0.72</v>
      </c>
      <c r="AE87">
        <v>0</v>
      </c>
      <c r="AF87" s="23" t="s">
        <v>267</v>
      </c>
      <c r="AG87" s="23" t="s">
        <v>268</v>
      </c>
      <c r="AH87" s="23" t="s">
        <v>269</v>
      </c>
      <c r="AI87" s="23" t="s">
        <v>54</v>
      </c>
      <c r="AJ87">
        <v>1</v>
      </c>
      <c r="AK87">
        <v>4</v>
      </c>
      <c r="AL87">
        <v>2</v>
      </c>
      <c r="AM87">
        <v>0</v>
      </c>
      <c r="AN87" s="23">
        <v>0</v>
      </c>
      <c r="AO87" s="23">
        <v>0</v>
      </c>
      <c r="AP87" s="23">
        <v>0</v>
      </c>
      <c r="AQ87" s="23" t="s">
        <v>54</v>
      </c>
      <c r="AR87" s="37">
        <v>0</v>
      </c>
      <c r="AS87" s="37">
        <v>0</v>
      </c>
      <c r="AT87" s="37">
        <v>28</v>
      </c>
      <c r="AU87" s="33" t="str">
        <f t="shared" si="5"/>
        <v>库存为28</v>
      </c>
      <c r="AV87" s="38" t="str">
        <f>IFERROR(时间!$B$4+AU87,"上周无销量")</f>
        <v>上周无销量</v>
      </c>
    </row>
    <row r="88" spans="1:48">
      <c r="A88" s="21" t="s">
        <v>270</v>
      </c>
      <c r="B88" t="s">
        <v>271</v>
      </c>
      <c r="C88" t="s">
        <v>253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30</v>
      </c>
      <c r="J88" s="35">
        <v>0</v>
      </c>
      <c r="K88" s="35">
        <v>0</v>
      </c>
      <c r="L88" s="35">
        <v>0</v>
      </c>
      <c r="M88">
        <v>30</v>
      </c>
      <c r="N88">
        <v>0</v>
      </c>
      <c r="O88">
        <v>30</v>
      </c>
      <c r="P88">
        <v>1979</v>
      </c>
      <c r="Q88">
        <v>1779</v>
      </c>
      <c r="R88">
        <v>1115</v>
      </c>
      <c r="S88">
        <v>956</v>
      </c>
      <c r="T88">
        <v>4</v>
      </c>
      <c r="U88">
        <v>4</v>
      </c>
      <c r="V88">
        <v>2</v>
      </c>
      <c r="W88">
        <v>1</v>
      </c>
      <c r="X88" s="23">
        <v>0.00202122283981809</v>
      </c>
      <c r="Y88" s="23">
        <v>0.00224845418774592</v>
      </c>
      <c r="Z88" s="23">
        <v>0.00179372197309417</v>
      </c>
      <c r="AA88" s="23">
        <v>0.00104602510460251</v>
      </c>
      <c r="AB88">
        <v>1.87</v>
      </c>
      <c r="AC88">
        <v>1.28</v>
      </c>
      <c r="AD88">
        <v>0.7</v>
      </c>
      <c r="AE88">
        <v>0.39</v>
      </c>
      <c r="AF88" s="23" t="s">
        <v>272</v>
      </c>
      <c r="AG88" s="23" t="s">
        <v>273</v>
      </c>
      <c r="AH88" s="23" t="s">
        <v>274</v>
      </c>
      <c r="AI88" s="23" t="s">
        <v>275</v>
      </c>
      <c r="AJ88">
        <v>3</v>
      </c>
      <c r="AK88">
        <v>4</v>
      </c>
      <c r="AL88">
        <v>4</v>
      </c>
      <c r="AM88">
        <v>1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30</v>
      </c>
      <c r="AU88" s="33" t="str">
        <f t="shared" si="5"/>
        <v>库存为30</v>
      </c>
      <c r="AV88" s="38" t="str">
        <f>IFERROR(时间!$B$4+AU88,"上周无销量")</f>
        <v>上周无销量</v>
      </c>
    </row>
    <row r="89" spans="1:48">
      <c r="A89" s="21" t="s">
        <v>276</v>
      </c>
      <c r="B89" t="s">
        <v>277</v>
      </c>
      <c r="C89" t="s">
        <v>253</v>
      </c>
      <c r="D89" s="33">
        <v>0</v>
      </c>
      <c r="E89" s="33">
        <v>0</v>
      </c>
      <c r="F89" s="33">
        <v>0</v>
      </c>
      <c r="G89" s="33">
        <v>1</v>
      </c>
      <c r="H89" s="34">
        <v>7.97</v>
      </c>
      <c r="I89">
        <v>29</v>
      </c>
      <c r="J89" s="35">
        <v>0</v>
      </c>
      <c r="K89" s="35">
        <v>0</v>
      </c>
      <c r="L89" s="35">
        <v>0</v>
      </c>
      <c r="M89">
        <v>29</v>
      </c>
      <c r="N89">
        <v>0</v>
      </c>
      <c r="O89">
        <v>29</v>
      </c>
      <c r="P89">
        <v>133</v>
      </c>
      <c r="Q89">
        <v>71</v>
      </c>
      <c r="R89">
        <v>34</v>
      </c>
      <c r="S89">
        <v>56</v>
      </c>
      <c r="T89">
        <v>0</v>
      </c>
      <c r="U89">
        <v>0</v>
      </c>
      <c r="V89">
        <v>0</v>
      </c>
      <c r="W89">
        <v>0</v>
      </c>
      <c r="X89" s="23">
        <v>0</v>
      </c>
      <c r="Y89" s="23">
        <v>0</v>
      </c>
      <c r="Z89" s="23">
        <v>0</v>
      </c>
      <c r="AA89" s="23">
        <v>0</v>
      </c>
      <c r="AB89">
        <v>0</v>
      </c>
      <c r="AC89">
        <v>0</v>
      </c>
      <c r="AD89">
        <v>0</v>
      </c>
      <c r="AE89">
        <v>0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3</v>
      </c>
      <c r="AK89">
        <v>3</v>
      </c>
      <c r="AL89">
        <v>4</v>
      </c>
      <c r="AM89">
        <v>1</v>
      </c>
      <c r="AN89" s="23">
        <v>0</v>
      </c>
      <c r="AO89" s="23">
        <v>0</v>
      </c>
      <c r="AP89" s="23">
        <v>0</v>
      </c>
      <c r="AQ89" s="23">
        <v>1</v>
      </c>
      <c r="AR89" s="37">
        <v>0</v>
      </c>
      <c r="AS89" s="37">
        <v>0</v>
      </c>
      <c r="AT89" s="37">
        <v>29</v>
      </c>
      <c r="AU89" s="33" t="str">
        <f t="shared" si="5"/>
        <v>库存为29</v>
      </c>
      <c r="AV89" s="38" t="str">
        <f>IFERROR(时间!$B$4+AU89,"上周无销量")</f>
        <v>上周无销量</v>
      </c>
    </row>
    <row r="90" spans="1:48">
      <c r="A90" s="21" t="s">
        <v>278</v>
      </c>
      <c r="B90" t="s">
        <v>279</v>
      </c>
      <c r="C90" t="s">
        <v>253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11</v>
      </c>
      <c r="J90" s="35">
        <v>0</v>
      </c>
      <c r="K90" s="35">
        <v>0</v>
      </c>
      <c r="L90" s="35">
        <v>0</v>
      </c>
      <c r="M90">
        <v>11</v>
      </c>
      <c r="N90">
        <v>0</v>
      </c>
      <c r="O90">
        <v>9</v>
      </c>
      <c r="P90">
        <v>196</v>
      </c>
      <c r="Q90">
        <v>166</v>
      </c>
      <c r="R90">
        <v>201</v>
      </c>
      <c r="S90">
        <v>304</v>
      </c>
      <c r="T90">
        <v>2</v>
      </c>
      <c r="U90">
        <v>0</v>
      </c>
      <c r="V90">
        <v>2</v>
      </c>
      <c r="W90">
        <v>1</v>
      </c>
      <c r="X90" s="23">
        <v>0.0102040816326531</v>
      </c>
      <c r="Y90" s="23">
        <v>0</v>
      </c>
      <c r="Z90" s="23">
        <v>0.00995024875621891</v>
      </c>
      <c r="AA90" s="23">
        <v>0.00328947368421053</v>
      </c>
      <c r="AB90">
        <v>0.86</v>
      </c>
      <c r="AC90">
        <v>0</v>
      </c>
      <c r="AD90">
        <v>0.82</v>
      </c>
      <c r="AE90">
        <v>0.42</v>
      </c>
      <c r="AF90" s="23" t="s">
        <v>280</v>
      </c>
      <c r="AG90" s="23" t="s">
        <v>54</v>
      </c>
      <c r="AH90" s="23" t="s">
        <v>281</v>
      </c>
      <c r="AI90" s="23" t="s">
        <v>282</v>
      </c>
      <c r="AJ90">
        <v>5</v>
      </c>
      <c r="AK90">
        <v>3</v>
      </c>
      <c r="AL90">
        <v>3</v>
      </c>
      <c r="AM90">
        <v>3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11</v>
      </c>
      <c r="AU90" s="33" t="str">
        <f t="shared" si="5"/>
        <v>库存为11</v>
      </c>
      <c r="AV90" s="38" t="str">
        <f>IFERROR(时间!$B$4+AU90,"上周无销量")</f>
        <v>上周无销量</v>
      </c>
    </row>
    <row r="91" spans="1:48">
      <c r="A91" s="21" t="s">
        <v>283</v>
      </c>
      <c r="B91" t="s">
        <v>284</v>
      </c>
      <c r="C91" t="s">
        <v>253</v>
      </c>
      <c r="D91" s="33">
        <v>0</v>
      </c>
      <c r="E91" s="33">
        <v>0</v>
      </c>
      <c r="F91" s="33">
        <v>0</v>
      </c>
      <c r="G91" s="33">
        <v>1</v>
      </c>
      <c r="H91" s="34">
        <v>9.99</v>
      </c>
      <c r="I91">
        <v>1</v>
      </c>
      <c r="J91" s="35">
        <v>0</v>
      </c>
      <c r="K91" s="35">
        <v>0</v>
      </c>
      <c r="L91" s="35">
        <v>0</v>
      </c>
      <c r="M91">
        <v>1</v>
      </c>
      <c r="N91">
        <v>0</v>
      </c>
      <c r="O91">
        <v>0</v>
      </c>
      <c r="P91">
        <v>1138</v>
      </c>
      <c r="Q91">
        <v>4295</v>
      </c>
      <c r="R91">
        <v>3253</v>
      </c>
      <c r="S91">
        <v>1051</v>
      </c>
      <c r="T91">
        <v>3</v>
      </c>
      <c r="U91">
        <v>7</v>
      </c>
      <c r="V91">
        <v>2</v>
      </c>
      <c r="W91">
        <v>0</v>
      </c>
      <c r="X91" s="23">
        <v>0.00263620386643234</v>
      </c>
      <c r="Y91" s="23">
        <v>0.00162980209545984</v>
      </c>
      <c r="Z91" s="23">
        <v>0.000614817091915155</v>
      </c>
      <c r="AA91" s="23">
        <v>0</v>
      </c>
      <c r="AB91">
        <v>1.16</v>
      </c>
      <c r="AC91">
        <v>2.73</v>
      </c>
      <c r="AD91">
        <v>0.83</v>
      </c>
      <c r="AE91">
        <v>0</v>
      </c>
      <c r="AF91" s="23" t="s">
        <v>285</v>
      </c>
      <c r="AG91" s="23" t="s">
        <v>286</v>
      </c>
      <c r="AH91" s="23" t="s">
        <v>237</v>
      </c>
      <c r="AI91" s="23" t="s">
        <v>54</v>
      </c>
      <c r="AJ91">
        <v>3</v>
      </c>
      <c r="AK91">
        <v>3</v>
      </c>
      <c r="AL91">
        <v>1</v>
      </c>
      <c r="AM91">
        <v>3</v>
      </c>
      <c r="AN91" s="23">
        <v>0</v>
      </c>
      <c r="AO91" s="23">
        <v>0</v>
      </c>
      <c r="AP91" s="23">
        <v>0</v>
      </c>
      <c r="AQ91" s="23">
        <v>0.333333333333333</v>
      </c>
      <c r="AR91" s="37">
        <v>0</v>
      </c>
      <c r="AS91" s="37">
        <v>0</v>
      </c>
      <c r="AT91" s="37">
        <v>1</v>
      </c>
      <c r="AU91" s="33" t="str">
        <f t="shared" si="5"/>
        <v>库存为1</v>
      </c>
      <c r="AV91" s="38" t="str">
        <f>IFERROR(时间!$B$4+AU91,"上周无销量")</f>
        <v>上周无销量</v>
      </c>
    </row>
    <row r="92" spans="1:48">
      <c r="A92" s="21" t="s">
        <v>287</v>
      </c>
      <c r="B92" t="s">
        <v>288</v>
      </c>
      <c r="C92" t="s">
        <v>253</v>
      </c>
      <c r="D92" s="33">
        <v>0</v>
      </c>
      <c r="E92" s="33">
        <v>0</v>
      </c>
      <c r="F92" s="33">
        <v>0</v>
      </c>
      <c r="G92" s="33">
        <v>1</v>
      </c>
      <c r="H92" s="34">
        <v>9.99</v>
      </c>
      <c r="I92">
        <v>21</v>
      </c>
      <c r="J92" s="35">
        <v>0</v>
      </c>
      <c r="K92" s="35">
        <v>0</v>
      </c>
      <c r="L92" s="35">
        <v>0</v>
      </c>
      <c r="M92">
        <v>21</v>
      </c>
      <c r="N92">
        <v>0</v>
      </c>
      <c r="O92">
        <v>20</v>
      </c>
      <c r="P92">
        <v>1792</v>
      </c>
      <c r="Q92">
        <v>1006</v>
      </c>
      <c r="R92">
        <v>542</v>
      </c>
      <c r="S92">
        <v>525</v>
      </c>
      <c r="T92">
        <v>1</v>
      </c>
      <c r="U92">
        <v>0</v>
      </c>
      <c r="V92">
        <v>0</v>
      </c>
      <c r="W92">
        <v>0</v>
      </c>
      <c r="X92" s="23">
        <v>0.000558035714285714</v>
      </c>
      <c r="Y92" s="23">
        <v>0</v>
      </c>
      <c r="Z92" s="23">
        <v>0</v>
      </c>
      <c r="AA92" s="23">
        <v>0</v>
      </c>
      <c r="AB92">
        <v>0.12</v>
      </c>
      <c r="AC92">
        <v>0</v>
      </c>
      <c r="AD92">
        <v>0</v>
      </c>
      <c r="AE92">
        <v>0</v>
      </c>
      <c r="AF92" s="23" t="s">
        <v>289</v>
      </c>
      <c r="AG92" s="23" t="s">
        <v>54</v>
      </c>
      <c r="AH92" s="23" t="s">
        <v>54</v>
      </c>
      <c r="AI92" s="23" t="s">
        <v>54</v>
      </c>
      <c r="AJ92">
        <v>2</v>
      </c>
      <c r="AK92">
        <v>3</v>
      </c>
      <c r="AL92">
        <v>2</v>
      </c>
      <c r="AM92">
        <v>3</v>
      </c>
      <c r="AN92" s="23">
        <v>0</v>
      </c>
      <c r="AO92" s="23">
        <v>0</v>
      </c>
      <c r="AP92" s="23">
        <v>0</v>
      </c>
      <c r="AQ92" s="23">
        <v>0.333333333333333</v>
      </c>
      <c r="AR92" s="37">
        <v>0</v>
      </c>
      <c r="AS92" s="37">
        <v>0</v>
      </c>
      <c r="AT92" s="37">
        <v>21</v>
      </c>
      <c r="AU92" s="33" t="str">
        <f t="shared" si="5"/>
        <v>库存为21</v>
      </c>
      <c r="AV92" s="38" t="str">
        <f>IFERROR(时间!$B$4+AU92,"上周无销量")</f>
        <v>上周无销量</v>
      </c>
    </row>
    <row r="93" spans="1:48">
      <c r="A93" s="21" t="s">
        <v>290</v>
      </c>
      <c r="B93" t="s">
        <v>291</v>
      </c>
      <c r="C93" t="s">
        <v>253</v>
      </c>
      <c r="D93" s="33">
        <v>0</v>
      </c>
      <c r="E93" s="33">
        <v>0</v>
      </c>
      <c r="F93" s="33">
        <v>2</v>
      </c>
      <c r="G93" s="33">
        <v>0</v>
      </c>
      <c r="H93" s="34">
        <v>7.8</v>
      </c>
      <c r="I93">
        <v>23</v>
      </c>
      <c r="J93" s="35">
        <v>0</v>
      </c>
      <c r="K93" s="35">
        <v>0</v>
      </c>
      <c r="L93" s="35">
        <v>0</v>
      </c>
      <c r="M93">
        <v>23</v>
      </c>
      <c r="N93">
        <v>0</v>
      </c>
      <c r="O93">
        <v>23</v>
      </c>
      <c r="P93">
        <v>321</v>
      </c>
      <c r="Q93">
        <v>286</v>
      </c>
      <c r="R93">
        <v>233</v>
      </c>
      <c r="S93">
        <v>152</v>
      </c>
      <c r="T93">
        <v>2</v>
      </c>
      <c r="U93">
        <v>3</v>
      </c>
      <c r="V93">
        <v>1</v>
      </c>
      <c r="W93">
        <v>1</v>
      </c>
      <c r="X93" s="23">
        <v>0.00623052959501558</v>
      </c>
      <c r="Y93" s="23">
        <v>0.0104895104895105</v>
      </c>
      <c r="Z93" s="23">
        <v>0.00429184549356223</v>
      </c>
      <c r="AA93" s="23">
        <v>0.00657894736842105</v>
      </c>
      <c r="AB93">
        <v>0.75</v>
      </c>
      <c r="AC93">
        <v>1.23</v>
      </c>
      <c r="AD93">
        <v>0.47</v>
      </c>
      <c r="AE93">
        <v>0.44</v>
      </c>
      <c r="AF93" s="23" t="s">
        <v>292</v>
      </c>
      <c r="AG93" s="23" t="s">
        <v>293</v>
      </c>
      <c r="AH93" s="23">
        <v>0.0301282051282051</v>
      </c>
      <c r="AI93" s="23" t="s">
        <v>294</v>
      </c>
      <c r="AJ93">
        <v>2</v>
      </c>
      <c r="AK93">
        <v>2</v>
      </c>
      <c r="AL93">
        <v>3</v>
      </c>
      <c r="AM93">
        <v>0</v>
      </c>
      <c r="AN93" s="23">
        <v>0</v>
      </c>
      <c r="AO93" s="23">
        <v>0</v>
      </c>
      <c r="AP93" s="23">
        <v>0.666666666666667</v>
      </c>
      <c r="AQ93" s="23" t="s">
        <v>54</v>
      </c>
      <c r="AR93" s="37">
        <v>0</v>
      </c>
      <c r="AS93" s="37">
        <v>0</v>
      </c>
      <c r="AT93" s="37">
        <v>23</v>
      </c>
      <c r="AU93" s="33" t="str">
        <f t="shared" si="5"/>
        <v>库存为23</v>
      </c>
      <c r="AV93" s="38" t="str">
        <f>IFERROR(时间!$B$4+AU93,"上周无销量")</f>
        <v>上周无销量</v>
      </c>
    </row>
    <row r="94" spans="1:48">
      <c r="A94" s="21" t="s">
        <v>295</v>
      </c>
      <c r="B94" t="s">
        <v>296</v>
      </c>
      <c r="C94" t="s">
        <v>253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29</v>
      </c>
      <c r="J94" s="35">
        <v>0</v>
      </c>
      <c r="K94" s="35">
        <v>0</v>
      </c>
      <c r="L94" s="35">
        <v>0</v>
      </c>
      <c r="M94">
        <v>29</v>
      </c>
      <c r="N94">
        <v>0</v>
      </c>
      <c r="O94">
        <v>29</v>
      </c>
      <c r="P94">
        <v>516</v>
      </c>
      <c r="Q94">
        <v>769</v>
      </c>
      <c r="R94">
        <v>300</v>
      </c>
      <c r="S94">
        <v>90</v>
      </c>
      <c r="T94">
        <v>0</v>
      </c>
      <c r="U94">
        <v>0</v>
      </c>
      <c r="V94">
        <v>0</v>
      </c>
      <c r="W94">
        <v>0</v>
      </c>
      <c r="X94" s="23">
        <v>0</v>
      </c>
      <c r="Y94" s="23">
        <v>0</v>
      </c>
      <c r="Z94" s="23">
        <v>0</v>
      </c>
      <c r="AA94" s="23">
        <v>0</v>
      </c>
      <c r="AB94">
        <v>0</v>
      </c>
      <c r="AC94">
        <v>0</v>
      </c>
      <c r="AD94">
        <v>0</v>
      </c>
      <c r="AE94">
        <v>0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4</v>
      </c>
      <c r="AK94">
        <v>2</v>
      </c>
      <c r="AL94">
        <v>2</v>
      </c>
      <c r="AM94">
        <v>0</v>
      </c>
      <c r="AN94" s="23">
        <v>0</v>
      </c>
      <c r="AO94" s="23">
        <v>0</v>
      </c>
      <c r="AP94" s="23">
        <v>0</v>
      </c>
      <c r="AQ94" s="23" t="s">
        <v>54</v>
      </c>
      <c r="AR94" s="37">
        <v>0</v>
      </c>
      <c r="AS94" s="37">
        <v>0</v>
      </c>
      <c r="AT94" s="37">
        <v>29</v>
      </c>
      <c r="AU94" s="33" t="str">
        <f t="shared" si="5"/>
        <v>库存为29</v>
      </c>
      <c r="AV94" s="38" t="str">
        <f>IFERROR(时间!$B$4+AU94,"上周无销量")</f>
        <v>上周无销量</v>
      </c>
    </row>
    <row r="95" spans="1:48">
      <c r="A95" s="21" t="s">
        <v>297</v>
      </c>
      <c r="B95" t="s">
        <v>298</v>
      </c>
      <c r="C95" t="s">
        <v>253</v>
      </c>
      <c r="D95" s="33">
        <v>0</v>
      </c>
      <c r="E95" s="33">
        <v>0</v>
      </c>
      <c r="F95" s="33">
        <v>0</v>
      </c>
      <c r="G95" s="33">
        <v>1</v>
      </c>
      <c r="H95" s="34">
        <v>7.99</v>
      </c>
      <c r="I95">
        <v>30</v>
      </c>
      <c r="J95" s="35">
        <v>0</v>
      </c>
      <c r="K95" s="35">
        <v>0</v>
      </c>
      <c r="L95" s="35">
        <v>0</v>
      </c>
      <c r="M95">
        <v>30</v>
      </c>
      <c r="N95">
        <v>0</v>
      </c>
      <c r="O95">
        <v>31</v>
      </c>
      <c r="P95">
        <v>691</v>
      </c>
      <c r="Q95">
        <v>243</v>
      </c>
      <c r="R95">
        <v>194</v>
      </c>
      <c r="S95">
        <v>167</v>
      </c>
      <c r="T95">
        <v>2</v>
      </c>
      <c r="U95">
        <v>1</v>
      </c>
      <c r="V95">
        <v>2</v>
      </c>
      <c r="W95">
        <v>0</v>
      </c>
      <c r="X95" s="23">
        <v>0.00289435600578871</v>
      </c>
      <c r="Y95" s="23">
        <v>0.00411522633744856</v>
      </c>
      <c r="Z95" s="23">
        <v>0.0103092783505155</v>
      </c>
      <c r="AA95" s="23">
        <v>0</v>
      </c>
      <c r="AB95">
        <v>0.86</v>
      </c>
      <c r="AC95">
        <v>0.02</v>
      </c>
      <c r="AD95">
        <v>0.69</v>
      </c>
      <c r="AE95">
        <v>0</v>
      </c>
      <c r="AF95" s="23" t="s">
        <v>280</v>
      </c>
      <c r="AG95" s="23" t="s">
        <v>299</v>
      </c>
      <c r="AH95" s="23" t="s">
        <v>300</v>
      </c>
      <c r="AI95" s="23" t="s">
        <v>54</v>
      </c>
      <c r="AJ95">
        <v>4</v>
      </c>
      <c r="AK95">
        <v>5</v>
      </c>
      <c r="AL95">
        <v>6</v>
      </c>
      <c r="AM95">
        <v>3</v>
      </c>
      <c r="AN95" s="23">
        <v>0</v>
      </c>
      <c r="AO95" s="23">
        <v>0</v>
      </c>
      <c r="AP95" s="23">
        <v>0</v>
      </c>
      <c r="AQ95" s="23">
        <v>0.333333333333333</v>
      </c>
      <c r="AR95" s="37">
        <v>0</v>
      </c>
      <c r="AS95" s="37">
        <v>0</v>
      </c>
      <c r="AT95" s="37">
        <v>30</v>
      </c>
      <c r="AU95" s="33" t="str">
        <f t="shared" si="5"/>
        <v>库存为30</v>
      </c>
      <c r="AV95" s="38" t="str">
        <f>IFERROR(时间!$B$4+AU95,"上周无销量")</f>
        <v>上周无销量</v>
      </c>
    </row>
    <row r="96" spans="1:48">
      <c r="A96" s="21" t="s">
        <v>301</v>
      </c>
      <c r="B96" t="s">
        <v>302</v>
      </c>
      <c r="C96" t="s">
        <v>253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32</v>
      </c>
      <c r="J96" s="35">
        <v>0</v>
      </c>
      <c r="K96" s="35">
        <v>0</v>
      </c>
      <c r="L96" s="35">
        <v>0</v>
      </c>
      <c r="M96">
        <v>32</v>
      </c>
      <c r="N96">
        <v>0</v>
      </c>
      <c r="O96">
        <v>32</v>
      </c>
      <c r="P96">
        <v>563</v>
      </c>
      <c r="Q96">
        <v>439</v>
      </c>
      <c r="R96">
        <v>349</v>
      </c>
      <c r="S96">
        <v>485</v>
      </c>
      <c r="T96">
        <v>0</v>
      </c>
      <c r="U96">
        <v>1</v>
      </c>
      <c r="V96">
        <v>1</v>
      </c>
      <c r="W96">
        <v>0</v>
      </c>
      <c r="X96" s="23">
        <v>0</v>
      </c>
      <c r="Y96" s="23">
        <v>0.00227790432801822</v>
      </c>
      <c r="Z96" s="23">
        <v>0.00286532951289398</v>
      </c>
      <c r="AA96" s="23">
        <v>0</v>
      </c>
      <c r="AB96">
        <v>0</v>
      </c>
      <c r="AC96">
        <v>0.05</v>
      </c>
      <c r="AD96">
        <v>0.44</v>
      </c>
      <c r="AE96">
        <v>0</v>
      </c>
      <c r="AF96" s="23" t="s">
        <v>54</v>
      </c>
      <c r="AG96" s="23" t="s">
        <v>303</v>
      </c>
      <c r="AH96" s="23" t="s">
        <v>294</v>
      </c>
      <c r="AI96" s="23" t="s">
        <v>54</v>
      </c>
      <c r="AJ96">
        <v>3</v>
      </c>
      <c r="AK96">
        <v>2</v>
      </c>
      <c r="AL96">
        <v>1</v>
      </c>
      <c r="AM96">
        <v>3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32</v>
      </c>
      <c r="AU96" s="33" t="str">
        <f t="shared" si="5"/>
        <v>库存为32</v>
      </c>
      <c r="AV96" s="38" t="str">
        <f>IFERROR(时间!$B$4+AU96,"上周无销量")</f>
        <v>上周无销量</v>
      </c>
    </row>
    <row r="97" spans="1:48">
      <c r="A97" s="21" t="s">
        <v>304</v>
      </c>
      <c r="B97" t="s">
        <v>305</v>
      </c>
      <c r="C97" t="s">
        <v>253</v>
      </c>
      <c r="D97" s="33">
        <v>0</v>
      </c>
      <c r="E97" s="33">
        <v>0</v>
      </c>
      <c r="F97" s="33">
        <v>1</v>
      </c>
      <c r="G97" s="33">
        <v>0</v>
      </c>
      <c r="H97" s="34">
        <v>8.71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2492</v>
      </c>
      <c r="Q97">
        <v>2779</v>
      </c>
      <c r="R97">
        <v>1966</v>
      </c>
      <c r="S97">
        <v>1627</v>
      </c>
      <c r="T97">
        <v>2</v>
      </c>
      <c r="U97">
        <v>2</v>
      </c>
      <c r="V97">
        <v>0</v>
      </c>
      <c r="W97">
        <v>0</v>
      </c>
      <c r="X97" s="23">
        <v>0.000802568218298555</v>
      </c>
      <c r="Y97" s="23">
        <v>0.000719683339330694</v>
      </c>
      <c r="Z97" s="23">
        <v>0</v>
      </c>
      <c r="AA97" s="23">
        <v>0</v>
      </c>
      <c r="AB97">
        <v>1.24</v>
      </c>
      <c r="AC97">
        <v>0.67</v>
      </c>
      <c r="AD97">
        <v>0</v>
      </c>
      <c r="AE97">
        <v>0</v>
      </c>
      <c r="AF97" s="23" t="s">
        <v>215</v>
      </c>
      <c r="AG97" s="23" t="s">
        <v>306</v>
      </c>
      <c r="AH97" s="23" t="s">
        <v>54</v>
      </c>
      <c r="AI97" s="23" t="s">
        <v>54</v>
      </c>
      <c r="AJ97">
        <v>2</v>
      </c>
      <c r="AK97">
        <v>5</v>
      </c>
      <c r="AL97">
        <v>7</v>
      </c>
      <c r="AM97">
        <v>4</v>
      </c>
      <c r="AN97" s="23">
        <v>0</v>
      </c>
      <c r="AO97" s="23">
        <v>0</v>
      </c>
      <c r="AP97" s="23">
        <v>0.142857142857143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307</v>
      </c>
      <c r="B98" t="s">
        <v>308</v>
      </c>
      <c r="C98" t="s">
        <v>253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29</v>
      </c>
      <c r="J98" s="35">
        <v>0</v>
      </c>
      <c r="K98" s="35">
        <v>0</v>
      </c>
      <c r="L98" s="35">
        <v>0</v>
      </c>
      <c r="M98">
        <v>29</v>
      </c>
      <c r="N98">
        <v>0</v>
      </c>
      <c r="O98">
        <v>29</v>
      </c>
      <c r="P98">
        <v>33</v>
      </c>
      <c r="Q98">
        <v>169</v>
      </c>
      <c r="R98">
        <v>119</v>
      </c>
      <c r="S98">
        <v>59</v>
      </c>
      <c r="T98">
        <v>0</v>
      </c>
      <c r="U98">
        <v>0</v>
      </c>
      <c r="V98">
        <v>0</v>
      </c>
      <c r="W98">
        <v>0</v>
      </c>
      <c r="X98" s="23">
        <v>0</v>
      </c>
      <c r="Y98" s="23">
        <v>0</v>
      </c>
      <c r="Z98" s="23">
        <v>0</v>
      </c>
      <c r="AA98" s="23">
        <v>0</v>
      </c>
      <c r="AB98">
        <v>0</v>
      </c>
      <c r="AC98">
        <v>0</v>
      </c>
      <c r="AD98">
        <v>0</v>
      </c>
      <c r="AE98">
        <v>0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1</v>
      </c>
      <c r="AK98">
        <v>2</v>
      </c>
      <c r="AL98">
        <v>3</v>
      </c>
      <c r="AM98">
        <v>0</v>
      </c>
      <c r="AN98" s="23">
        <v>0</v>
      </c>
      <c r="AO98" s="23">
        <v>0</v>
      </c>
      <c r="AP98" s="23">
        <v>0</v>
      </c>
      <c r="AQ98" s="23" t="s">
        <v>54</v>
      </c>
      <c r="AR98" s="37">
        <v>0</v>
      </c>
      <c r="AS98" s="37">
        <v>0</v>
      </c>
      <c r="AT98" s="37">
        <v>29</v>
      </c>
      <c r="AU98" s="33" t="str">
        <f t="shared" si="5"/>
        <v>库存为29</v>
      </c>
      <c r="AV98" s="38" t="str">
        <f>IFERROR(时间!$B$4+AU98,"上周无销量")</f>
        <v>上周无销量</v>
      </c>
    </row>
    <row r="99" spans="1:48">
      <c r="A99" s="21" t="s">
        <v>309</v>
      </c>
      <c r="B99" t="s">
        <v>310</v>
      </c>
      <c r="C99" t="s">
        <v>311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2</v>
      </c>
      <c r="J99" s="35">
        <v>0</v>
      </c>
      <c r="K99" s="35">
        <v>0</v>
      </c>
      <c r="L99" s="35">
        <v>0</v>
      </c>
      <c r="M99">
        <v>2</v>
      </c>
      <c r="N99">
        <v>0</v>
      </c>
      <c r="O99">
        <v>2</v>
      </c>
      <c r="P99">
        <v>3181</v>
      </c>
      <c r="Q99">
        <v>3730</v>
      </c>
      <c r="R99">
        <v>4216</v>
      </c>
      <c r="S99">
        <v>1483</v>
      </c>
      <c r="T99">
        <v>36</v>
      </c>
      <c r="U99">
        <v>26</v>
      </c>
      <c r="V99">
        <v>27</v>
      </c>
      <c r="W99">
        <v>13</v>
      </c>
      <c r="X99" s="23">
        <v>0.0113171958503615</v>
      </c>
      <c r="Y99" s="23">
        <v>0.00697050938337802</v>
      </c>
      <c r="Z99" s="23">
        <v>0.00640417457305503</v>
      </c>
      <c r="AA99" s="23">
        <v>0.00876601483479434</v>
      </c>
      <c r="AB99">
        <v>10.59</v>
      </c>
      <c r="AC99">
        <v>6.96</v>
      </c>
      <c r="AD99">
        <v>7.97</v>
      </c>
      <c r="AE99">
        <v>3.51</v>
      </c>
      <c r="AF99" s="23" t="s">
        <v>312</v>
      </c>
      <c r="AG99" s="23" t="s">
        <v>313</v>
      </c>
      <c r="AH99" s="23" t="s">
        <v>314</v>
      </c>
      <c r="AI99" s="23" t="s">
        <v>315</v>
      </c>
      <c r="AJ99">
        <v>8</v>
      </c>
      <c r="AK99">
        <v>10</v>
      </c>
      <c r="AL99">
        <v>8</v>
      </c>
      <c r="AM99">
        <v>3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2</v>
      </c>
      <c r="AU99" s="33" t="str">
        <f t="shared" si="5"/>
        <v>库存为2</v>
      </c>
      <c r="AV99" s="38" t="str">
        <f>IFERROR(时间!$B$4+AU99,"上周无销量")</f>
        <v>上周无销量</v>
      </c>
    </row>
    <row r="100" spans="1:48">
      <c r="A100" s="21" t="s">
        <v>316</v>
      </c>
      <c r="B100" t="s">
        <v>317</v>
      </c>
      <c r="C100" t="s">
        <v>311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90</v>
      </c>
      <c r="Q100">
        <v>73</v>
      </c>
      <c r="R100">
        <v>57</v>
      </c>
      <c r="S100">
        <v>10</v>
      </c>
      <c r="T100">
        <v>0</v>
      </c>
      <c r="U100">
        <v>0</v>
      </c>
      <c r="V100">
        <v>0</v>
      </c>
      <c r="W100">
        <v>0</v>
      </c>
      <c r="X100" s="23">
        <v>0</v>
      </c>
      <c r="Y100" s="23">
        <v>0</v>
      </c>
      <c r="Z100" s="23">
        <v>0</v>
      </c>
      <c r="AA100" s="23">
        <v>0</v>
      </c>
      <c r="AB100">
        <v>0</v>
      </c>
      <c r="AC100">
        <v>0</v>
      </c>
      <c r="AD100">
        <v>0</v>
      </c>
      <c r="AE100">
        <v>0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3</v>
      </c>
      <c r="AK100">
        <v>1</v>
      </c>
      <c r="AL100">
        <v>2</v>
      </c>
      <c r="AM100">
        <v>3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318</v>
      </c>
      <c r="B101" t="s">
        <v>319</v>
      </c>
      <c r="C101" t="s">
        <v>320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81</v>
      </c>
      <c r="Q101">
        <v>102</v>
      </c>
      <c r="R101">
        <v>100</v>
      </c>
      <c r="S101">
        <v>26</v>
      </c>
      <c r="T101">
        <v>0</v>
      </c>
      <c r="U101">
        <v>1</v>
      </c>
      <c r="V101">
        <v>0</v>
      </c>
      <c r="W101">
        <v>0</v>
      </c>
      <c r="X101" s="23">
        <v>0</v>
      </c>
      <c r="Y101" s="23">
        <v>0.00980392156862745</v>
      </c>
      <c r="Z101" s="23">
        <v>0</v>
      </c>
      <c r="AA101" s="23">
        <v>0</v>
      </c>
      <c r="AB101">
        <v>0</v>
      </c>
      <c r="AC101">
        <v>0.6</v>
      </c>
      <c r="AD101">
        <v>0</v>
      </c>
      <c r="AE101">
        <v>0</v>
      </c>
      <c r="AF101" s="23" t="s">
        <v>54</v>
      </c>
      <c r="AG101" s="23" t="s">
        <v>321</v>
      </c>
      <c r="AH101" s="23" t="s">
        <v>54</v>
      </c>
      <c r="AI101" s="23" t="s">
        <v>54</v>
      </c>
      <c r="AJ101">
        <v>0</v>
      </c>
      <c r="AK101">
        <v>3</v>
      </c>
      <c r="AL101">
        <v>0</v>
      </c>
      <c r="AM101">
        <v>4</v>
      </c>
      <c r="AN101" s="23" t="s">
        <v>54</v>
      </c>
      <c r="AO101" s="23">
        <v>0</v>
      </c>
      <c r="AP101" s="23" t="s">
        <v>54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322</v>
      </c>
      <c r="B102" t="s">
        <v>323</v>
      </c>
      <c r="C102" t="s">
        <v>324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5061</v>
      </c>
      <c r="Q102">
        <v>3316</v>
      </c>
      <c r="R102">
        <v>2516</v>
      </c>
      <c r="S102">
        <v>463</v>
      </c>
      <c r="T102">
        <v>9</v>
      </c>
      <c r="U102">
        <v>11</v>
      </c>
      <c r="V102">
        <v>6</v>
      </c>
      <c r="W102">
        <v>3</v>
      </c>
      <c r="X102" s="23">
        <v>0.001778304682869</v>
      </c>
      <c r="Y102" s="23">
        <v>0.00331724969843185</v>
      </c>
      <c r="Z102" s="23">
        <v>0.00238473767885533</v>
      </c>
      <c r="AA102" s="23">
        <v>0.00647948164146868</v>
      </c>
      <c r="AB102">
        <v>2.56</v>
      </c>
      <c r="AC102">
        <v>3.27</v>
      </c>
      <c r="AD102">
        <v>1.2</v>
      </c>
      <c r="AE102">
        <v>0.71</v>
      </c>
      <c r="AF102" s="23" t="s">
        <v>325</v>
      </c>
      <c r="AG102" s="23" t="s">
        <v>326</v>
      </c>
      <c r="AH102" s="23" t="s">
        <v>263</v>
      </c>
      <c r="AI102" s="23" t="s">
        <v>327</v>
      </c>
      <c r="AJ102">
        <v>10</v>
      </c>
      <c r="AK102">
        <v>5</v>
      </c>
      <c r="AL102">
        <v>2</v>
      </c>
      <c r="AM102">
        <v>3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328</v>
      </c>
      <c r="B103" t="s">
        <v>329</v>
      </c>
      <c r="C103" t="s">
        <v>324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8</v>
      </c>
      <c r="J103" s="35">
        <v>0</v>
      </c>
      <c r="K103" s="35">
        <v>0</v>
      </c>
      <c r="L103" s="35">
        <v>0</v>
      </c>
      <c r="M103">
        <v>8</v>
      </c>
      <c r="N103">
        <v>0</v>
      </c>
      <c r="O103">
        <v>8</v>
      </c>
      <c r="P103">
        <v>6</v>
      </c>
      <c r="Q103">
        <v>16</v>
      </c>
      <c r="R103">
        <v>15</v>
      </c>
      <c r="S103">
        <v>2</v>
      </c>
      <c r="T103">
        <v>0</v>
      </c>
      <c r="U103">
        <v>0</v>
      </c>
      <c r="V103">
        <v>0</v>
      </c>
      <c r="W103">
        <v>0</v>
      </c>
      <c r="X103" s="23">
        <v>0</v>
      </c>
      <c r="Y103" s="23">
        <v>0</v>
      </c>
      <c r="Z103" s="23">
        <v>0</v>
      </c>
      <c r="AA103" s="23">
        <v>0</v>
      </c>
      <c r="AB103">
        <v>0</v>
      </c>
      <c r="AC103">
        <v>0</v>
      </c>
      <c r="AD103">
        <v>0</v>
      </c>
      <c r="AE103">
        <v>0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1</v>
      </c>
      <c r="AK103">
        <v>2</v>
      </c>
      <c r="AL103">
        <v>9</v>
      </c>
      <c r="AM103">
        <v>3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8</v>
      </c>
      <c r="AU103" s="33" t="str">
        <f t="shared" si="5"/>
        <v>库存为8</v>
      </c>
      <c r="AV103" s="38" t="str">
        <f>IFERROR(时间!$B$4+AU103,"上周无销量")</f>
        <v>上周无销量</v>
      </c>
    </row>
    <row r="104" spans="1:48">
      <c r="A104" s="21" t="s">
        <v>330</v>
      </c>
      <c r="B104" t="s">
        <v>331</v>
      </c>
      <c r="C104" t="s">
        <v>324</v>
      </c>
      <c r="D104" s="33">
        <v>0</v>
      </c>
      <c r="E104" s="33">
        <v>0</v>
      </c>
      <c r="F104" s="33">
        <v>1</v>
      </c>
      <c r="G104" s="33">
        <v>0</v>
      </c>
      <c r="H104" s="34">
        <v>11.9</v>
      </c>
      <c r="I104">
        <v>15</v>
      </c>
      <c r="J104" s="35">
        <v>0</v>
      </c>
      <c r="K104" s="35">
        <v>0</v>
      </c>
      <c r="L104" s="35">
        <v>0</v>
      </c>
      <c r="M104">
        <v>15</v>
      </c>
      <c r="N104">
        <v>0</v>
      </c>
      <c r="O104">
        <v>15</v>
      </c>
      <c r="P104">
        <v>1113</v>
      </c>
      <c r="Q104">
        <v>1117</v>
      </c>
      <c r="R104">
        <v>1292</v>
      </c>
      <c r="S104">
        <v>362</v>
      </c>
      <c r="T104">
        <v>9</v>
      </c>
      <c r="U104">
        <v>8</v>
      </c>
      <c r="V104">
        <v>18</v>
      </c>
      <c r="W104">
        <v>5</v>
      </c>
      <c r="X104" s="23">
        <v>0.00808625336927224</v>
      </c>
      <c r="Y104" s="23">
        <v>0.00716204118173679</v>
      </c>
      <c r="Z104" s="23">
        <v>0.0139318885448916</v>
      </c>
      <c r="AA104" s="23">
        <v>0.0138121546961326</v>
      </c>
      <c r="AB104">
        <v>2.56</v>
      </c>
      <c r="AC104">
        <v>2.52</v>
      </c>
      <c r="AD104">
        <v>5.36</v>
      </c>
      <c r="AE104">
        <v>2</v>
      </c>
      <c r="AF104" s="23" t="s">
        <v>325</v>
      </c>
      <c r="AG104" s="23" t="s">
        <v>332</v>
      </c>
      <c r="AH104" s="23">
        <v>0.450420168067227</v>
      </c>
      <c r="AI104" s="23" t="s">
        <v>333</v>
      </c>
      <c r="AJ104">
        <v>9</v>
      </c>
      <c r="AK104">
        <v>3</v>
      </c>
      <c r="AL104">
        <v>13</v>
      </c>
      <c r="AM104">
        <v>6</v>
      </c>
      <c r="AN104" s="23">
        <v>0</v>
      </c>
      <c r="AO104" s="23">
        <v>0</v>
      </c>
      <c r="AP104" s="23">
        <v>0.0769230769230769</v>
      </c>
      <c r="AQ104" s="23">
        <v>0</v>
      </c>
      <c r="AR104" s="37">
        <v>0</v>
      </c>
      <c r="AS104" s="37">
        <v>0</v>
      </c>
      <c r="AT104" s="37">
        <v>15</v>
      </c>
      <c r="AU104" s="33" t="str">
        <f t="shared" si="5"/>
        <v>库存为15</v>
      </c>
      <c r="AV104" s="38" t="str">
        <f>IFERROR(时间!$B$4+AU104,"上周无销量")</f>
        <v>上周无销量</v>
      </c>
    </row>
    <row r="105" spans="1:48">
      <c r="A105" s="21" t="s">
        <v>334</v>
      </c>
      <c r="B105" t="s">
        <v>335</v>
      </c>
      <c r="C105" t="s">
        <v>324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>
        <v>34</v>
      </c>
      <c r="Q105">
        <v>52</v>
      </c>
      <c r="R105">
        <v>50</v>
      </c>
      <c r="S105">
        <v>17</v>
      </c>
      <c r="T105">
        <v>0</v>
      </c>
      <c r="U105">
        <v>0</v>
      </c>
      <c r="V105">
        <v>0</v>
      </c>
      <c r="W105">
        <v>0</v>
      </c>
      <c r="X105" s="23">
        <v>0</v>
      </c>
      <c r="Y105" s="23">
        <v>0</v>
      </c>
      <c r="Z105" s="23">
        <v>0</v>
      </c>
      <c r="AA105" s="23">
        <v>0</v>
      </c>
      <c r="AB105">
        <v>0</v>
      </c>
      <c r="AC105">
        <v>0</v>
      </c>
      <c r="AD105">
        <v>0</v>
      </c>
      <c r="AE105">
        <v>0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2</v>
      </c>
      <c r="AK105">
        <v>1</v>
      </c>
      <c r="AL105">
        <v>0</v>
      </c>
      <c r="AM105">
        <v>3</v>
      </c>
      <c r="AN105" s="23">
        <v>0</v>
      </c>
      <c r="AO105" s="23">
        <v>0</v>
      </c>
      <c r="AP105" s="23" t="s">
        <v>54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5"/>
        <v>库存为1</v>
      </c>
      <c r="AV105" s="38" t="str">
        <f>IFERROR(时间!$B$4+AU105,"上周无销量")</f>
        <v>上周无销量</v>
      </c>
    </row>
    <row r="106" spans="1:48">
      <c r="A106" s="21" t="s">
        <v>336</v>
      </c>
      <c r="B106" t="s">
        <v>337</v>
      </c>
      <c r="C106" t="s">
        <v>324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4</v>
      </c>
      <c r="J106" s="35">
        <v>0</v>
      </c>
      <c r="K106" s="35">
        <v>0</v>
      </c>
      <c r="L106" s="35">
        <v>0</v>
      </c>
      <c r="M106">
        <v>4</v>
      </c>
      <c r="N106">
        <v>0</v>
      </c>
      <c r="O106">
        <v>4</v>
      </c>
      <c r="P106">
        <v>29</v>
      </c>
      <c r="Q106">
        <v>35</v>
      </c>
      <c r="R106">
        <v>34</v>
      </c>
      <c r="S106">
        <v>12</v>
      </c>
      <c r="T106">
        <v>0</v>
      </c>
      <c r="U106">
        <v>1</v>
      </c>
      <c r="V106">
        <v>0</v>
      </c>
      <c r="W106">
        <v>0</v>
      </c>
      <c r="X106" s="23">
        <v>0</v>
      </c>
      <c r="Y106" s="23">
        <v>0.0285714285714286</v>
      </c>
      <c r="Z106" s="23">
        <v>0</v>
      </c>
      <c r="AA106" s="23">
        <v>0</v>
      </c>
      <c r="AB106">
        <v>0</v>
      </c>
      <c r="AC106">
        <v>0.23</v>
      </c>
      <c r="AD106">
        <v>0</v>
      </c>
      <c r="AE106">
        <v>0</v>
      </c>
      <c r="AF106" s="23" t="s">
        <v>54</v>
      </c>
      <c r="AG106" s="23" t="s">
        <v>268</v>
      </c>
      <c r="AH106" s="23" t="s">
        <v>54</v>
      </c>
      <c r="AI106" s="23" t="s">
        <v>54</v>
      </c>
      <c r="AJ106">
        <v>3</v>
      </c>
      <c r="AK106">
        <v>2</v>
      </c>
      <c r="AL106">
        <v>1</v>
      </c>
      <c r="AM106">
        <v>5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4</v>
      </c>
      <c r="AU106" s="33" t="str">
        <f t="shared" si="5"/>
        <v>库存为4</v>
      </c>
      <c r="AV106" s="38" t="str">
        <f>IFERROR(时间!$B$4+AU106,"上周无销量")</f>
        <v>上周无销量</v>
      </c>
    </row>
    <row r="107" spans="1:48">
      <c r="A107" s="21" t="s">
        <v>338</v>
      </c>
      <c r="B107" t="s">
        <v>339</v>
      </c>
      <c r="C107" t="s">
        <v>324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8</v>
      </c>
      <c r="J107" s="35">
        <v>0</v>
      </c>
      <c r="K107" s="35">
        <v>0</v>
      </c>
      <c r="L107" s="35">
        <v>0</v>
      </c>
      <c r="M107">
        <v>8</v>
      </c>
      <c r="N107">
        <v>0</v>
      </c>
      <c r="O107">
        <v>8</v>
      </c>
      <c r="P107">
        <v>731</v>
      </c>
      <c r="Q107">
        <v>628</v>
      </c>
      <c r="R107">
        <v>667</v>
      </c>
      <c r="S107">
        <v>292</v>
      </c>
      <c r="T107">
        <v>8</v>
      </c>
      <c r="U107">
        <v>7</v>
      </c>
      <c r="V107">
        <v>4</v>
      </c>
      <c r="W107">
        <v>3</v>
      </c>
      <c r="X107" s="23">
        <v>0.0109439124487004</v>
      </c>
      <c r="Y107" s="23">
        <v>0.0111464968152866</v>
      </c>
      <c r="Z107" s="23">
        <v>0.00599700149925037</v>
      </c>
      <c r="AA107" s="23">
        <v>0.0102739726027397</v>
      </c>
      <c r="AB107">
        <v>2.87</v>
      </c>
      <c r="AC107">
        <v>2.35</v>
      </c>
      <c r="AD107">
        <v>1.3</v>
      </c>
      <c r="AE107">
        <v>0.89</v>
      </c>
      <c r="AF107" s="23" t="s">
        <v>340</v>
      </c>
      <c r="AG107" s="23" t="s">
        <v>341</v>
      </c>
      <c r="AH107" s="23" t="s">
        <v>342</v>
      </c>
      <c r="AI107" s="23" t="s">
        <v>343</v>
      </c>
      <c r="AJ107">
        <v>4</v>
      </c>
      <c r="AK107">
        <v>6</v>
      </c>
      <c r="AL107">
        <v>4</v>
      </c>
      <c r="AM107">
        <v>3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8</v>
      </c>
      <c r="AU107" s="33" t="str">
        <f t="shared" si="5"/>
        <v>库存为8</v>
      </c>
      <c r="AV107" s="38" t="str">
        <f>IFERROR(时间!$B$4+AU107,"上周无销量")</f>
        <v>上周无销量</v>
      </c>
    </row>
    <row r="108" spans="1:48">
      <c r="A108" s="21" t="s">
        <v>344</v>
      </c>
      <c r="B108" t="s">
        <v>345</v>
      </c>
      <c r="C108" t="s">
        <v>324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3</v>
      </c>
      <c r="J108" s="35">
        <v>0</v>
      </c>
      <c r="K108" s="35">
        <v>0</v>
      </c>
      <c r="L108" s="35">
        <v>0</v>
      </c>
      <c r="M108">
        <v>3</v>
      </c>
      <c r="N108">
        <v>0</v>
      </c>
      <c r="O108">
        <v>3</v>
      </c>
      <c r="P108">
        <v>22</v>
      </c>
      <c r="Q108">
        <v>14</v>
      </c>
      <c r="R108">
        <v>39</v>
      </c>
      <c r="S108">
        <v>1</v>
      </c>
      <c r="T108">
        <v>0</v>
      </c>
      <c r="U108">
        <v>0</v>
      </c>
      <c r="V108">
        <v>0</v>
      </c>
      <c r="W108">
        <v>0</v>
      </c>
      <c r="X108" s="23">
        <v>0</v>
      </c>
      <c r="Y108" s="23">
        <v>0</v>
      </c>
      <c r="Z108" s="23">
        <v>0</v>
      </c>
      <c r="AA108" s="23">
        <v>0</v>
      </c>
      <c r="AB108">
        <v>0</v>
      </c>
      <c r="AC108">
        <v>0</v>
      </c>
      <c r="AD108">
        <v>0</v>
      </c>
      <c r="AE108">
        <v>0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2</v>
      </c>
      <c r="AK108">
        <v>2</v>
      </c>
      <c r="AL108">
        <v>2</v>
      </c>
      <c r="AM108">
        <v>3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3</v>
      </c>
      <c r="AU108" s="33" t="str">
        <f t="shared" si="5"/>
        <v>库存为3</v>
      </c>
      <c r="AV108" s="38" t="str">
        <f>IFERROR(时间!$B$4+AU108,"上周无销量")</f>
        <v>上周无销量</v>
      </c>
    </row>
    <row r="109" spans="1:48">
      <c r="A109" s="21" t="s">
        <v>346</v>
      </c>
      <c r="B109" t="s">
        <v>347</v>
      </c>
      <c r="C109" t="s">
        <v>324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2</v>
      </c>
      <c r="J109" s="35">
        <v>0</v>
      </c>
      <c r="K109" s="35">
        <v>0</v>
      </c>
      <c r="L109" s="35">
        <v>0</v>
      </c>
      <c r="M109">
        <v>2</v>
      </c>
      <c r="N109">
        <v>0</v>
      </c>
      <c r="O109">
        <v>2</v>
      </c>
      <c r="P109">
        <v>341</v>
      </c>
      <c r="Q109">
        <v>35</v>
      </c>
      <c r="R109">
        <v>52</v>
      </c>
      <c r="S109">
        <v>125</v>
      </c>
      <c r="T109">
        <v>1</v>
      </c>
      <c r="U109">
        <v>0</v>
      </c>
      <c r="V109">
        <v>0</v>
      </c>
      <c r="W109">
        <v>0</v>
      </c>
      <c r="X109" s="23">
        <v>0.00293255131964809</v>
      </c>
      <c r="Y109" s="23">
        <v>0</v>
      </c>
      <c r="Z109" s="23">
        <v>0</v>
      </c>
      <c r="AA109" s="23">
        <v>0</v>
      </c>
      <c r="AB109">
        <v>0.07</v>
      </c>
      <c r="AC109">
        <v>0</v>
      </c>
      <c r="AD109">
        <v>0</v>
      </c>
      <c r="AE109">
        <v>0</v>
      </c>
      <c r="AF109" s="23" t="s">
        <v>348</v>
      </c>
      <c r="AG109" s="23" t="s">
        <v>54</v>
      </c>
      <c r="AH109" s="23" t="s">
        <v>54</v>
      </c>
      <c r="AI109" s="23" t="s">
        <v>54</v>
      </c>
      <c r="AJ109">
        <v>2</v>
      </c>
      <c r="AK109">
        <v>1</v>
      </c>
      <c r="AL109">
        <v>1</v>
      </c>
      <c r="AM109">
        <v>5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2</v>
      </c>
      <c r="AU109" s="33" t="str">
        <f t="shared" si="5"/>
        <v>库存为2</v>
      </c>
      <c r="AV109" s="38" t="str">
        <f>IFERROR(时间!$B$4+AU109,"上周无销量")</f>
        <v>上周无销量</v>
      </c>
    </row>
    <row r="110" spans="1:48">
      <c r="A110" s="21" t="s">
        <v>349</v>
      </c>
      <c r="B110" t="s">
        <v>350</v>
      </c>
      <c r="C110" t="s">
        <v>324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</v>
      </c>
      <c r="J110" s="35">
        <v>0</v>
      </c>
      <c r="K110" s="35">
        <v>0</v>
      </c>
      <c r="L110" s="35">
        <v>0</v>
      </c>
      <c r="M110">
        <v>1</v>
      </c>
      <c r="N110">
        <v>0</v>
      </c>
      <c r="O110">
        <v>1</v>
      </c>
      <c r="P110">
        <v>30</v>
      </c>
      <c r="Q110">
        <v>102</v>
      </c>
      <c r="R110">
        <v>89</v>
      </c>
      <c r="S110">
        <v>67</v>
      </c>
      <c r="T110">
        <v>0</v>
      </c>
      <c r="U110">
        <v>1</v>
      </c>
      <c r="V110">
        <v>1</v>
      </c>
      <c r="W110">
        <v>0</v>
      </c>
      <c r="X110" s="23">
        <v>0</v>
      </c>
      <c r="Y110" s="23">
        <v>0.00980392156862745</v>
      </c>
      <c r="Z110" s="23">
        <v>0.0112359550561798</v>
      </c>
      <c r="AA110" s="23">
        <v>0</v>
      </c>
      <c r="AB110">
        <v>0</v>
      </c>
      <c r="AC110">
        <v>0.31</v>
      </c>
      <c r="AD110">
        <v>0.54</v>
      </c>
      <c r="AE110">
        <v>0</v>
      </c>
      <c r="AF110" s="23" t="s">
        <v>54</v>
      </c>
      <c r="AG110" s="23" t="s">
        <v>351</v>
      </c>
      <c r="AH110" s="23" t="s">
        <v>352</v>
      </c>
      <c r="AI110" s="23" t="s">
        <v>54</v>
      </c>
      <c r="AJ110">
        <v>4</v>
      </c>
      <c r="AK110">
        <v>1</v>
      </c>
      <c r="AL110">
        <v>3</v>
      </c>
      <c r="AM110">
        <v>4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1</v>
      </c>
      <c r="AU110" s="33" t="str">
        <f t="shared" si="5"/>
        <v>库存为1</v>
      </c>
      <c r="AV110" s="38" t="str">
        <f>IFERROR(时间!$B$4+AU110,"上周无销量")</f>
        <v>上周无销量</v>
      </c>
    </row>
    <row r="111" spans="1:48">
      <c r="A111" s="21" t="s">
        <v>353</v>
      </c>
      <c r="B111" t="s">
        <v>354</v>
      </c>
      <c r="C111" t="s">
        <v>324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>
        <v>2047</v>
      </c>
      <c r="Q111">
        <v>1751</v>
      </c>
      <c r="R111">
        <v>1690</v>
      </c>
      <c r="S111">
        <v>882</v>
      </c>
      <c r="T111">
        <v>12</v>
      </c>
      <c r="U111">
        <v>10</v>
      </c>
      <c r="V111">
        <v>11</v>
      </c>
      <c r="W111">
        <v>4</v>
      </c>
      <c r="X111" s="23">
        <v>0.00586223742061553</v>
      </c>
      <c r="Y111" s="23">
        <v>0.00571102227298686</v>
      </c>
      <c r="Z111" s="23">
        <v>0.00650887573964497</v>
      </c>
      <c r="AA111" s="23">
        <v>0.00453514739229025</v>
      </c>
      <c r="AB111">
        <v>3.05</v>
      </c>
      <c r="AC111">
        <v>1.96</v>
      </c>
      <c r="AD111">
        <v>3.69</v>
      </c>
      <c r="AE111">
        <v>0.88</v>
      </c>
      <c r="AF111" s="23" t="s">
        <v>355</v>
      </c>
      <c r="AG111" s="23" t="s">
        <v>356</v>
      </c>
      <c r="AH111" s="23" t="s">
        <v>357</v>
      </c>
      <c r="AI111" s="23" t="s">
        <v>358</v>
      </c>
      <c r="AJ111">
        <v>3</v>
      </c>
      <c r="AK111">
        <v>7</v>
      </c>
      <c r="AL111">
        <v>3</v>
      </c>
      <c r="AM111">
        <v>7</v>
      </c>
      <c r="AN111" s="23">
        <v>0</v>
      </c>
      <c r="AO111" s="23">
        <v>0</v>
      </c>
      <c r="AP111" s="23">
        <v>0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5"/>
        <v>库存为2</v>
      </c>
      <c r="AV111" s="38" t="str">
        <f>IFERROR(时间!$B$4+AU111,"上周无销量")</f>
        <v>上周无销量</v>
      </c>
    </row>
    <row r="112" spans="1:48">
      <c r="A112" s="21" t="s">
        <v>359</v>
      </c>
      <c r="B112" t="s">
        <v>360</v>
      </c>
      <c r="C112" t="s">
        <v>361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1</v>
      </c>
      <c r="P112">
        <v>82</v>
      </c>
      <c r="Q112">
        <v>88</v>
      </c>
      <c r="R112">
        <v>91</v>
      </c>
      <c r="S112">
        <v>218</v>
      </c>
      <c r="T112">
        <v>0</v>
      </c>
      <c r="U112">
        <v>1</v>
      </c>
      <c r="V112">
        <v>0</v>
      </c>
      <c r="W112">
        <v>0</v>
      </c>
      <c r="X112" s="23">
        <v>0</v>
      </c>
      <c r="Y112" s="23">
        <v>0.0113636363636364</v>
      </c>
      <c r="Z112" s="23">
        <v>0</v>
      </c>
      <c r="AA112" s="23">
        <v>0</v>
      </c>
      <c r="AB112">
        <v>0</v>
      </c>
      <c r="AC112">
        <v>0.57</v>
      </c>
      <c r="AD112">
        <v>0</v>
      </c>
      <c r="AE112">
        <v>0</v>
      </c>
      <c r="AF112" s="23" t="s">
        <v>54</v>
      </c>
      <c r="AG112" s="23" t="s">
        <v>362</v>
      </c>
      <c r="AH112" s="23" t="s">
        <v>54</v>
      </c>
      <c r="AI112" s="23" t="s">
        <v>54</v>
      </c>
      <c r="AJ112">
        <v>2</v>
      </c>
      <c r="AK112">
        <v>4</v>
      </c>
      <c r="AL112">
        <v>1</v>
      </c>
      <c r="AM112">
        <v>4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1</v>
      </c>
      <c r="AU112" s="33" t="str">
        <f t="shared" si="5"/>
        <v>库存为1</v>
      </c>
      <c r="AV112" s="38" t="str">
        <f>IFERROR(时间!$B$4+AU112,"上周无销量")</f>
        <v>上周无销量</v>
      </c>
    </row>
    <row r="113" spans="1:48">
      <c r="A113" s="21" t="s">
        <v>363</v>
      </c>
      <c r="B113" t="s">
        <v>364</v>
      </c>
      <c r="C113" t="s">
        <v>361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211</v>
      </c>
      <c r="Q113">
        <v>65</v>
      </c>
      <c r="R113">
        <v>133</v>
      </c>
      <c r="S113">
        <v>11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3</v>
      </c>
      <c r="AK113">
        <v>1</v>
      </c>
      <c r="AL113">
        <v>3</v>
      </c>
      <c r="AM113">
        <v>3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365</v>
      </c>
      <c r="B114" t="s">
        <v>366</v>
      </c>
      <c r="C114" t="s">
        <v>361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353</v>
      </c>
      <c r="Q114">
        <v>656</v>
      </c>
      <c r="R114">
        <v>329</v>
      </c>
      <c r="S114">
        <v>249</v>
      </c>
      <c r="T114">
        <v>2</v>
      </c>
      <c r="U114">
        <v>0</v>
      </c>
      <c r="V114">
        <v>1</v>
      </c>
      <c r="W114">
        <v>0</v>
      </c>
      <c r="X114" s="23">
        <v>0.0056657223796034</v>
      </c>
      <c r="Y114" s="23">
        <v>0</v>
      </c>
      <c r="Z114" s="23">
        <v>0.00303951367781155</v>
      </c>
      <c r="AA114" s="23">
        <v>0</v>
      </c>
      <c r="AB114">
        <v>0.14</v>
      </c>
      <c r="AC114">
        <v>0</v>
      </c>
      <c r="AD114">
        <v>0.08</v>
      </c>
      <c r="AE114">
        <v>0</v>
      </c>
      <c r="AF114" s="23" t="s">
        <v>367</v>
      </c>
      <c r="AG114" s="23" t="s">
        <v>54</v>
      </c>
      <c r="AH114" s="23" t="s">
        <v>368</v>
      </c>
      <c r="AI114" s="23" t="s">
        <v>54</v>
      </c>
      <c r="AJ114">
        <v>3</v>
      </c>
      <c r="AK114">
        <v>2</v>
      </c>
      <c r="AL114">
        <v>2</v>
      </c>
      <c r="AM114">
        <v>3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369</v>
      </c>
      <c r="B115" t="s">
        <v>370</v>
      </c>
      <c r="C115" t="s">
        <v>361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49</v>
      </c>
      <c r="Q115">
        <v>51</v>
      </c>
      <c r="R115">
        <v>68</v>
      </c>
      <c r="S115">
        <v>6</v>
      </c>
      <c r="T115">
        <v>1</v>
      </c>
      <c r="U115">
        <v>0</v>
      </c>
      <c r="V115">
        <v>0</v>
      </c>
      <c r="W115">
        <v>0</v>
      </c>
      <c r="X115" s="23">
        <v>0.0204081632653061</v>
      </c>
      <c r="Y115" s="23">
        <v>0</v>
      </c>
      <c r="Z115" s="23">
        <v>0</v>
      </c>
      <c r="AA115" s="23">
        <v>0</v>
      </c>
      <c r="AB115">
        <v>0.21</v>
      </c>
      <c r="AC115">
        <v>0</v>
      </c>
      <c r="AD115">
        <v>0</v>
      </c>
      <c r="AE115">
        <v>0</v>
      </c>
      <c r="AF115" s="23" t="s">
        <v>371</v>
      </c>
      <c r="AG115" s="23" t="s">
        <v>54</v>
      </c>
      <c r="AH115" s="23" t="s">
        <v>54</v>
      </c>
      <c r="AI115" s="23" t="s">
        <v>54</v>
      </c>
      <c r="AJ115">
        <v>2</v>
      </c>
      <c r="AK115">
        <v>2</v>
      </c>
      <c r="AL115">
        <v>0</v>
      </c>
      <c r="AM115">
        <v>4</v>
      </c>
      <c r="AN115" s="23">
        <v>0</v>
      </c>
      <c r="AO115" s="23">
        <v>0</v>
      </c>
      <c r="AP115" s="23" t="s">
        <v>54</v>
      </c>
      <c r="AQ115" s="23">
        <v>0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372</v>
      </c>
      <c r="B116" t="s">
        <v>373</v>
      </c>
      <c r="C116" t="s">
        <v>361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1</v>
      </c>
      <c r="J116" s="35">
        <v>0</v>
      </c>
      <c r="K116" s="35">
        <v>0</v>
      </c>
      <c r="L116" s="35">
        <v>0</v>
      </c>
      <c r="M116">
        <v>1</v>
      </c>
      <c r="N116">
        <v>0</v>
      </c>
      <c r="O116">
        <v>1</v>
      </c>
      <c r="P116">
        <v>92</v>
      </c>
      <c r="Q116">
        <v>124</v>
      </c>
      <c r="R116">
        <v>107</v>
      </c>
      <c r="S116">
        <v>58</v>
      </c>
      <c r="T116">
        <v>0</v>
      </c>
      <c r="U116">
        <v>0</v>
      </c>
      <c r="V116">
        <v>0</v>
      </c>
      <c r="W116">
        <v>0</v>
      </c>
      <c r="X116" s="23">
        <v>0</v>
      </c>
      <c r="Y116" s="23">
        <v>0</v>
      </c>
      <c r="Z116" s="23">
        <v>0</v>
      </c>
      <c r="AA116" s="23">
        <v>0</v>
      </c>
      <c r="AB116">
        <v>0</v>
      </c>
      <c r="AC116">
        <v>0</v>
      </c>
      <c r="AD116">
        <v>0</v>
      </c>
      <c r="AE116">
        <v>0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1</v>
      </c>
      <c r="AK116">
        <v>2</v>
      </c>
      <c r="AL116">
        <v>1</v>
      </c>
      <c r="AM116">
        <v>3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1</v>
      </c>
      <c r="AU116" s="33" t="str">
        <f t="shared" si="5"/>
        <v>库存为1</v>
      </c>
      <c r="AV116" s="38" t="str">
        <f>IFERROR(时间!$B$4+AU116,"上周无销量")</f>
        <v>上周无销量</v>
      </c>
    </row>
    <row r="117" spans="1:48">
      <c r="A117" s="21" t="s">
        <v>374</v>
      </c>
      <c r="B117" t="s">
        <v>375</v>
      </c>
      <c r="C117" t="s">
        <v>376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497</v>
      </c>
      <c r="Q117">
        <v>680</v>
      </c>
      <c r="R117">
        <v>718</v>
      </c>
      <c r="S117">
        <v>66</v>
      </c>
      <c r="T117">
        <v>0</v>
      </c>
      <c r="U117">
        <v>1</v>
      </c>
      <c r="V117">
        <v>2</v>
      </c>
      <c r="W117">
        <v>0</v>
      </c>
      <c r="X117" s="23">
        <v>0</v>
      </c>
      <c r="Y117" s="23">
        <v>0.00147058823529412</v>
      </c>
      <c r="Z117" s="23">
        <v>0.00278551532033426</v>
      </c>
      <c r="AA117" s="23">
        <v>0</v>
      </c>
      <c r="AB117">
        <v>0</v>
      </c>
      <c r="AC117">
        <v>0.4</v>
      </c>
      <c r="AD117">
        <v>0.66</v>
      </c>
      <c r="AE117">
        <v>0</v>
      </c>
      <c r="AF117" s="23" t="s">
        <v>54</v>
      </c>
      <c r="AG117" s="23" t="s">
        <v>264</v>
      </c>
      <c r="AH117" s="23" t="s">
        <v>225</v>
      </c>
      <c r="AI117" s="23" t="s">
        <v>54</v>
      </c>
      <c r="AJ117">
        <v>2</v>
      </c>
      <c r="AK117">
        <v>4</v>
      </c>
      <c r="AL117">
        <v>6</v>
      </c>
      <c r="AM117">
        <v>3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377</v>
      </c>
      <c r="B118" t="s">
        <v>378</v>
      </c>
      <c r="C118" t="s">
        <v>376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0</v>
      </c>
      <c r="J118" s="35">
        <v>0</v>
      </c>
      <c r="K118" s="35">
        <v>0</v>
      </c>
      <c r="L118" s="35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7">
        <v>0</v>
      </c>
      <c r="AS118" s="37">
        <v>0</v>
      </c>
      <c r="AT118" s="37">
        <v>0</v>
      </c>
      <c r="AU118" s="33" t="str">
        <f t="shared" si="5"/>
        <v>库存为0</v>
      </c>
      <c r="AV118" s="38" t="str">
        <f>IFERROR(时间!$B$4+AU118,"上周无销量")</f>
        <v>上周无销量</v>
      </c>
    </row>
    <row r="119" spans="1:48">
      <c r="A119" s="21" t="s">
        <v>379</v>
      </c>
      <c r="B119" t="s">
        <v>380</v>
      </c>
      <c r="C119" t="s">
        <v>376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2</v>
      </c>
      <c r="J119" s="35">
        <v>0</v>
      </c>
      <c r="K119" s="35">
        <v>0</v>
      </c>
      <c r="L119" s="35">
        <v>0</v>
      </c>
      <c r="M119">
        <v>2</v>
      </c>
      <c r="N119">
        <v>0</v>
      </c>
      <c r="O119">
        <v>2</v>
      </c>
      <c r="P119">
        <v>37</v>
      </c>
      <c r="Q119">
        <v>15</v>
      </c>
      <c r="R119">
        <v>50</v>
      </c>
      <c r="S119">
        <v>22</v>
      </c>
      <c r="T119">
        <v>0</v>
      </c>
      <c r="U119">
        <v>0</v>
      </c>
      <c r="V119">
        <v>0</v>
      </c>
      <c r="W119">
        <v>0</v>
      </c>
      <c r="X119" s="23">
        <v>0</v>
      </c>
      <c r="Y119" s="23">
        <v>0</v>
      </c>
      <c r="Z119" s="23">
        <v>0</v>
      </c>
      <c r="AA119" s="23">
        <v>0</v>
      </c>
      <c r="AB119">
        <v>0</v>
      </c>
      <c r="AC119">
        <v>0</v>
      </c>
      <c r="AD119">
        <v>0</v>
      </c>
      <c r="AE119">
        <v>0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4</v>
      </c>
      <c r="AK119">
        <v>1</v>
      </c>
      <c r="AL119">
        <v>2</v>
      </c>
      <c r="AM119">
        <v>4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2</v>
      </c>
      <c r="AU119" s="33" t="str">
        <f t="shared" si="5"/>
        <v>库存为2</v>
      </c>
      <c r="AV119" s="38" t="str">
        <f>IFERROR(时间!$B$4+AU119,"上周无销量")</f>
        <v>上周无销量</v>
      </c>
    </row>
    <row r="120" spans="1:48">
      <c r="A120" s="21" t="s">
        <v>381</v>
      </c>
      <c r="B120" t="s">
        <v>382</v>
      </c>
      <c r="C120" t="s">
        <v>376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2</v>
      </c>
      <c r="J120" s="35">
        <v>0</v>
      </c>
      <c r="K120" s="35">
        <v>0</v>
      </c>
      <c r="L120" s="35">
        <v>0</v>
      </c>
      <c r="M120">
        <v>2</v>
      </c>
      <c r="N120">
        <v>0</v>
      </c>
      <c r="O120">
        <v>2</v>
      </c>
      <c r="P120">
        <v>3507</v>
      </c>
      <c r="Q120">
        <v>3802</v>
      </c>
      <c r="R120">
        <v>4365</v>
      </c>
      <c r="S120">
        <v>789</v>
      </c>
      <c r="T120">
        <v>2</v>
      </c>
      <c r="U120">
        <v>5</v>
      </c>
      <c r="V120">
        <v>4</v>
      </c>
      <c r="W120">
        <v>2</v>
      </c>
      <c r="X120" s="23">
        <v>0.000570287995437696</v>
      </c>
      <c r="Y120" s="23">
        <v>0.00131509731720147</v>
      </c>
      <c r="Z120" s="23">
        <v>0.000916380297823597</v>
      </c>
      <c r="AA120" s="23">
        <v>0.00253485424588086</v>
      </c>
      <c r="AB120">
        <v>0.68</v>
      </c>
      <c r="AC120">
        <v>1.63</v>
      </c>
      <c r="AD120">
        <v>1.02</v>
      </c>
      <c r="AE120">
        <v>0.42</v>
      </c>
      <c r="AF120" s="23" t="s">
        <v>383</v>
      </c>
      <c r="AG120" s="23" t="s">
        <v>384</v>
      </c>
      <c r="AH120" s="23" t="s">
        <v>385</v>
      </c>
      <c r="AI120" s="23" t="s">
        <v>282</v>
      </c>
      <c r="AJ120">
        <v>4</v>
      </c>
      <c r="AK120">
        <v>3</v>
      </c>
      <c r="AL120">
        <v>3</v>
      </c>
      <c r="AM120">
        <v>3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2</v>
      </c>
      <c r="AU120" s="33" t="str">
        <f t="shared" si="5"/>
        <v>库存为2</v>
      </c>
      <c r="AV120" s="38" t="str">
        <f>IFERROR(时间!$B$4+AU120,"上周无销量")</f>
        <v>上周无销量</v>
      </c>
    </row>
    <row r="121" spans="1:48">
      <c r="A121" s="21" t="s">
        <v>386</v>
      </c>
      <c r="B121" t="s">
        <v>387</v>
      </c>
      <c r="C121" t="s">
        <v>388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1</v>
      </c>
      <c r="J121" s="35">
        <v>0</v>
      </c>
      <c r="K121" s="35">
        <v>0</v>
      </c>
      <c r="L121" s="35">
        <v>0</v>
      </c>
      <c r="M121">
        <v>1</v>
      </c>
      <c r="N121">
        <v>0</v>
      </c>
      <c r="O121">
        <v>1</v>
      </c>
      <c r="P121">
        <v>57</v>
      </c>
      <c r="Q121">
        <v>214</v>
      </c>
      <c r="R121">
        <v>27</v>
      </c>
      <c r="S121">
        <v>19</v>
      </c>
      <c r="T121">
        <v>1</v>
      </c>
      <c r="U121">
        <v>1</v>
      </c>
      <c r="V121">
        <v>0</v>
      </c>
      <c r="W121">
        <v>0</v>
      </c>
      <c r="X121" s="23">
        <v>0.0175438596491228</v>
      </c>
      <c r="Y121" s="23">
        <v>0.00467289719626168</v>
      </c>
      <c r="Z121" s="23">
        <v>0</v>
      </c>
      <c r="AA121" s="23">
        <v>0</v>
      </c>
      <c r="AB121">
        <v>0.6</v>
      </c>
      <c r="AC121">
        <v>0.35</v>
      </c>
      <c r="AD121">
        <v>0</v>
      </c>
      <c r="AE121">
        <v>0</v>
      </c>
      <c r="AF121" s="23" t="s">
        <v>321</v>
      </c>
      <c r="AG121" s="23" t="s">
        <v>389</v>
      </c>
      <c r="AH121" s="23" t="s">
        <v>54</v>
      </c>
      <c r="AI121" s="23" t="s">
        <v>54</v>
      </c>
      <c r="AJ121">
        <v>2</v>
      </c>
      <c r="AK121">
        <v>2</v>
      </c>
      <c r="AL121">
        <v>1</v>
      </c>
      <c r="AM121">
        <v>3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1</v>
      </c>
      <c r="AU121" s="33" t="str">
        <f t="shared" si="5"/>
        <v>库存为1</v>
      </c>
      <c r="AV121" s="38" t="str">
        <f>IFERROR(时间!$B$4+AU121,"上周无销量")</f>
        <v>上周无销量</v>
      </c>
    </row>
    <row r="122" spans="1:48">
      <c r="A122" s="21" t="s">
        <v>390</v>
      </c>
      <c r="B122" t="s">
        <v>391</v>
      </c>
      <c r="C122" t="s">
        <v>388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1</v>
      </c>
      <c r="J122" s="35">
        <v>0</v>
      </c>
      <c r="K122" s="35">
        <v>0</v>
      </c>
      <c r="L122" s="35">
        <v>0</v>
      </c>
      <c r="M122">
        <v>1</v>
      </c>
      <c r="N122">
        <v>0</v>
      </c>
      <c r="O122">
        <v>1</v>
      </c>
      <c r="P122">
        <v>386</v>
      </c>
      <c r="Q122">
        <v>37</v>
      </c>
      <c r="R122">
        <v>356</v>
      </c>
      <c r="S122">
        <v>96</v>
      </c>
      <c r="T122">
        <v>1</v>
      </c>
      <c r="U122">
        <v>0</v>
      </c>
      <c r="V122">
        <v>0</v>
      </c>
      <c r="W122">
        <v>1</v>
      </c>
      <c r="X122" s="23">
        <v>0.00259067357512953</v>
      </c>
      <c r="Y122" s="23">
        <v>0</v>
      </c>
      <c r="Z122" s="23">
        <v>0</v>
      </c>
      <c r="AA122" s="23">
        <v>0.0104166666666667</v>
      </c>
      <c r="AB122">
        <v>0.09</v>
      </c>
      <c r="AC122">
        <v>0</v>
      </c>
      <c r="AD122">
        <v>0</v>
      </c>
      <c r="AE122">
        <v>0.06</v>
      </c>
      <c r="AF122" s="23" t="s">
        <v>392</v>
      </c>
      <c r="AG122" s="23" t="s">
        <v>54</v>
      </c>
      <c r="AH122" s="23" t="s">
        <v>54</v>
      </c>
      <c r="AI122" s="23" t="s">
        <v>393</v>
      </c>
      <c r="AJ122">
        <v>1</v>
      </c>
      <c r="AK122">
        <v>2</v>
      </c>
      <c r="AL122">
        <v>1</v>
      </c>
      <c r="AM122">
        <v>4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1</v>
      </c>
      <c r="AU122" s="33" t="str">
        <f t="shared" si="5"/>
        <v>库存为1</v>
      </c>
      <c r="AV122" s="38" t="str">
        <f>IFERROR(时间!$B$4+AU122,"上周无销量")</f>
        <v>上周无销量</v>
      </c>
    </row>
    <row r="123" spans="1:48">
      <c r="A123" s="21" t="s">
        <v>394</v>
      </c>
      <c r="B123" t="s">
        <v>395</v>
      </c>
      <c r="C123" t="s">
        <v>388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1</v>
      </c>
      <c r="J123" s="35">
        <v>0</v>
      </c>
      <c r="K123" s="35">
        <v>0</v>
      </c>
      <c r="L123" s="35">
        <v>0</v>
      </c>
      <c r="M123">
        <v>1</v>
      </c>
      <c r="N123">
        <v>0</v>
      </c>
      <c r="O123">
        <v>1</v>
      </c>
      <c r="P123">
        <v>92</v>
      </c>
      <c r="Q123">
        <v>75</v>
      </c>
      <c r="R123">
        <v>94</v>
      </c>
      <c r="S123">
        <v>15</v>
      </c>
      <c r="T123">
        <v>1</v>
      </c>
      <c r="U123">
        <v>0</v>
      </c>
      <c r="V123">
        <v>0</v>
      </c>
      <c r="W123">
        <v>0</v>
      </c>
      <c r="X123" s="23">
        <v>0.0108695652173913</v>
      </c>
      <c r="Y123" s="23">
        <v>0</v>
      </c>
      <c r="Z123" s="23">
        <v>0</v>
      </c>
      <c r="AA123" s="23">
        <v>0</v>
      </c>
      <c r="AB123">
        <v>0.14</v>
      </c>
      <c r="AC123">
        <v>0</v>
      </c>
      <c r="AD123">
        <v>0</v>
      </c>
      <c r="AE123">
        <v>0</v>
      </c>
      <c r="AF123" s="23" t="s">
        <v>367</v>
      </c>
      <c r="AG123" s="23" t="s">
        <v>54</v>
      </c>
      <c r="AH123" s="23" t="s">
        <v>54</v>
      </c>
      <c r="AI123" s="23" t="s">
        <v>54</v>
      </c>
      <c r="AJ123">
        <v>2</v>
      </c>
      <c r="AK123">
        <v>1</v>
      </c>
      <c r="AL123">
        <v>1</v>
      </c>
      <c r="AM123">
        <v>4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1</v>
      </c>
      <c r="AU123" s="33" t="str">
        <f t="shared" si="5"/>
        <v>库存为1</v>
      </c>
      <c r="AV123" s="38" t="str">
        <f>IFERROR(时间!$B$4+AU123,"上周无销量")</f>
        <v>上周无销量</v>
      </c>
    </row>
    <row r="124" spans="1:48">
      <c r="A124" s="21" t="s">
        <v>396</v>
      </c>
      <c r="B124" t="s">
        <v>397</v>
      </c>
      <c r="C124" t="s">
        <v>388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76</v>
      </c>
      <c r="Q124">
        <v>145</v>
      </c>
      <c r="R124">
        <v>68</v>
      </c>
      <c r="S124">
        <v>3</v>
      </c>
      <c r="T124">
        <v>0</v>
      </c>
      <c r="U124">
        <v>1</v>
      </c>
      <c r="V124">
        <v>1</v>
      </c>
      <c r="W124">
        <v>0</v>
      </c>
      <c r="X124" s="23">
        <v>0</v>
      </c>
      <c r="Y124" s="23">
        <v>0.00689655172413793</v>
      </c>
      <c r="Z124" s="23">
        <v>0.0147058823529412</v>
      </c>
      <c r="AA124" s="23">
        <v>0</v>
      </c>
      <c r="AB124">
        <v>0</v>
      </c>
      <c r="AC124">
        <v>0.34</v>
      </c>
      <c r="AD124">
        <v>0.51</v>
      </c>
      <c r="AE124">
        <v>0</v>
      </c>
      <c r="AF124" s="23" t="s">
        <v>54</v>
      </c>
      <c r="AG124" s="23" t="s">
        <v>398</v>
      </c>
      <c r="AH124" s="23" t="s">
        <v>399</v>
      </c>
      <c r="AI124" s="23" t="s">
        <v>54</v>
      </c>
      <c r="AJ124">
        <v>2</v>
      </c>
      <c r="AK124">
        <v>2</v>
      </c>
      <c r="AL124">
        <v>2</v>
      </c>
      <c r="AM124">
        <v>4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400</v>
      </c>
      <c r="B125" t="s">
        <v>401</v>
      </c>
      <c r="C125" t="s">
        <v>388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95</v>
      </c>
      <c r="Q125">
        <v>245</v>
      </c>
      <c r="R125">
        <v>80</v>
      </c>
      <c r="S125">
        <v>11</v>
      </c>
      <c r="T125">
        <v>0</v>
      </c>
      <c r="U125">
        <v>1</v>
      </c>
      <c r="V125">
        <v>1</v>
      </c>
      <c r="W125">
        <v>0</v>
      </c>
      <c r="X125" s="23">
        <v>0</v>
      </c>
      <c r="Y125" s="23">
        <v>0.00408163265306122</v>
      </c>
      <c r="Z125" s="23">
        <v>0.0125</v>
      </c>
      <c r="AA125" s="23">
        <v>0</v>
      </c>
      <c r="AB125">
        <v>0</v>
      </c>
      <c r="AC125">
        <v>0.09</v>
      </c>
      <c r="AD125">
        <v>0.44</v>
      </c>
      <c r="AE125">
        <v>0</v>
      </c>
      <c r="AF125" s="23" t="s">
        <v>54</v>
      </c>
      <c r="AG125" s="23" t="s">
        <v>392</v>
      </c>
      <c r="AH125" s="23" t="s">
        <v>294</v>
      </c>
      <c r="AI125" s="23" t="s">
        <v>54</v>
      </c>
      <c r="AJ125">
        <v>1</v>
      </c>
      <c r="AK125">
        <v>1</v>
      </c>
      <c r="AL125">
        <v>1</v>
      </c>
      <c r="AM125">
        <v>4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402</v>
      </c>
      <c r="B126" t="s">
        <v>403</v>
      </c>
      <c r="C126" t="s">
        <v>388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0</v>
      </c>
      <c r="J126" s="35">
        <v>0</v>
      </c>
      <c r="K126" s="35">
        <v>0</v>
      </c>
      <c r="L126" s="35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7">
        <v>0</v>
      </c>
      <c r="AS126" s="37">
        <v>0</v>
      </c>
      <c r="AT126" s="37">
        <v>0</v>
      </c>
      <c r="AU126" s="33" t="str">
        <f t="shared" si="5"/>
        <v>库存为0</v>
      </c>
      <c r="AV126" s="38" t="str">
        <f>IFERROR(时间!$B$4+AU126,"上周无销量")</f>
        <v>上周无销量</v>
      </c>
    </row>
    <row r="127" spans="1:48">
      <c r="A127" s="21" t="s">
        <v>404</v>
      </c>
      <c r="B127" t="s">
        <v>405</v>
      </c>
      <c r="C127" t="s">
        <v>388</v>
      </c>
      <c r="D127" s="33">
        <v>0</v>
      </c>
      <c r="E127" s="33">
        <v>1</v>
      </c>
      <c r="F127" s="33">
        <v>0</v>
      </c>
      <c r="G127" s="33">
        <v>0</v>
      </c>
      <c r="H127" s="34">
        <v>17.9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>
        <v>0</v>
      </c>
      <c r="Q127">
        <v>2958</v>
      </c>
      <c r="R127">
        <v>5397</v>
      </c>
      <c r="S127">
        <v>2113</v>
      </c>
      <c r="T127">
        <v>0</v>
      </c>
      <c r="U127">
        <v>44</v>
      </c>
      <c r="V127">
        <v>67</v>
      </c>
      <c r="W127">
        <v>21</v>
      </c>
      <c r="X127" s="23" t="s">
        <v>54</v>
      </c>
      <c r="Y127" s="23">
        <v>0.0148749154834348</v>
      </c>
      <c r="Z127" s="23">
        <v>0.012414304243098</v>
      </c>
      <c r="AA127" s="23">
        <v>0.00993847610033128</v>
      </c>
      <c r="AB127">
        <v>0</v>
      </c>
      <c r="AC127">
        <v>12.3</v>
      </c>
      <c r="AD127">
        <v>18.02</v>
      </c>
      <c r="AE127">
        <v>4.41</v>
      </c>
      <c r="AF127" s="23" t="s">
        <v>54</v>
      </c>
      <c r="AG127" s="23">
        <v>0.687150837988827</v>
      </c>
      <c r="AH127" s="23" t="s">
        <v>406</v>
      </c>
      <c r="AI127" s="23" t="s">
        <v>407</v>
      </c>
      <c r="AJ127">
        <v>0</v>
      </c>
      <c r="AK127">
        <v>10</v>
      </c>
      <c r="AL127">
        <v>21</v>
      </c>
      <c r="AM127">
        <v>3</v>
      </c>
      <c r="AN127" s="23" t="s">
        <v>54</v>
      </c>
      <c r="AO127" s="23">
        <v>0.1</v>
      </c>
      <c r="AP127" s="23">
        <v>0</v>
      </c>
      <c r="AQ127" s="23">
        <v>0</v>
      </c>
      <c r="AR127" s="37">
        <v>0</v>
      </c>
      <c r="AS127" s="37">
        <v>0</v>
      </c>
      <c r="AT127" s="37">
        <v>0</v>
      </c>
      <c r="AU127" s="33" t="str">
        <f t="shared" si="5"/>
        <v>库存为0</v>
      </c>
      <c r="AV127" s="38" t="str">
        <f>IFERROR(时间!$B$4+AU127,"上周无销量")</f>
        <v>上周无销量</v>
      </c>
    </row>
    <row r="128" spans="1:48">
      <c r="A128" s="21" t="s">
        <v>408</v>
      </c>
      <c r="B128" t="s">
        <v>409</v>
      </c>
      <c r="C128" t="s">
        <v>388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7">
        <v>0</v>
      </c>
      <c r="AS128" s="37">
        <v>0</v>
      </c>
      <c r="AT128" s="37">
        <v>0</v>
      </c>
      <c r="AU128" s="33" t="str">
        <f t="shared" si="5"/>
        <v>库存为0</v>
      </c>
      <c r="AV128" s="38" t="str">
        <f>IFERROR(时间!$B$4+AU128,"上周无销量")</f>
        <v>上周无销量</v>
      </c>
    </row>
    <row r="129" spans="1:48">
      <c r="A129" s="21" t="s">
        <v>410</v>
      </c>
      <c r="B129" t="s">
        <v>411</v>
      </c>
      <c r="C129" t="s">
        <v>412</v>
      </c>
      <c r="D129" s="33">
        <v>0</v>
      </c>
      <c r="E129" s="33">
        <v>1</v>
      </c>
      <c r="F129" s="33">
        <v>0</v>
      </c>
      <c r="G129" s="33">
        <v>0</v>
      </c>
      <c r="H129" s="34">
        <v>17.9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>
        <v>0</v>
      </c>
      <c r="Q129">
        <v>24</v>
      </c>
      <c r="R129">
        <v>6</v>
      </c>
      <c r="S129">
        <v>2</v>
      </c>
      <c r="T129">
        <v>0</v>
      </c>
      <c r="U129">
        <v>0</v>
      </c>
      <c r="V129">
        <v>0</v>
      </c>
      <c r="W129">
        <v>0</v>
      </c>
      <c r="X129" s="23" t="s">
        <v>54</v>
      </c>
      <c r="Y129" s="23">
        <v>0</v>
      </c>
      <c r="Z129" s="23">
        <v>0</v>
      </c>
      <c r="AA129" s="23">
        <v>0</v>
      </c>
      <c r="AB129">
        <v>0</v>
      </c>
      <c r="AC129">
        <v>0</v>
      </c>
      <c r="AD129">
        <v>0</v>
      </c>
      <c r="AE129">
        <v>0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3</v>
      </c>
      <c r="AL129">
        <v>4</v>
      </c>
      <c r="AM129">
        <v>3</v>
      </c>
      <c r="AN129" s="23" t="s">
        <v>54</v>
      </c>
      <c r="AO129" s="23">
        <v>0.333333333333333</v>
      </c>
      <c r="AP129" s="23">
        <v>0</v>
      </c>
      <c r="AQ129" s="23">
        <v>0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413</v>
      </c>
      <c r="B130" t="s">
        <v>414</v>
      </c>
      <c r="C130" t="s">
        <v>412</v>
      </c>
      <c r="D130" s="33">
        <v>0</v>
      </c>
      <c r="E130" s="33">
        <v>0</v>
      </c>
      <c r="F130" s="33">
        <v>1</v>
      </c>
      <c r="G130" s="33">
        <v>0</v>
      </c>
      <c r="H130" s="34">
        <v>17.9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43</v>
      </c>
      <c r="S130">
        <v>33</v>
      </c>
      <c r="T130">
        <v>0</v>
      </c>
      <c r="U130">
        <v>0</v>
      </c>
      <c r="V130">
        <v>0</v>
      </c>
      <c r="W130">
        <v>0</v>
      </c>
      <c r="X130" s="23" t="s">
        <v>54</v>
      </c>
      <c r="Y130" s="23" t="s">
        <v>54</v>
      </c>
      <c r="Z130" s="23">
        <v>0</v>
      </c>
      <c r="AA130" s="23">
        <v>0</v>
      </c>
      <c r="AB130">
        <v>0</v>
      </c>
      <c r="AC130">
        <v>0</v>
      </c>
      <c r="AD130">
        <v>0</v>
      </c>
      <c r="AE130">
        <v>0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3</v>
      </c>
      <c r="AM130">
        <v>4</v>
      </c>
      <c r="AN130" s="23" t="s">
        <v>54</v>
      </c>
      <c r="AO130" s="23" t="s">
        <v>54</v>
      </c>
      <c r="AP130" s="23">
        <v>0.333333333333333</v>
      </c>
      <c r="AQ130" s="23">
        <v>0</v>
      </c>
      <c r="AR130" s="37">
        <v>0</v>
      </c>
      <c r="AS130" s="37">
        <v>0</v>
      </c>
      <c r="AT130" s="37">
        <v>0</v>
      </c>
      <c r="AU130" s="33" t="str">
        <f t="shared" si="5"/>
        <v>库存为0</v>
      </c>
      <c r="AV130" s="38" t="str">
        <f>IFERROR(时间!$B$4+AU130,"上周无销量")</f>
        <v>上周无销量</v>
      </c>
    </row>
    <row r="131" spans="1:48">
      <c r="A131" s="21" t="s">
        <v>415</v>
      </c>
      <c r="B131" t="s">
        <v>416</v>
      </c>
      <c r="C131" t="s">
        <v>412</v>
      </c>
      <c r="D131" s="33">
        <v>0</v>
      </c>
      <c r="E131" s="33">
        <v>1</v>
      </c>
      <c r="F131" s="33">
        <v>0</v>
      </c>
      <c r="G131" s="33">
        <v>0</v>
      </c>
      <c r="H131" s="34">
        <v>17.9</v>
      </c>
      <c r="I131">
        <v>1</v>
      </c>
      <c r="J131" s="35">
        <v>0</v>
      </c>
      <c r="K131" s="35">
        <v>0</v>
      </c>
      <c r="L131" s="35">
        <v>0</v>
      </c>
      <c r="M131">
        <v>1</v>
      </c>
      <c r="N131">
        <v>0</v>
      </c>
      <c r="O131">
        <v>1</v>
      </c>
      <c r="P131">
        <v>514</v>
      </c>
      <c r="Q131">
        <v>328</v>
      </c>
      <c r="R131">
        <v>207</v>
      </c>
      <c r="S131">
        <v>62</v>
      </c>
      <c r="T131">
        <v>6</v>
      </c>
      <c r="U131">
        <v>2</v>
      </c>
      <c r="V131">
        <v>5</v>
      </c>
      <c r="W131">
        <v>0</v>
      </c>
      <c r="X131" s="23">
        <v>0.0116731517509728</v>
      </c>
      <c r="Y131" s="23">
        <v>0.00609756097560976</v>
      </c>
      <c r="Z131" s="23">
        <v>0.0241545893719807</v>
      </c>
      <c r="AA131" s="23">
        <v>0</v>
      </c>
      <c r="AB131">
        <v>2.57</v>
      </c>
      <c r="AC131">
        <v>1.01</v>
      </c>
      <c r="AD131">
        <v>1.72</v>
      </c>
      <c r="AE131">
        <v>0</v>
      </c>
      <c r="AF131" s="23" t="s">
        <v>417</v>
      </c>
      <c r="AG131" s="23">
        <v>0.0564245810055866</v>
      </c>
      <c r="AH131" s="23" t="s">
        <v>418</v>
      </c>
      <c r="AI131" s="23" t="s">
        <v>54</v>
      </c>
      <c r="AJ131">
        <v>5</v>
      </c>
      <c r="AK131">
        <v>3</v>
      </c>
      <c r="AL131">
        <v>5</v>
      </c>
      <c r="AM131">
        <v>4</v>
      </c>
      <c r="AN131" s="23">
        <v>0</v>
      </c>
      <c r="AO131" s="23">
        <v>0.333333333333333</v>
      </c>
      <c r="AP131" s="23">
        <v>0</v>
      </c>
      <c r="AQ131" s="23">
        <v>0</v>
      </c>
      <c r="AR131" s="37">
        <v>0</v>
      </c>
      <c r="AS131" s="37">
        <v>0</v>
      </c>
      <c r="AT131" s="37">
        <v>1</v>
      </c>
      <c r="AU131" s="33" t="str">
        <f t="shared" si="5"/>
        <v>库存为1</v>
      </c>
      <c r="AV131" s="38" t="str">
        <f>IFERROR(时间!$B$4+AU131,"上周无销量")</f>
        <v>上周无销量</v>
      </c>
    </row>
    <row r="132" spans="1:48">
      <c r="A132" s="21" t="s">
        <v>419</v>
      </c>
      <c r="B132" t="s">
        <v>420</v>
      </c>
      <c r="C132" t="s">
        <v>421</v>
      </c>
      <c r="D132" s="33">
        <v>0</v>
      </c>
      <c r="E132" s="33">
        <v>0</v>
      </c>
      <c r="F132" s="33">
        <v>0</v>
      </c>
      <c r="G132" s="33">
        <v>1</v>
      </c>
      <c r="H132" s="34">
        <v>7.99</v>
      </c>
      <c r="I132">
        <v>44</v>
      </c>
      <c r="J132" s="35">
        <v>0</v>
      </c>
      <c r="K132" s="35">
        <v>0</v>
      </c>
      <c r="L132" s="35">
        <v>0</v>
      </c>
      <c r="M132">
        <v>44</v>
      </c>
      <c r="N132">
        <v>0</v>
      </c>
      <c r="O132">
        <v>44</v>
      </c>
      <c r="P132">
        <v>140</v>
      </c>
      <c r="Q132">
        <v>104</v>
      </c>
      <c r="R132">
        <v>112</v>
      </c>
      <c r="S132">
        <v>108</v>
      </c>
      <c r="T132">
        <v>0</v>
      </c>
      <c r="U132">
        <v>2</v>
      </c>
      <c r="V132">
        <v>2</v>
      </c>
      <c r="W132">
        <v>1</v>
      </c>
      <c r="X132" s="23">
        <v>0</v>
      </c>
      <c r="Y132" s="23">
        <v>0.0192307692307692</v>
      </c>
      <c r="Z132" s="23">
        <v>0.0178571428571429</v>
      </c>
      <c r="AA132" s="23">
        <v>0.00925925925925926</v>
      </c>
      <c r="AB132">
        <v>0</v>
      </c>
      <c r="AC132">
        <v>0.7</v>
      </c>
      <c r="AD132">
        <v>0.41</v>
      </c>
      <c r="AE132">
        <v>0.26</v>
      </c>
      <c r="AF132" s="23" t="s">
        <v>54</v>
      </c>
      <c r="AG132" s="23" t="s">
        <v>274</v>
      </c>
      <c r="AH132" s="23" t="s">
        <v>267</v>
      </c>
      <c r="AI132" s="23">
        <v>0.032540675844806</v>
      </c>
      <c r="AJ132">
        <v>5</v>
      </c>
      <c r="AK132">
        <v>4</v>
      </c>
      <c r="AL132">
        <v>3</v>
      </c>
      <c r="AM132">
        <v>6</v>
      </c>
      <c r="AN132" s="23">
        <v>0</v>
      </c>
      <c r="AO132" s="23">
        <v>0</v>
      </c>
      <c r="AP132" s="23">
        <v>0</v>
      </c>
      <c r="AQ132" s="23">
        <v>0.166666666666667</v>
      </c>
      <c r="AR132" s="37">
        <v>0</v>
      </c>
      <c r="AS132" s="37">
        <v>0</v>
      </c>
      <c r="AT132" s="37">
        <v>44</v>
      </c>
      <c r="AU132" s="33" t="str">
        <f t="shared" si="5"/>
        <v>库存为44</v>
      </c>
      <c r="AV132" s="38" t="str">
        <f>IFERROR(时间!$B$4+AU132,"上周无销量")</f>
        <v>上周无销量</v>
      </c>
    </row>
    <row r="133" spans="1:48">
      <c r="A133" s="21" t="s">
        <v>422</v>
      </c>
      <c r="B133" t="s">
        <v>423</v>
      </c>
      <c r="C133" t="s">
        <v>421</v>
      </c>
      <c r="D133" s="33">
        <v>0</v>
      </c>
      <c r="E133" s="33">
        <v>0</v>
      </c>
      <c r="F133" s="33">
        <v>0</v>
      </c>
      <c r="G133" s="33">
        <v>2</v>
      </c>
      <c r="H133" s="34">
        <v>7.89</v>
      </c>
      <c r="I133">
        <v>39</v>
      </c>
      <c r="J133" s="35">
        <v>0</v>
      </c>
      <c r="K133" s="35">
        <v>0</v>
      </c>
      <c r="L133" s="35">
        <v>0</v>
      </c>
      <c r="M133">
        <v>39</v>
      </c>
      <c r="N133">
        <v>0</v>
      </c>
      <c r="O133">
        <v>39</v>
      </c>
      <c r="P133">
        <v>1640</v>
      </c>
      <c r="Q133">
        <v>441</v>
      </c>
      <c r="R133">
        <v>358</v>
      </c>
      <c r="S133">
        <v>288</v>
      </c>
      <c r="T133">
        <v>4</v>
      </c>
      <c r="U133">
        <v>3</v>
      </c>
      <c r="V133">
        <v>2</v>
      </c>
      <c r="W133">
        <v>2</v>
      </c>
      <c r="X133" s="23">
        <v>0.0024390243902439</v>
      </c>
      <c r="Y133" s="23">
        <v>0.00680272108843537</v>
      </c>
      <c r="Z133" s="23">
        <v>0.00558659217877095</v>
      </c>
      <c r="AA133" s="23">
        <v>0.00694444444444444</v>
      </c>
      <c r="AB133">
        <v>1.27</v>
      </c>
      <c r="AC133">
        <v>0.93</v>
      </c>
      <c r="AD133">
        <v>0.68</v>
      </c>
      <c r="AE133">
        <v>0.87</v>
      </c>
      <c r="AF133" s="23" t="s">
        <v>424</v>
      </c>
      <c r="AG133" s="23" t="s">
        <v>425</v>
      </c>
      <c r="AH133" s="23" t="s">
        <v>383</v>
      </c>
      <c r="AI133" s="23">
        <v>0.0551330798479087</v>
      </c>
      <c r="AJ133">
        <v>2</v>
      </c>
      <c r="AK133">
        <v>5</v>
      </c>
      <c r="AL133">
        <v>4</v>
      </c>
      <c r="AM133">
        <v>6</v>
      </c>
      <c r="AN133" s="23">
        <v>0</v>
      </c>
      <c r="AO133" s="23">
        <v>0</v>
      </c>
      <c r="AP133" s="23">
        <v>0</v>
      </c>
      <c r="AQ133" s="23">
        <v>0.333333333333333</v>
      </c>
      <c r="AR133" s="37">
        <v>0</v>
      </c>
      <c r="AS133" s="37">
        <v>0</v>
      </c>
      <c r="AT133" s="37">
        <v>39</v>
      </c>
      <c r="AU133" s="33" t="str">
        <f t="shared" ref="AU133:AU196" si="6">IF(AR133="","库存为"&amp;M133,IF(AS133=0,"库存为"&amp;M133,INT(M133/AR133)))</f>
        <v>库存为39</v>
      </c>
      <c r="AV133" s="38" t="str">
        <f>IFERROR(时间!$B$4+AU133,"上周无销量")</f>
        <v>上周无销量</v>
      </c>
    </row>
    <row r="134" spans="1:48">
      <c r="A134" s="21" t="s">
        <v>426</v>
      </c>
      <c r="B134" t="s">
        <v>427</v>
      </c>
      <c r="C134" t="s">
        <v>421</v>
      </c>
      <c r="D134" s="33">
        <v>1</v>
      </c>
      <c r="E134" s="33">
        <v>0</v>
      </c>
      <c r="F134" s="33">
        <v>0</v>
      </c>
      <c r="G134" s="33">
        <v>0</v>
      </c>
      <c r="H134" s="34">
        <v>10</v>
      </c>
      <c r="I134">
        <v>46</v>
      </c>
      <c r="J134" s="35">
        <v>0</v>
      </c>
      <c r="K134" s="35">
        <v>0</v>
      </c>
      <c r="L134" s="35">
        <v>0</v>
      </c>
      <c r="M134">
        <v>46</v>
      </c>
      <c r="N134">
        <v>0</v>
      </c>
      <c r="O134">
        <v>45</v>
      </c>
      <c r="P134">
        <v>1068</v>
      </c>
      <c r="Q134">
        <v>787</v>
      </c>
      <c r="R134">
        <v>340</v>
      </c>
      <c r="S134">
        <v>172</v>
      </c>
      <c r="T134">
        <v>1</v>
      </c>
      <c r="U134">
        <v>0</v>
      </c>
      <c r="V134">
        <v>2</v>
      </c>
      <c r="W134">
        <v>1</v>
      </c>
      <c r="X134" s="23">
        <v>0.000936329588014981</v>
      </c>
      <c r="Y134" s="23">
        <v>0</v>
      </c>
      <c r="Z134" s="23">
        <v>0.00588235294117647</v>
      </c>
      <c r="AA134" s="23">
        <v>0.00581395348837209</v>
      </c>
      <c r="AB134">
        <v>0.32</v>
      </c>
      <c r="AC134">
        <v>0</v>
      </c>
      <c r="AD134">
        <v>0.7</v>
      </c>
      <c r="AE134">
        <v>0.04</v>
      </c>
      <c r="AF134" s="23">
        <v>0.032</v>
      </c>
      <c r="AG134" s="23" t="s">
        <v>54</v>
      </c>
      <c r="AH134" s="23" t="s">
        <v>274</v>
      </c>
      <c r="AI134" s="23" t="s">
        <v>428</v>
      </c>
      <c r="AJ134">
        <v>4</v>
      </c>
      <c r="AK134">
        <v>6</v>
      </c>
      <c r="AL134">
        <v>6</v>
      </c>
      <c r="AM134">
        <v>4</v>
      </c>
      <c r="AN134" s="23">
        <v>0.25</v>
      </c>
      <c r="AO134" s="23">
        <v>0</v>
      </c>
      <c r="AP134" s="23">
        <v>0</v>
      </c>
      <c r="AQ134" s="23">
        <v>0</v>
      </c>
      <c r="AR134" s="37">
        <v>0.142857142857143</v>
      </c>
      <c r="AS134" s="37">
        <v>8.57142857142857</v>
      </c>
      <c r="AT134" s="37">
        <v>37.4285714285714</v>
      </c>
      <c r="AU134" s="33">
        <f t="shared" si="6"/>
        <v>322</v>
      </c>
      <c r="AV134" s="38">
        <f>IFERROR(时间!$B$4+AU134,"上周无销量")</f>
        <v>43640</v>
      </c>
    </row>
    <row r="135" spans="1:48">
      <c r="A135" s="21" t="s">
        <v>429</v>
      </c>
      <c r="B135" t="s">
        <v>430</v>
      </c>
      <c r="C135" t="s">
        <v>431</v>
      </c>
      <c r="D135" s="33">
        <v>0</v>
      </c>
      <c r="E135" s="33">
        <v>0</v>
      </c>
      <c r="F135" s="33">
        <v>0</v>
      </c>
      <c r="G135" s="33">
        <v>1</v>
      </c>
      <c r="H135" s="34">
        <v>7.99</v>
      </c>
      <c r="I135">
        <v>46</v>
      </c>
      <c r="J135" s="35">
        <v>0</v>
      </c>
      <c r="K135" s="35">
        <v>0</v>
      </c>
      <c r="L135" s="35">
        <v>0</v>
      </c>
      <c r="M135">
        <v>46</v>
      </c>
      <c r="N135">
        <v>0</v>
      </c>
      <c r="O135">
        <v>45</v>
      </c>
      <c r="P135">
        <v>146</v>
      </c>
      <c r="Q135">
        <v>87</v>
      </c>
      <c r="R135">
        <v>88</v>
      </c>
      <c r="S135">
        <v>86</v>
      </c>
      <c r="T135">
        <v>0</v>
      </c>
      <c r="U135">
        <v>0</v>
      </c>
      <c r="V135">
        <v>1</v>
      </c>
      <c r="W135">
        <v>0</v>
      </c>
      <c r="X135" s="23">
        <v>0</v>
      </c>
      <c r="Y135" s="23">
        <v>0</v>
      </c>
      <c r="Z135" s="23">
        <v>0.0113636363636364</v>
      </c>
      <c r="AA135" s="23">
        <v>0</v>
      </c>
      <c r="AB135">
        <v>0</v>
      </c>
      <c r="AC135">
        <v>0</v>
      </c>
      <c r="AD135">
        <v>0.38</v>
      </c>
      <c r="AE135">
        <v>0</v>
      </c>
      <c r="AF135" s="23" t="s">
        <v>54</v>
      </c>
      <c r="AG135" s="23" t="s">
        <v>54</v>
      </c>
      <c r="AH135" s="23" t="s">
        <v>432</v>
      </c>
      <c r="AI135" s="23" t="s">
        <v>54</v>
      </c>
      <c r="AJ135">
        <v>4</v>
      </c>
      <c r="AK135">
        <v>3</v>
      </c>
      <c r="AL135">
        <v>2</v>
      </c>
      <c r="AM135">
        <v>3</v>
      </c>
      <c r="AN135" s="23">
        <v>0</v>
      </c>
      <c r="AO135" s="23">
        <v>0</v>
      </c>
      <c r="AP135" s="23">
        <v>0</v>
      </c>
      <c r="AQ135" s="23">
        <v>0.333333333333333</v>
      </c>
      <c r="AR135" s="37">
        <v>0</v>
      </c>
      <c r="AS135" s="37">
        <v>0</v>
      </c>
      <c r="AT135" s="37">
        <v>46</v>
      </c>
      <c r="AU135" s="33" t="str">
        <f t="shared" si="6"/>
        <v>库存为46</v>
      </c>
      <c r="AV135" s="38" t="str">
        <f>IFERROR(时间!$B$4+AU135,"上周无销量")</f>
        <v>上周无销量</v>
      </c>
    </row>
    <row r="136" spans="1:48">
      <c r="A136" s="21" t="s">
        <v>433</v>
      </c>
      <c r="B136" t="s">
        <v>434</v>
      </c>
      <c r="C136" t="s">
        <v>431</v>
      </c>
      <c r="D136" s="33">
        <v>0</v>
      </c>
      <c r="E136" s="33">
        <v>0</v>
      </c>
      <c r="F136" s="33">
        <v>1</v>
      </c>
      <c r="G136" s="33">
        <v>1</v>
      </c>
      <c r="H136" s="34">
        <v>5.41</v>
      </c>
      <c r="I136">
        <v>35</v>
      </c>
      <c r="J136" s="35">
        <v>0</v>
      </c>
      <c r="K136" s="35">
        <v>0</v>
      </c>
      <c r="L136" s="35">
        <v>0</v>
      </c>
      <c r="M136">
        <v>35</v>
      </c>
      <c r="N136">
        <v>0</v>
      </c>
      <c r="O136">
        <v>33</v>
      </c>
      <c r="P136">
        <v>2120</v>
      </c>
      <c r="Q136">
        <v>1917</v>
      </c>
      <c r="R136">
        <v>1341</v>
      </c>
      <c r="S136">
        <v>938</v>
      </c>
      <c r="T136">
        <v>2</v>
      </c>
      <c r="U136">
        <v>3</v>
      </c>
      <c r="V136">
        <v>2</v>
      </c>
      <c r="W136">
        <v>5</v>
      </c>
      <c r="X136" s="23">
        <v>0.000943396226415094</v>
      </c>
      <c r="Y136" s="23">
        <v>0.00156494522691706</v>
      </c>
      <c r="Z136" s="23">
        <v>0.00149142431021626</v>
      </c>
      <c r="AA136" s="23">
        <v>0.00533049040511727</v>
      </c>
      <c r="AB136">
        <v>0.93</v>
      </c>
      <c r="AC136">
        <v>0.8</v>
      </c>
      <c r="AD136">
        <v>0.6</v>
      </c>
      <c r="AE136">
        <v>1.5</v>
      </c>
      <c r="AF136" s="23" t="s">
        <v>425</v>
      </c>
      <c r="AG136" s="23" t="s">
        <v>435</v>
      </c>
      <c r="AH136" s="23">
        <v>0.11090573012939</v>
      </c>
      <c r="AI136" s="23">
        <v>0.277264325323475</v>
      </c>
      <c r="AJ136">
        <v>6</v>
      </c>
      <c r="AK136">
        <v>4</v>
      </c>
      <c r="AL136">
        <v>3</v>
      </c>
      <c r="AM136">
        <v>4</v>
      </c>
      <c r="AN136" s="23">
        <v>0</v>
      </c>
      <c r="AO136" s="23">
        <v>0</v>
      </c>
      <c r="AP136" s="23">
        <v>0.333333333333333</v>
      </c>
      <c r="AQ136" s="23">
        <v>0.25</v>
      </c>
      <c r="AR136" s="37">
        <v>0</v>
      </c>
      <c r="AS136" s="37">
        <v>0</v>
      </c>
      <c r="AT136" s="37">
        <v>35</v>
      </c>
      <c r="AU136" s="33" t="str">
        <f t="shared" si="6"/>
        <v>库存为35</v>
      </c>
      <c r="AV136" s="38" t="str">
        <f>IFERROR(时间!$B$4+AU136,"上周无销量")</f>
        <v>上周无销量</v>
      </c>
    </row>
    <row r="137" spans="1:48">
      <c r="A137" s="21" t="s">
        <v>436</v>
      </c>
      <c r="B137" t="s">
        <v>437</v>
      </c>
      <c r="C137" t="s">
        <v>431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44</v>
      </c>
      <c r="J137" s="35">
        <v>0</v>
      </c>
      <c r="K137" s="35">
        <v>0</v>
      </c>
      <c r="L137" s="35">
        <v>0</v>
      </c>
      <c r="M137">
        <v>44</v>
      </c>
      <c r="N137">
        <v>0</v>
      </c>
      <c r="O137">
        <v>44</v>
      </c>
      <c r="P137">
        <v>562</v>
      </c>
      <c r="Q137">
        <v>354</v>
      </c>
      <c r="R137">
        <v>274</v>
      </c>
      <c r="S137">
        <v>202</v>
      </c>
      <c r="T137">
        <v>2</v>
      </c>
      <c r="U137">
        <v>2</v>
      </c>
      <c r="V137">
        <v>4</v>
      </c>
      <c r="W137">
        <v>1</v>
      </c>
      <c r="X137" s="23">
        <v>0.00355871886120996</v>
      </c>
      <c r="Y137" s="23">
        <v>0.00564971751412429</v>
      </c>
      <c r="Z137" s="23">
        <v>0.0145985401459854</v>
      </c>
      <c r="AA137" s="23">
        <v>0.00495049504950495</v>
      </c>
      <c r="AB137">
        <v>0.55</v>
      </c>
      <c r="AC137">
        <v>0.64</v>
      </c>
      <c r="AD137">
        <v>1.04</v>
      </c>
      <c r="AE137">
        <v>0.26</v>
      </c>
      <c r="AF137" s="23" t="s">
        <v>438</v>
      </c>
      <c r="AG137" s="23" t="s">
        <v>439</v>
      </c>
      <c r="AH137" s="23" t="s">
        <v>440</v>
      </c>
      <c r="AI137" s="23" t="s">
        <v>441</v>
      </c>
      <c r="AJ137">
        <v>1</v>
      </c>
      <c r="AK137">
        <v>6</v>
      </c>
      <c r="AL137">
        <v>3</v>
      </c>
      <c r="AM137">
        <v>5</v>
      </c>
      <c r="AN137" s="23">
        <v>0</v>
      </c>
      <c r="AO137" s="23">
        <v>0</v>
      </c>
      <c r="AP137" s="23">
        <v>0</v>
      </c>
      <c r="AQ137" s="23">
        <v>0</v>
      </c>
      <c r="AR137" s="37">
        <v>0</v>
      </c>
      <c r="AS137" s="37">
        <v>0</v>
      </c>
      <c r="AT137" s="37">
        <v>44</v>
      </c>
      <c r="AU137" s="33" t="str">
        <f t="shared" si="6"/>
        <v>库存为44</v>
      </c>
      <c r="AV137" s="38" t="str">
        <f>IFERROR(时间!$B$4+AU137,"上周无销量")</f>
        <v>上周无销量</v>
      </c>
    </row>
    <row r="138" spans="1:48">
      <c r="A138" s="21" t="s">
        <v>442</v>
      </c>
      <c r="B138" t="s">
        <v>443</v>
      </c>
      <c r="C138" t="s">
        <v>431</v>
      </c>
      <c r="D138" s="33">
        <v>0</v>
      </c>
      <c r="E138" s="33">
        <v>0</v>
      </c>
      <c r="F138" s="33">
        <v>1</v>
      </c>
      <c r="G138" s="33">
        <v>0</v>
      </c>
      <c r="H138" s="34">
        <v>9.99</v>
      </c>
      <c r="I138">
        <v>33</v>
      </c>
      <c r="J138" s="35">
        <v>0</v>
      </c>
      <c r="K138" s="35">
        <v>0</v>
      </c>
      <c r="L138" s="35">
        <v>0</v>
      </c>
      <c r="M138">
        <v>33</v>
      </c>
      <c r="N138">
        <v>1</v>
      </c>
      <c r="O138">
        <v>30</v>
      </c>
      <c r="P138">
        <v>3094</v>
      </c>
      <c r="Q138">
        <v>1836</v>
      </c>
      <c r="R138">
        <v>1328</v>
      </c>
      <c r="S138">
        <v>1472</v>
      </c>
      <c r="T138">
        <v>5</v>
      </c>
      <c r="U138">
        <v>4</v>
      </c>
      <c r="V138">
        <v>3</v>
      </c>
      <c r="W138">
        <v>0</v>
      </c>
      <c r="X138" s="23">
        <v>0.00161603102779573</v>
      </c>
      <c r="Y138" s="23">
        <v>0.00217864923747277</v>
      </c>
      <c r="Z138" s="23">
        <v>0.00225903614457831</v>
      </c>
      <c r="AA138" s="23">
        <v>0</v>
      </c>
      <c r="AB138">
        <v>2.32</v>
      </c>
      <c r="AC138">
        <v>1.36</v>
      </c>
      <c r="AD138">
        <v>1.16</v>
      </c>
      <c r="AE138">
        <v>0</v>
      </c>
      <c r="AF138" s="23" t="s">
        <v>444</v>
      </c>
      <c r="AG138" s="23" t="s">
        <v>445</v>
      </c>
      <c r="AH138" s="23">
        <v>0.116116116116116</v>
      </c>
      <c r="AI138" s="23" t="s">
        <v>54</v>
      </c>
      <c r="AJ138">
        <v>10</v>
      </c>
      <c r="AK138">
        <v>5</v>
      </c>
      <c r="AL138">
        <v>3</v>
      </c>
      <c r="AM138">
        <v>6</v>
      </c>
      <c r="AN138" s="23">
        <v>0</v>
      </c>
      <c r="AO138" s="23">
        <v>0</v>
      </c>
      <c r="AP138" s="23">
        <v>0.333333333333333</v>
      </c>
      <c r="AQ138" s="23">
        <v>0</v>
      </c>
      <c r="AR138" s="37">
        <v>0</v>
      </c>
      <c r="AS138" s="37">
        <v>0</v>
      </c>
      <c r="AT138" s="37">
        <v>33</v>
      </c>
      <c r="AU138" s="33" t="str">
        <f t="shared" si="6"/>
        <v>库存为33</v>
      </c>
      <c r="AV138" s="38" t="str">
        <f>IFERROR(时间!$B$4+AU138,"上周无销量")</f>
        <v>上周无销量</v>
      </c>
    </row>
    <row r="139" spans="1:48">
      <c r="A139" s="21" t="s">
        <v>446</v>
      </c>
      <c r="B139" t="s">
        <v>447</v>
      </c>
      <c r="C139" t="s">
        <v>431</v>
      </c>
      <c r="D139" s="33">
        <v>0</v>
      </c>
      <c r="E139" s="33">
        <v>0</v>
      </c>
      <c r="F139" s="33">
        <v>1</v>
      </c>
      <c r="G139" s="33">
        <v>1</v>
      </c>
      <c r="H139" s="34">
        <v>9.99</v>
      </c>
      <c r="I139">
        <v>28</v>
      </c>
      <c r="J139" s="35">
        <v>0</v>
      </c>
      <c r="K139" s="35">
        <v>0</v>
      </c>
      <c r="L139" s="35">
        <v>0</v>
      </c>
      <c r="M139">
        <v>28</v>
      </c>
      <c r="N139">
        <v>0</v>
      </c>
      <c r="O139">
        <v>23</v>
      </c>
      <c r="P139">
        <v>142</v>
      </c>
      <c r="Q139">
        <v>94</v>
      </c>
      <c r="R139">
        <v>116</v>
      </c>
      <c r="S139">
        <v>63</v>
      </c>
      <c r="T139">
        <v>0</v>
      </c>
      <c r="U139">
        <v>0</v>
      </c>
      <c r="V139">
        <v>0</v>
      </c>
      <c r="W139">
        <v>1</v>
      </c>
      <c r="X139" s="23">
        <v>0</v>
      </c>
      <c r="Y139" s="23">
        <v>0</v>
      </c>
      <c r="Z139" s="23">
        <v>0</v>
      </c>
      <c r="AA139" s="23">
        <v>0.0158730158730159</v>
      </c>
      <c r="AB139">
        <v>0</v>
      </c>
      <c r="AC139">
        <v>0</v>
      </c>
      <c r="AD139">
        <v>0</v>
      </c>
      <c r="AE139">
        <v>0.53</v>
      </c>
      <c r="AF139" s="23" t="s">
        <v>54</v>
      </c>
      <c r="AG139" s="23" t="s">
        <v>54</v>
      </c>
      <c r="AH139" s="23" t="s">
        <v>54</v>
      </c>
      <c r="AI139" s="23">
        <v>0.0530530530530531</v>
      </c>
      <c r="AJ139">
        <v>8</v>
      </c>
      <c r="AK139">
        <v>4</v>
      </c>
      <c r="AL139">
        <v>4</v>
      </c>
      <c r="AM139">
        <v>5</v>
      </c>
      <c r="AN139" s="23">
        <v>0</v>
      </c>
      <c r="AO139" s="23">
        <v>0</v>
      </c>
      <c r="AP139" s="23">
        <v>0.25</v>
      </c>
      <c r="AQ139" s="23">
        <v>0.2</v>
      </c>
      <c r="AR139" s="37">
        <v>0</v>
      </c>
      <c r="AS139" s="37">
        <v>0</v>
      </c>
      <c r="AT139" s="37">
        <v>28</v>
      </c>
      <c r="AU139" s="33" t="str">
        <f t="shared" si="6"/>
        <v>库存为28</v>
      </c>
      <c r="AV139" s="38" t="str">
        <f>IFERROR(时间!$B$4+AU139,"上周无销量")</f>
        <v>上周无销量</v>
      </c>
    </row>
    <row r="140" spans="1:48">
      <c r="A140" s="21" t="s">
        <v>448</v>
      </c>
      <c r="B140" t="s">
        <v>449</v>
      </c>
      <c r="C140" t="s">
        <v>431</v>
      </c>
      <c r="D140" s="33">
        <v>0</v>
      </c>
      <c r="E140" s="33">
        <v>2</v>
      </c>
      <c r="F140" s="33">
        <v>1</v>
      </c>
      <c r="G140" s="33">
        <v>3</v>
      </c>
      <c r="H140" s="34">
        <v>9.99</v>
      </c>
      <c r="I140">
        <v>30</v>
      </c>
      <c r="J140" s="35">
        <v>0</v>
      </c>
      <c r="K140" s="35">
        <v>0</v>
      </c>
      <c r="L140" s="35">
        <v>0</v>
      </c>
      <c r="M140">
        <v>30</v>
      </c>
      <c r="N140">
        <v>0</v>
      </c>
      <c r="O140">
        <v>28</v>
      </c>
      <c r="P140">
        <v>3481</v>
      </c>
      <c r="Q140">
        <v>5569</v>
      </c>
      <c r="R140">
        <v>1355</v>
      </c>
      <c r="S140">
        <v>289</v>
      </c>
      <c r="T140">
        <v>14</v>
      </c>
      <c r="U140">
        <v>18</v>
      </c>
      <c r="V140">
        <v>19</v>
      </c>
      <c r="W140">
        <v>1</v>
      </c>
      <c r="X140" s="23">
        <v>0.00402183280666475</v>
      </c>
      <c r="Y140" s="23">
        <v>0.00323217812892799</v>
      </c>
      <c r="Z140" s="23">
        <v>0.0140221402214022</v>
      </c>
      <c r="AA140" s="23">
        <v>0.00346020761245675</v>
      </c>
      <c r="AB140">
        <v>4.51</v>
      </c>
      <c r="AC140">
        <v>5.51</v>
      </c>
      <c r="AD140">
        <v>3.73</v>
      </c>
      <c r="AE140">
        <v>0.4</v>
      </c>
      <c r="AF140" s="23" t="s">
        <v>450</v>
      </c>
      <c r="AG140" s="23">
        <v>0.275775775775776</v>
      </c>
      <c r="AH140" s="23">
        <v>0.373373373373373</v>
      </c>
      <c r="AI140" s="23">
        <v>0.0133466800133467</v>
      </c>
      <c r="AJ140">
        <v>15</v>
      </c>
      <c r="AK140">
        <v>18</v>
      </c>
      <c r="AL140">
        <v>23</v>
      </c>
      <c r="AM140">
        <v>7</v>
      </c>
      <c r="AN140" s="23">
        <v>0</v>
      </c>
      <c r="AO140" s="23">
        <v>0.111111111111111</v>
      </c>
      <c r="AP140" s="23">
        <v>0.0434782608695652</v>
      </c>
      <c r="AQ140" s="23">
        <v>0.428571428571429</v>
      </c>
      <c r="AR140" s="37">
        <v>0</v>
      </c>
      <c r="AS140" s="37">
        <v>0</v>
      </c>
      <c r="AT140" s="37">
        <v>30</v>
      </c>
      <c r="AU140" s="33" t="str">
        <f t="shared" si="6"/>
        <v>库存为30</v>
      </c>
      <c r="AV140" s="38" t="str">
        <f>IFERROR(时间!$B$4+AU140,"上周无销量")</f>
        <v>上周无销量</v>
      </c>
    </row>
    <row r="141" spans="1:48">
      <c r="A141" s="21" t="s">
        <v>451</v>
      </c>
      <c r="B141" t="s">
        <v>452</v>
      </c>
      <c r="C141" t="s">
        <v>431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35</v>
      </c>
      <c r="J141" s="35">
        <v>0</v>
      </c>
      <c r="K141" s="35">
        <v>0</v>
      </c>
      <c r="L141" s="35">
        <v>0</v>
      </c>
      <c r="M141">
        <v>35</v>
      </c>
      <c r="N141">
        <v>0</v>
      </c>
      <c r="O141">
        <v>35</v>
      </c>
      <c r="P141">
        <v>498</v>
      </c>
      <c r="Q141">
        <v>427</v>
      </c>
      <c r="R141">
        <v>269</v>
      </c>
      <c r="S141">
        <v>214</v>
      </c>
      <c r="T141">
        <v>3</v>
      </c>
      <c r="U141">
        <v>1</v>
      </c>
      <c r="V141">
        <v>1</v>
      </c>
      <c r="W141">
        <v>1</v>
      </c>
      <c r="X141" s="23">
        <v>0.00602409638554217</v>
      </c>
      <c r="Y141" s="23">
        <v>0.00234192037470726</v>
      </c>
      <c r="Z141" s="23">
        <v>0.00371747211895911</v>
      </c>
      <c r="AA141" s="23">
        <v>0.00467289719626168</v>
      </c>
      <c r="AB141">
        <v>0.87</v>
      </c>
      <c r="AC141">
        <v>0.24</v>
      </c>
      <c r="AD141">
        <v>0.39</v>
      </c>
      <c r="AE141">
        <v>0.52</v>
      </c>
      <c r="AF141" s="23" t="s">
        <v>453</v>
      </c>
      <c r="AG141" s="23" t="s">
        <v>454</v>
      </c>
      <c r="AH141" s="23" t="s">
        <v>275</v>
      </c>
      <c r="AI141" s="23" t="s">
        <v>455</v>
      </c>
      <c r="AJ141">
        <v>8</v>
      </c>
      <c r="AK141">
        <v>5</v>
      </c>
      <c r="AL141">
        <v>3</v>
      </c>
      <c r="AM141">
        <v>7</v>
      </c>
      <c r="AN141" s="23">
        <v>0</v>
      </c>
      <c r="AO141" s="23">
        <v>0</v>
      </c>
      <c r="AP141" s="23">
        <v>0</v>
      </c>
      <c r="AQ141" s="23">
        <v>0</v>
      </c>
      <c r="AR141" s="37">
        <v>0</v>
      </c>
      <c r="AS141" s="37">
        <v>0</v>
      </c>
      <c r="AT141" s="37">
        <v>35</v>
      </c>
      <c r="AU141" s="33" t="str">
        <f t="shared" si="6"/>
        <v>库存为35</v>
      </c>
      <c r="AV141" s="38" t="str">
        <f>IFERROR(时间!$B$4+AU141,"上周无销量")</f>
        <v>上周无销量</v>
      </c>
    </row>
    <row r="142" spans="1:48">
      <c r="A142" s="21" t="s">
        <v>456</v>
      </c>
      <c r="B142" t="s">
        <v>457</v>
      </c>
      <c r="C142" t="s">
        <v>431</v>
      </c>
      <c r="D142" s="33">
        <v>2</v>
      </c>
      <c r="E142" s="33">
        <v>2</v>
      </c>
      <c r="F142" s="33">
        <v>3</v>
      </c>
      <c r="G142" s="33">
        <v>1</v>
      </c>
      <c r="H142" s="34">
        <v>8.53</v>
      </c>
      <c r="I142">
        <v>26</v>
      </c>
      <c r="J142" s="35">
        <v>0</v>
      </c>
      <c r="K142" s="35">
        <v>0</v>
      </c>
      <c r="L142" s="35">
        <v>0</v>
      </c>
      <c r="M142">
        <v>26</v>
      </c>
      <c r="N142">
        <v>0</v>
      </c>
      <c r="O142">
        <v>26</v>
      </c>
      <c r="P142">
        <v>789</v>
      </c>
      <c r="Q142">
        <v>548</v>
      </c>
      <c r="R142">
        <v>240</v>
      </c>
      <c r="S142">
        <v>136</v>
      </c>
      <c r="T142">
        <v>2</v>
      </c>
      <c r="U142">
        <v>4</v>
      </c>
      <c r="V142">
        <v>2</v>
      </c>
      <c r="W142">
        <v>1</v>
      </c>
      <c r="X142" s="23">
        <v>0.00253485424588086</v>
      </c>
      <c r="Y142" s="23">
        <v>0.0072992700729927</v>
      </c>
      <c r="Z142" s="23">
        <v>0.00833333333333333</v>
      </c>
      <c r="AA142" s="23">
        <v>0.00735294117647059</v>
      </c>
      <c r="AB142">
        <v>0.57</v>
      </c>
      <c r="AC142">
        <v>1.32</v>
      </c>
      <c r="AD142">
        <v>0.82</v>
      </c>
      <c r="AE142">
        <v>0.09</v>
      </c>
      <c r="AF142" s="23">
        <v>0.033411488862837</v>
      </c>
      <c r="AG142" s="23">
        <v>0.0773739742086753</v>
      </c>
      <c r="AH142" s="23">
        <v>0.0320437670965221</v>
      </c>
      <c r="AI142" s="23">
        <v>0.0105509964830012</v>
      </c>
      <c r="AJ142">
        <v>11</v>
      </c>
      <c r="AK142">
        <v>3</v>
      </c>
      <c r="AL142">
        <v>6</v>
      </c>
      <c r="AM142">
        <v>5</v>
      </c>
      <c r="AN142" s="23">
        <v>0.181818181818182</v>
      </c>
      <c r="AO142" s="23">
        <v>0.666666666666667</v>
      </c>
      <c r="AP142" s="23">
        <v>0.5</v>
      </c>
      <c r="AQ142" s="23">
        <v>0.2</v>
      </c>
      <c r="AR142" s="37">
        <v>0.285714285714286</v>
      </c>
      <c r="AS142" s="37">
        <v>17.1428571428571</v>
      </c>
      <c r="AT142" s="37">
        <v>8.85714285714286</v>
      </c>
      <c r="AU142" s="33">
        <f t="shared" si="6"/>
        <v>91</v>
      </c>
      <c r="AV142" s="38">
        <f>IFERROR(时间!$B$4+AU142,"上周无销量")</f>
        <v>43409</v>
      </c>
    </row>
    <row r="143" spans="1:48">
      <c r="A143" s="21" t="s">
        <v>458</v>
      </c>
      <c r="B143" t="s">
        <v>459</v>
      </c>
      <c r="C143" t="s">
        <v>431</v>
      </c>
      <c r="D143" s="33">
        <v>1</v>
      </c>
      <c r="E143" s="33">
        <v>0</v>
      </c>
      <c r="F143" s="33">
        <v>2</v>
      </c>
      <c r="G143" s="33">
        <v>3</v>
      </c>
      <c r="H143" s="34">
        <v>7.46</v>
      </c>
      <c r="I143">
        <v>30</v>
      </c>
      <c r="J143" s="35">
        <v>0</v>
      </c>
      <c r="K143" s="35">
        <v>0</v>
      </c>
      <c r="L143" s="35">
        <v>0</v>
      </c>
      <c r="M143">
        <v>30</v>
      </c>
      <c r="N143">
        <v>0</v>
      </c>
      <c r="O143">
        <v>29</v>
      </c>
      <c r="P143">
        <v>287</v>
      </c>
      <c r="Q143">
        <v>200</v>
      </c>
      <c r="R143">
        <v>76</v>
      </c>
      <c r="S143">
        <v>50</v>
      </c>
      <c r="T143">
        <v>2</v>
      </c>
      <c r="U143">
        <v>2</v>
      </c>
      <c r="V143">
        <v>2</v>
      </c>
      <c r="W143">
        <v>0</v>
      </c>
      <c r="X143" s="23">
        <v>0.00696864111498258</v>
      </c>
      <c r="Y143" s="23">
        <v>0.01</v>
      </c>
      <c r="Z143" s="23">
        <v>0.0263157894736842</v>
      </c>
      <c r="AA143" s="23">
        <v>0</v>
      </c>
      <c r="AB143">
        <v>1.08</v>
      </c>
      <c r="AC143">
        <v>0.81</v>
      </c>
      <c r="AD143">
        <v>0.78</v>
      </c>
      <c r="AE143">
        <v>0</v>
      </c>
      <c r="AF143" s="23">
        <v>0.144772117962467</v>
      </c>
      <c r="AG143" s="23" t="s">
        <v>460</v>
      </c>
      <c r="AH143" s="23">
        <v>0.0522788203753351</v>
      </c>
      <c r="AI143" s="23" t="s">
        <v>54</v>
      </c>
      <c r="AJ143">
        <v>9</v>
      </c>
      <c r="AK143">
        <v>5</v>
      </c>
      <c r="AL143">
        <v>1</v>
      </c>
      <c r="AM143">
        <v>6</v>
      </c>
      <c r="AN143" s="23">
        <v>0.111111111111111</v>
      </c>
      <c r="AO143" s="23">
        <v>0</v>
      </c>
      <c r="AP143" s="23">
        <v>2</v>
      </c>
      <c r="AQ143" s="23">
        <v>0.5</v>
      </c>
      <c r="AR143" s="37">
        <v>0.142857142857143</v>
      </c>
      <c r="AS143" s="37">
        <v>8.57142857142857</v>
      </c>
      <c r="AT143" s="37">
        <v>21.4285714285714</v>
      </c>
      <c r="AU143" s="33">
        <f t="shared" si="6"/>
        <v>210</v>
      </c>
      <c r="AV143" s="38">
        <f>IFERROR(时间!$B$4+AU143,"上周无销量")</f>
        <v>43528</v>
      </c>
    </row>
    <row r="144" spans="1:48">
      <c r="A144" s="21" t="s">
        <v>461</v>
      </c>
      <c r="B144" t="s">
        <v>462</v>
      </c>
      <c r="C144" t="s">
        <v>463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6</v>
      </c>
      <c r="J144" s="35">
        <v>0</v>
      </c>
      <c r="K144" s="35">
        <v>0</v>
      </c>
      <c r="L144" s="35">
        <v>0</v>
      </c>
      <c r="M144">
        <v>6</v>
      </c>
      <c r="N144">
        <v>0</v>
      </c>
      <c r="O144">
        <v>6</v>
      </c>
      <c r="P144">
        <v>0</v>
      </c>
      <c r="Q144">
        <v>0</v>
      </c>
      <c r="R144">
        <v>28</v>
      </c>
      <c r="S144">
        <v>67</v>
      </c>
      <c r="T144">
        <v>0</v>
      </c>
      <c r="U144">
        <v>0</v>
      </c>
      <c r="V144">
        <v>0</v>
      </c>
      <c r="W144">
        <v>0</v>
      </c>
      <c r="X144" s="23" t="s">
        <v>54</v>
      </c>
      <c r="Y144" s="23" t="s">
        <v>54</v>
      </c>
      <c r="Z144" s="23">
        <v>0</v>
      </c>
      <c r="AA144" s="23">
        <v>0</v>
      </c>
      <c r="AB144">
        <v>0</v>
      </c>
      <c r="AC144">
        <v>0</v>
      </c>
      <c r="AD144">
        <v>0</v>
      </c>
      <c r="AE144">
        <v>0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9</v>
      </c>
      <c r="AK144">
        <v>4</v>
      </c>
      <c r="AL144">
        <v>12</v>
      </c>
      <c r="AM144">
        <v>4</v>
      </c>
      <c r="AN144" s="23">
        <v>0</v>
      </c>
      <c r="AO144" s="23">
        <v>0</v>
      </c>
      <c r="AP144" s="23">
        <v>0</v>
      </c>
      <c r="AQ144" s="23">
        <v>0</v>
      </c>
      <c r="AR144" s="37">
        <v>0</v>
      </c>
      <c r="AS144" s="37">
        <v>0</v>
      </c>
      <c r="AT144" s="37">
        <v>6</v>
      </c>
      <c r="AU144" s="33" t="str">
        <f t="shared" si="6"/>
        <v>库存为6</v>
      </c>
      <c r="AV144" s="38" t="str">
        <f>IFERROR(时间!$B$4+AU144,"上周无销量")</f>
        <v>上周无销量</v>
      </c>
    </row>
    <row r="145" spans="1:48">
      <c r="A145" s="21" t="s">
        <v>464</v>
      </c>
      <c r="B145" t="s">
        <v>465</v>
      </c>
      <c r="C145" t="s">
        <v>463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3</v>
      </c>
      <c r="J145" s="35">
        <v>0</v>
      </c>
      <c r="K145" s="35">
        <v>0</v>
      </c>
      <c r="L145" s="35">
        <v>0</v>
      </c>
      <c r="M145">
        <v>3</v>
      </c>
      <c r="N145">
        <v>0</v>
      </c>
      <c r="O145">
        <v>3</v>
      </c>
      <c r="P145">
        <v>0</v>
      </c>
      <c r="Q145">
        <v>0</v>
      </c>
      <c r="R145">
        <v>14</v>
      </c>
      <c r="S145">
        <v>77</v>
      </c>
      <c r="T145">
        <v>0</v>
      </c>
      <c r="U145">
        <v>0</v>
      </c>
      <c r="V145">
        <v>0</v>
      </c>
      <c r="W145">
        <v>0</v>
      </c>
      <c r="X145" s="23" t="s">
        <v>54</v>
      </c>
      <c r="Y145" s="23" t="s">
        <v>54</v>
      </c>
      <c r="Z145" s="23">
        <v>0</v>
      </c>
      <c r="AA145" s="23">
        <v>0</v>
      </c>
      <c r="AB145">
        <v>0</v>
      </c>
      <c r="AC145">
        <v>0</v>
      </c>
      <c r="AD145">
        <v>0</v>
      </c>
      <c r="AE145">
        <v>0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2</v>
      </c>
      <c r="AK145">
        <v>2</v>
      </c>
      <c r="AL145">
        <v>4</v>
      </c>
      <c r="AM145">
        <v>2</v>
      </c>
      <c r="AN145" s="23">
        <v>0</v>
      </c>
      <c r="AO145" s="23">
        <v>0</v>
      </c>
      <c r="AP145" s="23">
        <v>0</v>
      </c>
      <c r="AQ145" s="23">
        <v>0</v>
      </c>
      <c r="AR145" s="37">
        <v>0</v>
      </c>
      <c r="AS145" s="37">
        <v>0</v>
      </c>
      <c r="AT145" s="37">
        <v>3</v>
      </c>
      <c r="AU145" s="33" t="str">
        <f t="shared" si="6"/>
        <v>库存为3</v>
      </c>
      <c r="AV145" s="38" t="str">
        <f>IFERROR(时间!$B$4+AU145,"上周无销量")</f>
        <v>上周无销量</v>
      </c>
    </row>
    <row r="146" spans="1:48">
      <c r="A146" s="21" t="s">
        <v>466</v>
      </c>
      <c r="B146" t="s">
        <v>467</v>
      </c>
      <c r="C146" t="s">
        <v>468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1</v>
      </c>
      <c r="J146" s="35">
        <v>0</v>
      </c>
      <c r="K146" s="35">
        <v>0</v>
      </c>
      <c r="L146" s="35">
        <v>0</v>
      </c>
      <c r="M146">
        <v>1</v>
      </c>
      <c r="N146">
        <v>0</v>
      </c>
      <c r="O146">
        <v>1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5</v>
      </c>
      <c r="AK146">
        <v>2</v>
      </c>
      <c r="AL146">
        <v>3</v>
      </c>
      <c r="AM146">
        <v>5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1</v>
      </c>
      <c r="AU146" s="33" t="str">
        <f t="shared" si="6"/>
        <v>库存为1</v>
      </c>
      <c r="AV146" s="38" t="str">
        <f>IFERROR(时间!$B$4+AU146,"上周无销量")</f>
        <v>上周无销量</v>
      </c>
    </row>
    <row r="147" spans="1:48">
      <c r="A147" s="21" t="s">
        <v>469</v>
      </c>
      <c r="B147" t="s">
        <v>470</v>
      </c>
      <c r="C147" t="s">
        <v>468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10</v>
      </c>
      <c r="J147" s="35">
        <v>0</v>
      </c>
      <c r="K147" s="35">
        <v>0</v>
      </c>
      <c r="L147" s="35">
        <v>0</v>
      </c>
      <c r="M147">
        <v>10</v>
      </c>
      <c r="N147">
        <v>0</v>
      </c>
      <c r="O147">
        <v>10</v>
      </c>
      <c r="P147">
        <v>2598</v>
      </c>
      <c r="Q147">
        <v>1806</v>
      </c>
      <c r="R147">
        <v>1243</v>
      </c>
      <c r="S147">
        <v>219</v>
      </c>
      <c r="T147">
        <v>24</v>
      </c>
      <c r="U147">
        <v>15</v>
      </c>
      <c r="V147">
        <v>25</v>
      </c>
      <c r="W147">
        <v>2</v>
      </c>
      <c r="X147" s="23">
        <v>0.0092378752886836</v>
      </c>
      <c r="Y147" s="23">
        <v>0.00830564784053156</v>
      </c>
      <c r="Z147" s="23">
        <v>0.0201126307320998</v>
      </c>
      <c r="AA147" s="23">
        <v>0.0091324200913242</v>
      </c>
      <c r="AB147">
        <v>10.92</v>
      </c>
      <c r="AC147">
        <v>7.92</v>
      </c>
      <c r="AD147">
        <v>12.01</v>
      </c>
      <c r="AE147">
        <v>0.98</v>
      </c>
      <c r="AF147" s="23" t="s">
        <v>471</v>
      </c>
      <c r="AG147" s="23" t="s">
        <v>472</v>
      </c>
      <c r="AH147" s="23" t="s">
        <v>473</v>
      </c>
      <c r="AI147" s="23" t="s">
        <v>224</v>
      </c>
      <c r="AJ147">
        <v>15</v>
      </c>
      <c r="AK147">
        <v>4</v>
      </c>
      <c r="AL147">
        <v>8</v>
      </c>
      <c r="AM147">
        <v>4</v>
      </c>
      <c r="AN147" s="23">
        <v>0</v>
      </c>
      <c r="AO147" s="23">
        <v>0</v>
      </c>
      <c r="AP147" s="23">
        <v>0</v>
      </c>
      <c r="AQ147" s="23">
        <v>0</v>
      </c>
      <c r="AR147" s="37">
        <v>0</v>
      </c>
      <c r="AS147" s="37">
        <v>0</v>
      </c>
      <c r="AT147" s="37">
        <v>10</v>
      </c>
      <c r="AU147" s="33" t="str">
        <f t="shared" si="6"/>
        <v>库存为10</v>
      </c>
      <c r="AV147" s="38" t="str">
        <f>IFERROR(时间!$B$4+AU147,"上周无销量")</f>
        <v>上周无销量</v>
      </c>
    </row>
    <row r="148" spans="1:48">
      <c r="A148" s="21" t="s">
        <v>474</v>
      </c>
      <c r="B148" t="s">
        <v>475</v>
      </c>
      <c r="C148" t="s">
        <v>468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12</v>
      </c>
      <c r="J148" s="35">
        <v>0</v>
      </c>
      <c r="K148" s="35">
        <v>0</v>
      </c>
      <c r="L148" s="35">
        <v>0</v>
      </c>
      <c r="M148">
        <v>12</v>
      </c>
      <c r="N148">
        <v>0</v>
      </c>
      <c r="O148">
        <v>12</v>
      </c>
      <c r="P148">
        <v>15</v>
      </c>
      <c r="Q148">
        <v>19</v>
      </c>
      <c r="R148">
        <v>136</v>
      </c>
      <c r="S148">
        <v>558</v>
      </c>
      <c r="T148">
        <v>0</v>
      </c>
      <c r="U148">
        <v>0</v>
      </c>
      <c r="V148">
        <v>0</v>
      </c>
      <c r="W148">
        <v>1</v>
      </c>
      <c r="X148" s="23">
        <v>0</v>
      </c>
      <c r="Y148" s="23">
        <v>0</v>
      </c>
      <c r="Z148" s="23">
        <v>0</v>
      </c>
      <c r="AA148" s="23">
        <v>0.0017921146953405</v>
      </c>
      <c r="AB148">
        <v>0</v>
      </c>
      <c r="AC148">
        <v>0</v>
      </c>
      <c r="AD148">
        <v>0</v>
      </c>
      <c r="AE148">
        <v>0.15</v>
      </c>
      <c r="AF148" s="23" t="s">
        <v>54</v>
      </c>
      <c r="AG148" s="23" t="s">
        <v>54</v>
      </c>
      <c r="AH148" s="23" t="s">
        <v>54</v>
      </c>
      <c r="AI148" s="23" t="s">
        <v>476</v>
      </c>
      <c r="AJ148">
        <v>16</v>
      </c>
      <c r="AK148">
        <v>4</v>
      </c>
      <c r="AL148">
        <v>5</v>
      </c>
      <c r="AM148">
        <v>5</v>
      </c>
      <c r="AN148" s="23">
        <v>0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12</v>
      </c>
      <c r="AU148" s="33" t="str">
        <f t="shared" si="6"/>
        <v>库存为12</v>
      </c>
      <c r="AV148" s="38" t="str">
        <f>IFERROR(时间!$B$4+AU148,"上周无销量")</f>
        <v>上周无销量</v>
      </c>
    </row>
    <row r="149" spans="1:48">
      <c r="A149" s="21" t="s">
        <v>477</v>
      </c>
      <c r="B149" t="s">
        <v>478</v>
      </c>
      <c r="C149" t="s">
        <v>468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7">
        <v>0</v>
      </c>
      <c r="AS149" s="37">
        <v>0</v>
      </c>
      <c r="AT149" s="37">
        <v>0</v>
      </c>
      <c r="AU149" s="33" t="str">
        <f t="shared" si="6"/>
        <v>库存为0</v>
      </c>
      <c r="AV149" s="38" t="str">
        <f>IFERROR(时间!$B$4+AU149,"上周无销量")</f>
        <v>上周无销量</v>
      </c>
    </row>
    <row r="150" spans="1:48">
      <c r="A150" s="21" t="s">
        <v>479</v>
      </c>
      <c r="B150" t="s">
        <v>480</v>
      </c>
      <c r="C150" t="s">
        <v>468</v>
      </c>
      <c r="D150" s="33">
        <v>0</v>
      </c>
      <c r="E150" s="33">
        <v>1</v>
      </c>
      <c r="F150" s="33">
        <v>0</v>
      </c>
      <c r="G150" s="33">
        <v>0</v>
      </c>
      <c r="H150" s="34">
        <v>13.9</v>
      </c>
      <c r="I150">
        <v>1</v>
      </c>
      <c r="J150" s="35">
        <v>0</v>
      </c>
      <c r="K150" s="35">
        <v>0</v>
      </c>
      <c r="L150" s="35">
        <v>0</v>
      </c>
      <c r="M150">
        <v>1</v>
      </c>
      <c r="N150">
        <v>0</v>
      </c>
      <c r="O150">
        <v>1</v>
      </c>
      <c r="P150">
        <v>1</v>
      </c>
      <c r="Q150">
        <v>2</v>
      </c>
      <c r="R150">
        <v>17</v>
      </c>
      <c r="S150">
        <v>63</v>
      </c>
      <c r="T150">
        <v>0</v>
      </c>
      <c r="U150">
        <v>0</v>
      </c>
      <c r="V150">
        <v>1</v>
      </c>
      <c r="W150">
        <v>1</v>
      </c>
      <c r="X150" s="23">
        <v>0</v>
      </c>
      <c r="Y150" s="23">
        <v>0</v>
      </c>
      <c r="Z150" s="23">
        <v>0.0588235294117647</v>
      </c>
      <c r="AA150" s="23">
        <v>0.0158730158730159</v>
      </c>
      <c r="AB150">
        <v>0</v>
      </c>
      <c r="AC150">
        <v>0</v>
      </c>
      <c r="AD150">
        <v>0.5</v>
      </c>
      <c r="AE150">
        <v>0.37</v>
      </c>
      <c r="AF150" s="23" t="s">
        <v>54</v>
      </c>
      <c r="AG150" s="23" t="s">
        <v>54</v>
      </c>
      <c r="AH150" s="23" t="s">
        <v>481</v>
      </c>
      <c r="AI150" s="23" t="s">
        <v>482</v>
      </c>
      <c r="AJ150">
        <v>7</v>
      </c>
      <c r="AK150">
        <v>2</v>
      </c>
      <c r="AL150">
        <v>9</v>
      </c>
      <c r="AM150">
        <v>6</v>
      </c>
      <c r="AN150" s="23">
        <v>0</v>
      </c>
      <c r="AO150" s="23">
        <v>0.5</v>
      </c>
      <c r="AP150" s="23">
        <v>0</v>
      </c>
      <c r="AQ150" s="23">
        <v>0</v>
      </c>
      <c r="AR150" s="37">
        <v>0</v>
      </c>
      <c r="AS150" s="37">
        <v>0</v>
      </c>
      <c r="AT150" s="37">
        <v>1</v>
      </c>
      <c r="AU150" s="33" t="str">
        <f t="shared" si="6"/>
        <v>库存为1</v>
      </c>
      <c r="AV150" s="38" t="str">
        <f>IFERROR(时间!$B$4+AU150,"上周无销量")</f>
        <v>上周无销量</v>
      </c>
    </row>
    <row r="151" spans="1:48">
      <c r="A151" s="21" t="s">
        <v>483</v>
      </c>
      <c r="B151" t="s">
        <v>484</v>
      </c>
      <c r="C151" t="s">
        <v>468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4</v>
      </c>
      <c r="J151" s="35">
        <v>0</v>
      </c>
      <c r="K151" s="35">
        <v>0</v>
      </c>
      <c r="L151" s="35">
        <v>0</v>
      </c>
      <c r="M151">
        <v>4</v>
      </c>
      <c r="N151">
        <v>0</v>
      </c>
      <c r="O151">
        <v>4</v>
      </c>
      <c r="P151">
        <v>5</v>
      </c>
      <c r="Q151">
        <v>2</v>
      </c>
      <c r="R151">
        <v>40</v>
      </c>
      <c r="S151">
        <v>135</v>
      </c>
      <c r="T151">
        <v>0</v>
      </c>
      <c r="U151">
        <v>0</v>
      </c>
      <c r="V151">
        <v>1</v>
      </c>
      <c r="W151">
        <v>4</v>
      </c>
      <c r="X151" s="23">
        <v>0</v>
      </c>
      <c r="Y151" s="23">
        <v>0</v>
      </c>
      <c r="Z151" s="23">
        <v>0.025</v>
      </c>
      <c r="AA151" s="23">
        <v>0.0296296296296296</v>
      </c>
      <c r="AB151">
        <v>0</v>
      </c>
      <c r="AC151">
        <v>0</v>
      </c>
      <c r="AD151">
        <v>0.02</v>
      </c>
      <c r="AE151">
        <v>2.6</v>
      </c>
      <c r="AF151" s="23" t="s">
        <v>54</v>
      </c>
      <c r="AG151" s="23" t="s">
        <v>54</v>
      </c>
      <c r="AH151" s="23" t="s">
        <v>299</v>
      </c>
      <c r="AI151" s="23" t="s">
        <v>485</v>
      </c>
      <c r="AJ151">
        <v>5</v>
      </c>
      <c r="AK151">
        <v>6</v>
      </c>
      <c r="AL151">
        <v>6</v>
      </c>
      <c r="AM151">
        <v>6</v>
      </c>
      <c r="AN151" s="23">
        <v>0</v>
      </c>
      <c r="AO151" s="23">
        <v>0</v>
      </c>
      <c r="AP151" s="23">
        <v>0</v>
      </c>
      <c r="AQ151" s="23">
        <v>0</v>
      </c>
      <c r="AR151" s="37">
        <v>0</v>
      </c>
      <c r="AS151" s="37">
        <v>0</v>
      </c>
      <c r="AT151" s="37">
        <v>4</v>
      </c>
      <c r="AU151" s="33" t="str">
        <f t="shared" si="6"/>
        <v>库存为4</v>
      </c>
      <c r="AV151" s="38" t="str">
        <f>IFERROR(时间!$B$4+AU151,"上周无销量")</f>
        <v>上周无销量</v>
      </c>
    </row>
    <row r="152" spans="1:48">
      <c r="A152" s="21" t="s">
        <v>486</v>
      </c>
      <c r="B152" t="s">
        <v>487</v>
      </c>
      <c r="C152" t="s">
        <v>468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4</v>
      </c>
      <c r="J152" s="35">
        <v>0</v>
      </c>
      <c r="K152" s="35">
        <v>0</v>
      </c>
      <c r="L152" s="35">
        <v>0</v>
      </c>
      <c r="M152">
        <v>4</v>
      </c>
      <c r="N152">
        <v>0</v>
      </c>
      <c r="O152">
        <v>4</v>
      </c>
      <c r="P152">
        <v>1</v>
      </c>
      <c r="Q152">
        <v>0</v>
      </c>
      <c r="R152">
        <v>15</v>
      </c>
      <c r="S152">
        <v>48</v>
      </c>
      <c r="T152">
        <v>0</v>
      </c>
      <c r="U152">
        <v>0</v>
      </c>
      <c r="V152">
        <v>1</v>
      </c>
      <c r="W152">
        <v>0</v>
      </c>
      <c r="X152" s="23">
        <v>0</v>
      </c>
      <c r="Y152" s="23" t="s">
        <v>54</v>
      </c>
      <c r="Z152" s="23">
        <v>0.0666666666666667</v>
      </c>
      <c r="AA152" s="23">
        <v>0</v>
      </c>
      <c r="AB152">
        <v>0</v>
      </c>
      <c r="AC152">
        <v>0</v>
      </c>
      <c r="AD152">
        <v>0.79</v>
      </c>
      <c r="AE152">
        <v>0</v>
      </c>
      <c r="AF152" s="23" t="s">
        <v>54</v>
      </c>
      <c r="AG152" s="23" t="s">
        <v>54</v>
      </c>
      <c r="AH152" s="23" t="s">
        <v>488</v>
      </c>
      <c r="AI152" s="23" t="s">
        <v>54</v>
      </c>
      <c r="AJ152">
        <v>13</v>
      </c>
      <c r="AK152">
        <v>2</v>
      </c>
      <c r="AL152">
        <v>5</v>
      </c>
      <c r="AM152">
        <v>2</v>
      </c>
      <c r="AN152" s="23">
        <v>0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4</v>
      </c>
      <c r="AU152" s="33" t="str">
        <f t="shared" si="6"/>
        <v>库存为4</v>
      </c>
      <c r="AV152" s="38" t="str">
        <f>IFERROR(时间!$B$4+AU152,"上周无销量")</f>
        <v>上周无销量</v>
      </c>
    </row>
    <row r="153" spans="1:48">
      <c r="A153" s="21" t="s">
        <v>489</v>
      </c>
      <c r="B153" t="s">
        <v>490</v>
      </c>
      <c r="C153" t="s">
        <v>468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5</v>
      </c>
      <c r="J153" s="35">
        <v>0</v>
      </c>
      <c r="K153" s="35">
        <v>0</v>
      </c>
      <c r="L153" s="35">
        <v>0</v>
      </c>
      <c r="M153">
        <v>5</v>
      </c>
      <c r="N153">
        <v>0</v>
      </c>
      <c r="O153">
        <v>5</v>
      </c>
      <c r="P153">
        <v>5569</v>
      </c>
      <c r="Q153">
        <v>6549</v>
      </c>
      <c r="R153">
        <v>6463</v>
      </c>
      <c r="S153">
        <v>2444</v>
      </c>
      <c r="T153">
        <v>63</v>
      </c>
      <c r="U153">
        <v>80</v>
      </c>
      <c r="V153">
        <v>53</v>
      </c>
      <c r="W153">
        <v>32</v>
      </c>
      <c r="X153" s="23">
        <v>0.011312623451248</v>
      </c>
      <c r="Y153" s="23">
        <v>0.0122156054359444</v>
      </c>
      <c r="Z153" s="23">
        <v>0.00820052607148383</v>
      </c>
      <c r="AA153" s="23">
        <v>0.0130932896890344</v>
      </c>
      <c r="AB153">
        <v>21.75</v>
      </c>
      <c r="AC153">
        <v>28.05</v>
      </c>
      <c r="AD153">
        <v>20.28</v>
      </c>
      <c r="AE153">
        <v>9.69</v>
      </c>
      <c r="AF153" s="23" t="s">
        <v>491</v>
      </c>
      <c r="AG153" s="23" t="s">
        <v>492</v>
      </c>
      <c r="AH153" s="23" t="s">
        <v>493</v>
      </c>
      <c r="AI153" s="23" t="s">
        <v>494</v>
      </c>
      <c r="AJ153">
        <v>27</v>
      </c>
      <c r="AK153">
        <v>18</v>
      </c>
      <c r="AL153">
        <v>19</v>
      </c>
      <c r="AM153">
        <v>10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5</v>
      </c>
      <c r="AU153" s="33" t="str">
        <f t="shared" si="6"/>
        <v>库存为5</v>
      </c>
      <c r="AV153" s="38" t="str">
        <f>IFERROR(时间!$B$4+AU153,"上周无销量")</f>
        <v>上周无销量</v>
      </c>
    </row>
    <row r="154" spans="1:48">
      <c r="A154" s="21" t="s">
        <v>495</v>
      </c>
      <c r="B154" t="s">
        <v>496</v>
      </c>
      <c r="C154" t="s">
        <v>468</v>
      </c>
      <c r="D154" s="33">
        <v>0</v>
      </c>
      <c r="E154" s="33">
        <v>1</v>
      </c>
      <c r="F154" s="33">
        <v>0</v>
      </c>
      <c r="G154" s="33">
        <v>1</v>
      </c>
      <c r="H154" s="34">
        <v>13.9</v>
      </c>
      <c r="I154">
        <v>10</v>
      </c>
      <c r="J154" s="35">
        <v>0</v>
      </c>
      <c r="K154" s="35">
        <v>0</v>
      </c>
      <c r="L154" s="35">
        <v>0</v>
      </c>
      <c r="M154">
        <v>10</v>
      </c>
      <c r="N154">
        <v>0</v>
      </c>
      <c r="O154">
        <v>9</v>
      </c>
      <c r="P154">
        <v>0</v>
      </c>
      <c r="Q154">
        <v>0</v>
      </c>
      <c r="R154">
        <v>20</v>
      </c>
      <c r="S154">
        <v>43</v>
      </c>
      <c r="T154">
        <v>0</v>
      </c>
      <c r="U154">
        <v>0</v>
      </c>
      <c r="V154">
        <v>0</v>
      </c>
      <c r="W154">
        <v>0</v>
      </c>
      <c r="X154" s="23" t="s">
        <v>54</v>
      </c>
      <c r="Y154" s="23" t="s">
        <v>54</v>
      </c>
      <c r="Z154" s="23">
        <v>0</v>
      </c>
      <c r="AA154" s="23">
        <v>0</v>
      </c>
      <c r="AB154">
        <v>0</v>
      </c>
      <c r="AC154">
        <v>0</v>
      </c>
      <c r="AD154">
        <v>0</v>
      </c>
      <c r="AE154">
        <v>0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8</v>
      </c>
      <c r="AK154">
        <v>6</v>
      </c>
      <c r="AL154">
        <v>8</v>
      </c>
      <c r="AM154">
        <v>8</v>
      </c>
      <c r="AN154" s="23">
        <v>0</v>
      </c>
      <c r="AO154" s="23">
        <v>0.166666666666667</v>
      </c>
      <c r="AP154" s="23">
        <v>0</v>
      </c>
      <c r="AQ154" s="23">
        <v>0.125</v>
      </c>
      <c r="AR154" s="37">
        <v>0</v>
      </c>
      <c r="AS154" s="37">
        <v>0</v>
      </c>
      <c r="AT154" s="37">
        <v>10</v>
      </c>
      <c r="AU154" s="33" t="str">
        <f t="shared" si="6"/>
        <v>库存为10</v>
      </c>
      <c r="AV154" s="38" t="str">
        <f>IFERROR(时间!$B$4+AU154,"上周无销量")</f>
        <v>上周无销量</v>
      </c>
    </row>
    <row r="155" spans="1:48">
      <c r="A155" s="21" t="s">
        <v>497</v>
      </c>
      <c r="B155" t="s">
        <v>498</v>
      </c>
      <c r="C155" t="s">
        <v>468</v>
      </c>
      <c r="D155" s="33">
        <v>0</v>
      </c>
      <c r="E155" s="33">
        <v>0</v>
      </c>
      <c r="F155" s="33">
        <v>0</v>
      </c>
      <c r="G155" s="33">
        <v>1</v>
      </c>
      <c r="H155" s="34">
        <v>13.9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38</v>
      </c>
      <c r="T155">
        <v>0</v>
      </c>
      <c r="U155">
        <v>0</v>
      </c>
      <c r="V155">
        <v>0</v>
      </c>
      <c r="W155">
        <v>0</v>
      </c>
      <c r="X155" s="23" t="s">
        <v>54</v>
      </c>
      <c r="Y155" s="23" t="s">
        <v>54</v>
      </c>
      <c r="Z155" s="23" t="s">
        <v>54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7</v>
      </c>
      <c r="AN155" s="23" t="s">
        <v>54</v>
      </c>
      <c r="AO155" s="23" t="s">
        <v>54</v>
      </c>
      <c r="AP155" s="23" t="s">
        <v>54</v>
      </c>
      <c r="AQ155" s="23">
        <v>0.142857142857143</v>
      </c>
      <c r="AR155" s="37">
        <v>0</v>
      </c>
      <c r="AS155" s="37">
        <v>0</v>
      </c>
      <c r="AT155" s="37">
        <v>0</v>
      </c>
      <c r="AU155" s="33" t="str">
        <f t="shared" si="6"/>
        <v>库存为0</v>
      </c>
      <c r="AV155" s="38" t="str">
        <f>IFERROR(时间!$B$4+AU155,"上周无销量")</f>
        <v>上周无销量</v>
      </c>
    </row>
    <row r="156" spans="1:48">
      <c r="A156" s="21" t="s">
        <v>499</v>
      </c>
      <c r="B156" t="s">
        <v>500</v>
      </c>
      <c r="C156" t="s">
        <v>468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8</v>
      </c>
      <c r="J156" s="35">
        <v>0</v>
      </c>
      <c r="K156" s="35">
        <v>0</v>
      </c>
      <c r="L156" s="35">
        <v>0</v>
      </c>
      <c r="M156">
        <v>8</v>
      </c>
      <c r="N156">
        <v>0</v>
      </c>
      <c r="O156">
        <v>8</v>
      </c>
      <c r="P156">
        <v>0</v>
      </c>
      <c r="Q156">
        <v>1</v>
      </c>
      <c r="R156">
        <v>5</v>
      </c>
      <c r="S156">
        <v>41</v>
      </c>
      <c r="T156">
        <v>0</v>
      </c>
      <c r="U156">
        <v>0</v>
      </c>
      <c r="V156">
        <v>0</v>
      </c>
      <c r="W156">
        <v>0</v>
      </c>
      <c r="X156" s="23" t="s">
        <v>54</v>
      </c>
      <c r="Y156" s="23">
        <v>0</v>
      </c>
      <c r="Z156" s="23">
        <v>0</v>
      </c>
      <c r="AA156" s="23">
        <v>0</v>
      </c>
      <c r="AB156">
        <v>0</v>
      </c>
      <c r="AC156">
        <v>0</v>
      </c>
      <c r="AD156">
        <v>0</v>
      </c>
      <c r="AE156">
        <v>0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10</v>
      </c>
      <c r="AK156">
        <v>5</v>
      </c>
      <c r="AL156">
        <v>2</v>
      </c>
      <c r="AM156">
        <v>6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8</v>
      </c>
      <c r="AU156" s="33" t="str">
        <f t="shared" si="6"/>
        <v>库存为8</v>
      </c>
      <c r="AV156" s="38" t="str">
        <f>IFERROR(时间!$B$4+AU156,"上周无销量")</f>
        <v>上周无销量</v>
      </c>
    </row>
    <row r="157" spans="1:48">
      <c r="A157" s="21" t="s">
        <v>501</v>
      </c>
      <c r="B157" t="s">
        <v>502</v>
      </c>
      <c r="C157" t="s">
        <v>468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7">
        <v>0</v>
      </c>
      <c r="AS157" s="37">
        <v>0</v>
      </c>
      <c r="AT157" s="37">
        <v>0</v>
      </c>
      <c r="AU157" s="33" t="str">
        <f t="shared" si="6"/>
        <v>库存为0</v>
      </c>
      <c r="AV157" s="38" t="str">
        <f>IFERROR(时间!$B$4+AU157,"上周无销量")</f>
        <v>上周无销量</v>
      </c>
    </row>
    <row r="158" spans="1:48">
      <c r="A158" s="21" t="s">
        <v>503</v>
      </c>
      <c r="B158" t="s">
        <v>504</v>
      </c>
      <c r="C158" t="s">
        <v>468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7">
        <v>0</v>
      </c>
      <c r="AS158" s="37">
        <v>0</v>
      </c>
      <c r="AT158" s="37">
        <v>0</v>
      </c>
      <c r="AU158" s="33" t="str">
        <f t="shared" si="6"/>
        <v>库存为0</v>
      </c>
      <c r="AV158" s="38" t="str">
        <f>IFERROR(时间!$B$4+AU158,"上周无销量")</f>
        <v>上周无销量</v>
      </c>
    </row>
    <row r="159" spans="1:48">
      <c r="A159" s="21" t="s">
        <v>505</v>
      </c>
      <c r="B159" t="s">
        <v>506</v>
      </c>
      <c r="C159" t="s">
        <v>468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2</v>
      </c>
      <c r="J159" s="35">
        <v>0</v>
      </c>
      <c r="K159" s="35">
        <v>0</v>
      </c>
      <c r="L159" s="35">
        <v>0</v>
      </c>
      <c r="M159">
        <v>2</v>
      </c>
      <c r="N159">
        <v>0</v>
      </c>
      <c r="O159">
        <v>2</v>
      </c>
      <c r="P159">
        <v>6995</v>
      </c>
      <c r="Q159">
        <v>7352</v>
      </c>
      <c r="R159">
        <v>11674</v>
      </c>
      <c r="S159">
        <v>3024</v>
      </c>
      <c r="T159">
        <v>52</v>
      </c>
      <c r="U159">
        <v>39</v>
      </c>
      <c r="V159">
        <v>42</v>
      </c>
      <c r="W159">
        <v>7</v>
      </c>
      <c r="X159" s="23">
        <v>0.00743388134381701</v>
      </c>
      <c r="Y159" s="23">
        <v>0.00530467899891186</v>
      </c>
      <c r="Z159" s="23">
        <v>0.00359773856433099</v>
      </c>
      <c r="AA159" s="23">
        <v>0.00231481481481481</v>
      </c>
      <c r="AB159">
        <v>18.72</v>
      </c>
      <c r="AC159">
        <v>15.01</v>
      </c>
      <c r="AD159">
        <v>15.18</v>
      </c>
      <c r="AE159">
        <v>2.34</v>
      </c>
      <c r="AF159" s="23" t="s">
        <v>507</v>
      </c>
      <c r="AG159" s="23" t="s">
        <v>508</v>
      </c>
      <c r="AH159" s="23" t="s">
        <v>509</v>
      </c>
      <c r="AI159" s="23" t="s">
        <v>510</v>
      </c>
      <c r="AJ159">
        <v>27</v>
      </c>
      <c r="AK159">
        <v>17</v>
      </c>
      <c r="AL159">
        <v>24</v>
      </c>
      <c r="AM159">
        <v>4</v>
      </c>
      <c r="AN159" s="23">
        <v>0</v>
      </c>
      <c r="AO159" s="23">
        <v>0</v>
      </c>
      <c r="AP159" s="23">
        <v>0</v>
      </c>
      <c r="AQ159" s="23">
        <v>0</v>
      </c>
      <c r="AR159" s="37">
        <v>0</v>
      </c>
      <c r="AS159" s="37">
        <v>0</v>
      </c>
      <c r="AT159" s="37">
        <v>2</v>
      </c>
      <c r="AU159" s="33" t="str">
        <f t="shared" si="6"/>
        <v>库存为2</v>
      </c>
      <c r="AV159" s="38" t="str">
        <f>IFERROR(时间!$B$4+AU159,"上周无销量")</f>
        <v>上周无销量</v>
      </c>
    </row>
    <row r="160" spans="1:48">
      <c r="A160" s="21" t="s">
        <v>511</v>
      </c>
      <c r="B160" t="s">
        <v>512</v>
      </c>
      <c r="C160" t="s">
        <v>468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513</v>
      </c>
      <c r="B161" t="s">
        <v>514</v>
      </c>
      <c r="C161" t="s">
        <v>515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34</v>
      </c>
      <c r="J161" s="35">
        <v>0</v>
      </c>
      <c r="K161" s="35">
        <v>0</v>
      </c>
      <c r="L161" s="35">
        <v>0</v>
      </c>
      <c r="M161">
        <v>34</v>
      </c>
      <c r="N161">
        <v>0</v>
      </c>
      <c r="O161">
        <v>34</v>
      </c>
      <c r="P161">
        <v>3148</v>
      </c>
      <c r="Q161">
        <v>4111</v>
      </c>
      <c r="R161">
        <v>2706</v>
      </c>
      <c r="S161">
        <v>631</v>
      </c>
      <c r="T161">
        <v>20</v>
      </c>
      <c r="U161">
        <v>26</v>
      </c>
      <c r="V161">
        <v>14</v>
      </c>
      <c r="W161">
        <v>5</v>
      </c>
      <c r="X161" s="23">
        <v>0.00635324015247776</v>
      </c>
      <c r="Y161" s="23">
        <v>0.00632449525662856</v>
      </c>
      <c r="Z161" s="23">
        <v>0.00517368810051737</v>
      </c>
      <c r="AA161" s="23">
        <v>0.00792393026941363</v>
      </c>
      <c r="AB161">
        <v>8.38</v>
      </c>
      <c r="AC161">
        <v>10.48</v>
      </c>
      <c r="AD161">
        <v>5.22</v>
      </c>
      <c r="AE161">
        <v>1.69</v>
      </c>
      <c r="AF161" s="23" t="s">
        <v>516</v>
      </c>
      <c r="AG161" s="23" t="s">
        <v>517</v>
      </c>
      <c r="AH161" s="23" t="s">
        <v>518</v>
      </c>
      <c r="AI161" s="23" t="s">
        <v>519</v>
      </c>
      <c r="AJ161">
        <v>8</v>
      </c>
      <c r="AK161">
        <v>8</v>
      </c>
      <c r="AL161">
        <v>10</v>
      </c>
      <c r="AM161">
        <v>5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34</v>
      </c>
      <c r="AU161" s="33" t="str">
        <f t="shared" si="6"/>
        <v>库存为34</v>
      </c>
      <c r="AV161" s="38" t="str">
        <f>IFERROR(时间!$B$4+AU161,"上周无销量")</f>
        <v>上周无销量</v>
      </c>
    </row>
    <row r="162" spans="1:48">
      <c r="A162" s="21" t="s">
        <v>520</v>
      </c>
      <c r="B162" t="s">
        <v>521</v>
      </c>
      <c r="C162" t="s">
        <v>515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22</v>
      </c>
      <c r="J162" s="35">
        <v>0</v>
      </c>
      <c r="K162" s="35">
        <v>0</v>
      </c>
      <c r="L162" s="35">
        <v>0</v>
      </c>
      <c r="M162">
        <v>22</v>
      </c>
      <c r="N162">
        <v>0</v>
      </c>
      <c r="O162">
        <v>22</v>
      </c>
      <c r="P162">
        <v>0</v>
      </c>
      <c r="Q162">
        <v>0</v>
      </c>
      <c r="R162">
        <v>21</v>
      </c>
      <c r="S162">
        <v>67</v>
      </c>
      <c r="T162">
        <v>0</v>
      </c>
      <c r="U162">
        <v>0</v>
      </c>
      <c r="V162">
        <v>0</v>
      </c>
      <c r="W162">
        <v>0</v>
      </c>
      <c r="X162" s="23" t="s">
        <v>54</v>
      </c>
      <c r="Y162" s="23" t="s">
        <v>54</v>
      </c>
      <c r="Z162" s="23">
        <v>0</v>
      </c>
      <c r="AA162" s="23">
        <v>0</v>
      </c>
      <c r="AB162">
        <v>0</v>
      </c>
      <c r="AC162">
        <v>0</v>
      </c>
      <c r="AD162">
        <v>0</v>
      </c>
      <c r="AE162">
        <v>0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1</v>
      </c>
      <c r="AK162">
        <v>4</v>
      </c>
      <c r="AL162">
        <v>1</v>
      </c>
      <c r="AM162">
        <v>5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22</v>
      </c>
      <c r="AU162" s="33" t="str">
        <f t="shared" si="6"/>
        <v>库存为22</v>
      </c>
      <c r="AV162" s="38" t="str">
        <f>IFERROR(时间!$B$4+AU162,"上周无销量")</f>
        <v>上周无销量</v>
      </c>
    </row>
    <row r="163" spans="1:48">
      <c r="A163" s="21" t="s">
        <v>522</v>
      </c>
      <c r="B163" t="s">
        <v>523</v>
      </c>
      <c r="C163" t="s">
        <v>515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48</v>
      </c>
      <c r="J163" s="35">
        <v>0</v>
      </c>
      <c r="K163" s="35">
        <v>0</v>
      </c>
      <c r="L163" s="35">
        <v>0</v>
      </c>
      <c r="M163">
        <v>48</v>
      </c>
      <c r="N163">
        <v>0</v>
      </c>
      <c r="O163">
        <v>48</v>
      </c>
      <c r="P163">
        <v>0</v>
      </c>
      <c r="Q163">
        <v>0</v>
      </c>
      <c r="R163">
        <v>48</v>
      </c>
      <c r="S163">
        <v>201</v>
      </c>
      <c r="T163">
        <v>0</v>
      </c>
      <c r="U163">
        <v>0</v>
      </c>
      <c r="V163">
        <v>0</v>
      </c>
      <c r="W163">
        <v>1</v>
      </c>
      <c r="X163" s="23" t="s">
        <v>54</v>
      </c>
      <c r="Y163" s="23" t="s">
        <v>54</v>
      </c>
      <c r="Z163" s="23">
        <v>0</v>
      </c>
      <c r="AA163" s="23">
        <v>0.00497512437810945</v>
      </c>
      <c r="AB163">
        <v>0</v>
      </c>
      <c r="AC163">
        <v>0</v>
      </c>
      <c r="AD163">
        <v>0</v>
      </c>
      <c r="AE163">
        <v>0.37</v>
      </c>
      <c r="AF163" s="23" t="s">
        <v>54</v>
      </c>
      <c r="AG163" s="23" t="s">
        <v>54</v>
      </c>
      <c r="AH163" s="23" t="s">
        <v>54</v>
      </c>
      <c r="AI163" s="23" t="s">
        <v>482</v>
      </c>
      <c r="AJ163">
        <v>2</v>
      </c>
      <c r="AK163">
        <v>4</v>
      </c>
      <c r="AL163">
        <v>3</v>
      </c>
      <c r="AM163">
        <v>7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48</v>
      </c>
      <c r="AU163" s="33" t="str">
        <f t="shared" si="6"/>
        <v>库存为48</v>
      </c>
      <c r="AV163" s="38" t="str">
        <f>IFERROR(时间!$B$4+AU163,"上周无销量")</f>
        <v>上周无销量</v>
      </c>
    </row>
    <row r="164" spans="1:48">
      <c r="A164" s="21" t="s">
        <v>524</v>
      </c>
      <c r="B164" t="s">
        <v>525</v>
      </c>
      <c r="C164" t="s">
        <v>515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41</v>
      </c>
      <c r="J164" s="35">
        <v>0</v>
      </c>
      <c r="K164" s="35">
        <v>0</v>
      </c>
      <c r="L164" s="35">
        <v>0</v>
      </c>
      <c r="M164">
        <v>41</v>
      </c>
      <c r="N164">
        <v>0</v>
      </c>
      <c r="O164">
        <v>41</v>
      </c>
      <c r="P164">
        <v>0</v>
      </c>
      <c r="Q164">
        <v>0</v>
      </c>
      <c r="R164">
        <v>54</v>
      </c>
      <c r="S164">
        <v>205</v>
      </c>
      <c r="T164">
        <v>0</v>
      </c>
      <c r="U164">
        <v>0</v>
      </c>
      <c r="V164">
        <v>0</v>
      </c>
      <c r="W164">
        <v>1</v>
      </c>
      <c r="X164" s="23" t="s">
        <v>54</v>
      </c>
      <c r="Y164" s="23" t="s">
        <v>54</v>
      </c>
      <c r="Z164" s="23">
        <v>0</v>
      </c>
      <c r="AA164" s="23">
        <v>0.0048780487804878</v>
      </c>
      <c r="AB164">
        <v>0</v>
      </c>
      <c r="AC164">
        <v>0</v>
      </c>
      <c r="AD164">
        <v>0</v>
      </c>
      <c r="AE164">
        <v>0.8</v>
      </c>
      <c r="AF164" s="23" t="s">
        <v>54</v>
      </c>
      <c r="AG164" s="23" t="s">
        <v>54</v>
      </c>
      <c r="AH164" s="23" t="s">
        <v>54</v>
      </c>
      <c r="AI164" s="23" t="s">
        <v>435</v>
      </c>
      <c r="AJ164">
        <v>1</v>
      </c>
      <c r="AK164">
        <v>2</v>
      </c>
      <c r="AL164">
        <v>2</v>
      </c>
      <c r="AM164">
        <v>6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41</v>
      </c>
      <c r="AU164" s="33" t="str">
        <f t="shared" si="6"/>
        <v>库存为41</v>
      </c>
      <c r="AV164" s="38" t="str">
        <f>IFERROR(时间!$B$4+AU164,"上周无销量")</f>
        <v>上周无销量</v>
      </c>
    </row>
    <row r="165" spans="1:48">
      <c r="A165" s="21" t="s">
        <v>526</v>
      </c>
      <c r="B165" t="s">
        <v>527</v>
      </c>
      <c r="C165" t="s">
        <v>515</v>
      </c>
      <c r="D165" s="33">
        <v>0</v>
      </c>
      <c r="E165" s="33">
        <v>0</v>
      </c>
      <c r="F165" s="33">
        <v>0</v>
      </c>
      <c r="G165" s="33">
        <v>1</v>
      </c>
      <c r="H165" s="34">
        <v>9.48</v>
      </c>
      <c r="I165">
        <v>44</v>
      </c>
      <c r="J165" s="35">
        <v>0</v>
      </c>
      <c r="K165" s="35">
        <v>0</v>
      </c>
      <c r="L165" s="35">
        <v>0</v>
      </c>
      <c r="M165">
        <v>44</v>
      </c>
      <c r="N165">
        <v>0</v>
      </c>
      <c r="O165">
        <v>44</v>
      </c>
      <c r="P165">
        <v>0</v>
      </c>
      <c r="Q165">
        <v>0</v>
      </c>
      <c r="R165">
        <v>45</v>
      </c>
      <c r="S165">
        <v>149</v>
      </c>
      <c r="T165">
        <v>0</v>
      </c>
      <c r="U165">
        <v>0</v>
      </c>
      <c r="V165">
        <v>0</v>
      </c>
      <c r="W165">
        <v>0</v>
      </c>
      <c r="X165" s="23" t="s">
        <v>54</v>
      </c>
      <c r="Y165" s="23" t="s">
        <v>54</v>
      </c>
      <c r="Z165" s="23">
        <v>0</v>
      </c>
      <c r="AA165" s="23">
        <v>0</v>
      </c>
      <c r="AB165">
        <v>0</v>
      </c>
      <c r="AC165">
        <v>0</v>
      </c>
      <c r="AD165">
        <v>0</v>
      </c>
      <c r="AE165">
        <v>0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1</v>
      </c>
      <c r="AK165">
        <v>4</v>
      </c>
      <c r="AL165">
        <v>1</v>
      </c>
      <c r="AM165">
        <v>5</v>
      </c>
      <c r="AN165" s="23">
        <v>0</v>
      </c>
      <c r="AO165" s="23">
        <v>0</v>
      </c>
      <c r="AP165" s="23">
        <v>0</v>
      </c>
      <c r="AQ165" s="23">
        <v>0.2</v>
      </c>
      <c r="AR165" s="37">
        <v>0</v>
      </c>
      <c r="AS165" s="37">
        <v>0</v>
      </c>
      <c r="AT165" s="37">
        <v>44</v>
      </c>
      <c r="AU165" s="33" t="str">
        <f t="shared" si="6"/>
        <v>库存为44</v>
      </c>
      <c r="AV165" s="38" t="str">
        <f>IFERROR(时间!$B$4+AU165,"上周无销量")</f>
        <v>上周无销量</v>
      </c>
    </row>
    <row r="166" spans="1:48">
      <c r="A166" s="21" t="s">
        <v>528</v>
      </c>
      <c r="B166" t="s">
        <v>529</v>
      </c>
      <c r="C166" t="s">
        <v>530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54</v>
      </c>
      <c r="J166" s="35">
        <v>0</v>
      </c>
      <c r="K166" s="35">
        <v>0</v>
      </c>
      <c r="L166" s="35">
        <v>0</v>
      </c>
      <c r="M166">
        <v>54</v>
      </c>
      <c r="N166">
        <v>0</v>
      </c>
      <c r="O166">
        <v>54</v>
      </c>
      <c r="P166">
        <v>862</v>
      </c>
      <c r="Q166">
        <v>963</v>
      </c>
      <c r="R166">
        <v>1091</v>
      </c>
      <c r="S166">
        <v>305</v>
      </c>
      <c r="T166">
        <v>3</v>
      </c>
      <c r="U166">
        <v>1</v>
      </c>
      <c r="V166">
        <v>4</v>
      </c>
      <c r="W166">
        <v>1</v>
      </c>
      <c r="X166" s="23">
        <v>0.00348027842227378</v>
      </c>
      <c r="Y166" s="23">
        <v>0.00103842159916926</v>
      </c>
      <c r="Z166" s="23">
        <v>0.00366636113657195</v>
      </c>
      <c r="AA166" s="23">
        <v>0.00327868852459016</v>
      </c>
      <c r="AB166">
        <v>1.23</v>
      </c>
      <c r="AC166">
        <v>0.36</v>
      </c>
      <c r="AD166">
        <v>1.51</v>
      </c>
      <c r="AE166">
        <v>0.37</v>
      </c>
      <c r="AF166" s="23" t="s">
        <v>293</v>
      </c>
      <c r="AG166" s="23" t="s">
        <v>531</v>
      </c>
      <c r="AH166" s="23" t="s">
        <v>532</v>
      </c>
      <c r="AI166" s="23" t="s">
        <v>482</v>
      </c>
      <c r="AJ166">
        <v>6</v>
      </c>
      <c r="AK166">
        <v>5</v>
      </c>
      <c r="AL166">
        <v>1</v>
      </c>
      <c r="AM166">
        <v>3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54</v>
      </c>
      <c r="AU166" s="33" t="str">
        <f t="shared" si="6"/>
        <v>库存为54</v>
      </c>
      <c r="AV166" s="38" t="str">
        <f>IFERROR(时间!$B$4+AU166,"上周无销量")</f>
        <v>上周无销量</v>
      </c>
    </row>
    <row r="167" spans="1:48">
      <c r="A167" s="21" t="s">
        <v>533</v>
      </c>
      <c r="B167" t="s">
        <v>534</v>
      </c>
      <c r="C167" t="s">
        <v>530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26</v>
      </c>
      <c r="J167" s="35">
        <v>0</v>
      </c>
      <c r="K167" s="35">
        <v>0</v>
      </c>
      <c r="L167" s="35">
        <v>0</v>
      </c>
      <c r="M167">
        <v>26</v>
      </c>
      <c r="N167">
        <v>0</v>
      </c>
      <c r="O167">
        <v>26</v>
      </c>
      <c r="P167">
        <v>1453</v>
      </c>
      <c r="Q167">
        <v>1321</v>
      </c>
      <c r="R167">
        <v>1090</v>
      </c>
      <c r="S167">
        <v>113</v>
      </c>
      <c r="T167">
        <v>6</v>
      </c>
      <c r="U167">
        <v>7</v>
      </c>
      <c r="V167">
        <v>12</v>
      </c>
      <c r="W167">
        <v>1</v>
      </c>
      <c r="X167" s="23">
        <v>0.00412938747419133</v>
      </c>
      <c r="Y167" s="23">
        <v>0.00529901589704769</v>
      </c>
      <c r="Z167" s="23">
        <v>0.0110091743119266</v>
      </c>
      <c r="AA167" s="23">
        <v>0.00884955752212389</v>
      </c>
      <c r="AB167">
        <v>2.05</v>
      </c>
      <c r="AC167">
        <v>1.56</v>
      </c>
      <c r="AD167">
        <v>3.38</v>
      </c>
      <c r="AE167">
        <v>0.38</v>
      </c>
      <c r="AF167" s="23" t="s">
        <v>535</v>
      </c>
      <c r="AG167" s="23" t="s">
        <v>536</v>
      </c>
      <c r="AH167" s="23" t="s">
        <v>537</v>
      </c>
      <c r="AI167" s="23" t="s">
        <v>432</v>
      </c>
      <c r="AJ167">
        <v>1</v>
      </c>
      <c r="AK167">
        <v>6</v>
      </c>
      <c r="AL167">
        <v>3</v>
      </c>
      <c r="AM167">
        <v>5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26</v>
      </c>
      <c r="AU167" s="33" t="str">
        <f t="shared" si="6"/>
        <v>库存为26</v>
      </c>
      <c r="AV167" s="38" t="str">
        <f>IFERROR(时间!$B$4+AU167,"上周无销量")</f>
        <v>上周无销量</v>
      </c>
    </row>
    <row r="168" spans="1:48">
      <c r="A168" s="21" t="s">
        <v>538</v>
      </c>
      <c r="B168" t="s">
        <v>539</v>
      </c>
      <c r="C168" t="s">
        <v>540</v>
      </c>
      <c r="D168" s="33">
        <v>0</v>
      </c>
      <c r="E168" s="33">
        <v>1</v>
      </c>
      <c r="F168" s="33">
        <v>0</v>
      </c>
      <c r="G168" s="33">
        <v>0</v>
      </c>
      <c r="H168" s="34">
        <v>11.6</v>
      </c>
      <c r="I168">
        <v>27</v>
      </c>
      <c r="J168" s="35">
        <v>0</v>
      </c>
      <c r="K168" s="35">
        <v>0</v>
      </c>
      <c r="L168" s="35">
        <v>0</v>
      </c>
      <c r="M168">
        <v>27</v>
      </c>
      <c r="N168">
        <v>0</v>
      </c>
      <c r="O168">
        <v>27</v>
      </c>
      <c r="P168">
        <v>83</v>
      </c>
      <c r="Q168">
        <v>82</v>
      </c>
      <c r="R168">
        <v>57</v>
      </c>
      <c r="S168">
        <v>39</v>
      </c>
      <c r="T168">
        <v>0</v>
      </c>
      <c r="U168">
        <v>0</v>
      </c>
      <c r="V168">
        <v>0</v>
      </c>
      <c r="W168">
        <v>0</v>
      </c>
      <c r="X168" s="23">
        <v>0</v>
      </c>
      <c r="Y168" s="23">
        <v>0</v>
      </c>
      <c r="Z168" s="23">
        <v>0</v>
      </c>
      <c r="AA168" s="23">
        <v>0</v>
      </c>
      <c r="AB168">
        <v>0</v>
      </c>
      <c r="AC168">
        <v>0</v>
      </c>
      <c r="AD168">
        <v>0</v>
      </c>
      <c r="AE168">
        <v>0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4</v>
      </c>
      <c r="AK168">
        <v>1</v>
      </c>
      <c r="AL168">
        <v>0</v>
      </c>
      <c r="AM168">
        <v>2</v>
      </c>
      <c r="AN168" s="23">
        <v>0</v>
      </c>
      <c r="AO168" s="23">
        <v>1</v>
      </c>
      <c r="AP168" s="23" t="s">
        <v>54</v>
      </c>
      <c r="AQ168" s="23">
        <v>0</v>
      </c>
      <c r="AR168" s="37">
        <v>0</v>
      </c>
      <c r="AS168" s="37">
        <v>0</v>
      </c>
      <c r="AT168" s="37">
        <v>27</v>
      </c>
      <c r="AU168" s="33" t="str">
        <f t="shared" si="6"/>
        <v>库存为27</v>
      </c>
      <c r="AV168" s="38" t="str">
        <f>IFERROR(时间!$B$4+AU168,"上周无销量")</f>
        <v>上周无销量</v>
      </c>
    </row>
    <row r="169" spans="1:48">
      <c r="A169" s="21" t="s">
        <v>541</v>
      </c>
      <c r="B169" t="s">
        <v>542</v>
      </c>
      <c r="C169" t="s">
        <v>540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27</v>
      </c>
      <c r="J169" s="35">
        <v>0</v>
      </c>
      <c r="K169" s="35">
        <v>0</v>
      </c>
      <c r="L169" s="35">
        <v>0</v>
      </c>
      <c r="M169">
        <v>27</v>
      </c>
      <c r="N169">
        <v>0</v>
      </c>
      <c r="O169">
        <v>27</v>
      </c>
      <c r="P169">
        <v>21886</v>
      </c>
      <c r="Q169">
        <v>16618</v>
      </c>
      <c r="R169">
        <v>1179</v>
      </c>
      <c r="S169">
        <v>178</v>
      </c>
      <c r="T169">
        <v>63</v>
      </c>
      <c r="U169">
        <v>44</v>
      </c>
      <c r="V169">
        <v>7</v>
      </c>
      <c r="W169">
        <v>1</v>
      </c>
      <c r="X169" s="23">
        <v>0.00287855249931463</v>
      </c>
      <c r="Y169" s="23">
        <v>0.0026477313756168</v>
      </c>
      <c r="Z169" s="23">
        <v>0.00593723494486853</v>
      </c>
      <c r="AA169" s="23">
        <v>0.00561797752808989</v>
      </c>
      <c r="AB169">
        <v>15.82</v>
      </c>
      <c r="AC169">
        <v>12.81</v>
      </c>
      <c r="AD169">
        <v>1.73</v>
      </c>
      <c r="AE169">
        <v>0.22</v>
      </c>
      <c r="AF169" s="23" t="s">
        <v>543</v>
      </c>
      <c r="AG169" s="23" t="s">
        <v>544</v>
      </c>
      <c r="AH169" s="23" t="s">
        <v>545</v>
      </c>
      <c r="AI169" s="23" t="s">
        <v>546</v>
      </c>
      <c r="AJ169">
        <v>34</v>
      </c>
      <c r="AK169">
        <v>20</v>
      </c>
      <c r="AL169">
        <v>2</v>
      </c>
      <c r="AM169">
        <v>0</v>
      </c>
      <c r="AN169" s="23">
        <v>0</v>
      </c>
      <c r="AO169" s="23">
        <v>0</v>
      </c>
      <c r="AP169" s="23">
        <v>0</v>
      </c>
      <c r="AQ169" s="23" t="s">
        <v>54</v>
      </c>
      <c r="AR169" s="37">
        <v>0</v>
      </c>
      <c r="AS169" s="37">
        <v>0</v>
      </c>
      <c r="AT169" s="37">
        <v>27</v>
      </c>
      <c r="AU169" s="33" t="str">
        <f t="shared" si="6"/>
        <v>库存为27</v>
      </c>
      <c r="AV169" s="38" t="str">
        <f>IFERROR(时间!$B$4+AU169,"上周无销量")</f>
        <v>上周无销量</v>
      </c>
    </row>
    <row r="170" spans="1:48">
      <c r="A170" s="21" t="s">
        <v>547</v>
      </c>
      <c r="B170" t="s">
        <v>548</v>
      </c>
      <c r="C170" t="s">
        <v>540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27</v>
      </c>
      <c r="J170" s="35">
        <v>0</v>
      </c>
      <c r="K170" s="35">
        <v>0</v>
      </c>
      <c r="L170" s="35">
        <v>0</v>
      </c>
      <c r="M170">
        <v>27</v>
      </c>
      <c r="N170">
        <v>0</v>
      </c>
      <c r="O170">
        <v>27</v>
      </c>
      <c r="P170">
        <v>0</v>
      </c>
      <c r="Q170">
        <v>0</v>
      </c>
      <c r="R170">
        <v>9</v>
      </c>
      <c r="S170">
        <v>5</v>
      </c>
      <c r="T170">
        <v>0</v>
      </c>
      <c r="U170">
        <v>0</v>
      </c>
      <c r="V170">
        <v>0</v>
      </c>
      <c r="W170">
        <v>0</v>
      </c>
      <c r="X170" s="23" t="s">
        <v>54</v>
      </c>
      <c r="Y170" s="23" t="s">
        <v>54</v>
      </c>
      <c r="Z170" s="23">
        <v>0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6</v>
      </c>
      <c r="AL170">
        <v>2</v>
      </c>
      <c r="AM170">
        <v>3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27</v>
      </c>
      <c r="AU170" s="33" t="str">
        <f t="shared" si="6"/>
        <v>库存为27</v>
      </c>
      <c r="AV170" s="38" t="str">
        <f>IFERROR(时间!$B$4+AU170,"上周无销量")</f>
        <v>上周无销量</v>
      </c>
    </row>
    <row r="171" spans="1:48">
      <c r="A171" s="21" t="s">
        <v>549</v>
      </c>
      <c r="B171" t="s">
        <v>550</v>
      </c>
      <c r="C171" t="s">
        <v>540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26</v>
      </c>
      <c r="J171" s="35">
        <v>0</v>
      </c>
      <c r="K171" s="35">
        <v>0</v>
      </c>
      <c r="L171" s="35">
        <v>0</v>
      </c>
      <c r="M171">
        <v>26</v>
      </c>
      <c r="N171">
        <v>0</v>
      </c>
      <c r="O171">
        <v>26</v>
      </c>
      <c r="P171">
        <v>76</v>
      </c>
      <c r="Q171">
        <v>69</v>
      </c>
      <c r="R171">
        <v>48</v>
      </c>
      <c r="S171">
        <v>7</v>
      </c>
      <c r="T171">
        <v>0</v>
      </c>
      <c r="U171">
        <v>0</v>
      </c>
      <c r="V171">
        <v>0</v>
      </c>
      <c r="W171">
        <v>0</v>
      </c>
      <c r="X171" s="23">
        <v>0</v>
      </c>
      <c r="Y171" s="23">
        <v>0</v>
      </c>
      <c r="Z171" s="23">
        <v>0</v>
      </c>
      <c r="AA171" s="23">
        <v>0</v>
      </c>
      <c r="AB171">
        <v>0</v>
      </c>
      <c r="AC171">
        <v>0</v>
      </c>
      <c r="AD171">
        <v>0</v>
      </c>
      <c r="AE171">
        <v>0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3</v>
      </c>
      <c r="AK171">
        <v>3</v>
      </c>
      <c r="AL171">
        <v>2</v>
      </c>
      <c r="AM171">
        <v>1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26</v>
      </c>
      <c r="AU171" s="33" t="str">
        <f t="shared" si="6"/>
        <v>库存为26</v>
      </c>
      <c r="AV171" s="38" t="str">
        <f>IFERROR(时间!$B$4+AU171,"上周无销量")</f>
        <v>上周无销量</v>
      </c>
    </row>
    <row r="172" spans="1:48">
      <c r="A172" s="21" t="s">
        <v>551</v>
      </c>
      <c r="B172" t="s">
        <v>552</v>
      </c>
      <c r="C172" t="s">
        <v>540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28</v>
      </c>
      <c r="J172" s="35">
        <v>0</v>
      </c>
      <c r="K172" s="35">
        <v>0</v>
      </c>
      <c r="L172" s="35">
        <v>0</v>
      </c>
      <c r="M172">
        <v>28</v>
      </c>
      <c r="N172">
        <v>0</v>
      </c>
      <c r="O172">
        <v>28</v>
      </c>
      <c r="P172">
        <v>0</v>
      </c>
      <c r="Q172">
        <v>0</v>
      </c>
      <c r="R172">
        <v>2308</v>
      </c>
      <c r="S172">
        <v>493</v>
      </c>
      <c r="T172">
        <v>0</v>
      </c>
      <c r="U172">
        <v>0</v>
      </c>
      <c r="V172">
        <v>6</v>
      </c>
      <c r="W172">
        <v>3</v>
      </c>
      <c r="X172" s="23" t="s">
        <v>54</v>
      </c>
      <c r="Y172" s="23" t="s">
        <v>54</v>
      </c>
      <c r="Z172" s="23">
        <v>0.00259965337954939</v>
      </c>
      <c r="AA172" s="23">
        <v>0.00608519269776876</v>
      </c>
      <c r="AB172">
        <v>0</v>
      </c>
      <c r="AC172">
        <v>0</v>
      </c>
      <c r="AD172">
        <v>1.8</v>
      </c>
      <c r="AE172">
        <v>0.63</v>
      </c>
      <c r="AF172" s="23" t="s">
        <v>54</v>
      </c>
      <c r="AG172" s="23" t="s">
        <v>54</v>
      </c>
      <c r="AH172" s="23" t="s">
        <v>553</v>
      </c>
      <c r="AI172" s="23" t="s">
        <v>554</v>
      </c>
      <c r="AJ172">
        <v>2</v>
      </c>
      <c r="AK172">
        <v>8</v>
      </c>
      <c r="AL172">
        <v>1</v>
      </c>
      <c r="AM172">
        <v>2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28</v>
      </c>
      <c r="AU172" s="33" t="str">
        <f t="shared" si="6"/>
        <v>库存为28</v>
      </c>
      <c r="AV172" s="38" t="str">
        <f>IFERROR(时间!$B$4+AU172,"上周无销量")</f>
        <v>上周无销量</v>
      </c>
    </row>
    <row r="173" spans="1:48">
      <c r="A173" s="21" t="s">
        <v>555</v>
      </c>
      <c r="B173" t="s">
        <v>556</v>
      </c>
      <c r="C173" t="s">
        <v>540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28</v>
      </c>
      <c r="J173" s="35">
        <v>0</v>
      </c>
      <c r="K173" s="35">
        <v>0</v>
      </c>
      <c r="L173" s="35">
        <v>0</v>
      </c>
      <c r="M173">
        <v>28</v>
      </c>
      <c r="N173">
        <v>0</v>
      </c>
      <c r="O173">
        <v>28</v>
      </c>
      <c r="P173">
        <v>11</v>
      </c>
      <c r="Q173">
        <v>12</v>
      </c>
      <c r="R173">
        <v>16</v>
      </c>
      <c r="S173">
        <v>5</v>
      </c>
      <c r="T173">
        <v>0</v>
      </c>
      <c r="U173">
        <v>0</v>
      </c>
      <c r="V173">
        <v>0</v>
      </c>
      <c r="W173">
        <v>0</v>
      </c>
      <c r="X173" s="23">
        <v>0</v>
      </c>
      <c r="Y173" s="23">
        <v>0</v>
      </c>
      <c r="Z173" s="23">
        <v>0</v>
      </c>
      <c r="AA173" s="23">
        <v>0</v>
      </c>
      <c r="AB173">
        <v>0</v>
      </c>
      <c r="AC173">
        <v>0</v>
      </c>
      <c r="AD173">
        <v>0</v>
      </c>
      <c r="AE173">
        <v>0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1</v>
      </c>
      <c r="AK173">
        <v>4</v>
      </c>
      <c r="AL173">
        <v>0</v>
      </c>
      <c r="AM173">
        <v>2</v>
      </c>
      <c r="AN173" s="23">
        <v>0</v>
      </c>
      <c r="AO173" s="23">
        <v>0</v>
      </c>
      <c r="AP173" s="23" t="s">
        <v>54</v>
      </c>
      <c r="AQ173" s="23">
        <v>0</v>
      </c>
      <c r="AR173" s="37">
        <v>0</v>
      </c>
      <c r="AS173" s="37">
        <v>0</v>
      </c>
      <c r="AT173" s="37">
        <v>28</v>
      </c>
      <c r="AU173" s="33" t="str">
        <f t="shared" si="6"/>
        <v>库存为28</v>
      </c>
      <c r="AV173" s="38" t="str">
        <f>IFERROR(时间!$B$4+AU173,"上周无销量")</f>
        <v>上周无销量</v>
      </c>
    </row>
    <row r="174" spans="1:48">
      <c r="A174" s="21" t="s">
        <v>557</v>
      </c>
      <c r="B174" t="s">
        <v>558</v>
      </c>
      <c r="C174" t="s">
        <v>540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26</v>
      </c>
      <c r="J174" s="35">
        <v>0</v>
      </c>
      <c r="K174" s="35">
        <v>0</v>
      </c>
      <c r="L174" s="35">
        <v>0</v>
      </c>
      <c r="M174">
        <v>26</v>
      </c>
      <c r="N174">
        <v>0</v>
      </c>
      <c r="O174">
        <v>26</v>
      </c>
      <c r="P174">
        <v>525</v>
      </c>
      <c r="Q174">
        <v>578</v>
      </c>
      <c r="R174">
        <v>503</v>
      </c>
      <c r="S174">
        <v>32</v>
      </c>
      <c r="T174">
        <v>1</v>
      </c>
      <c r="U174">
        <v>1</v>
      </c>
      <c r="V174">
        <v>2</v>
      </c>
      <c r="W174">
        <v>0</v>
      </c>
      <c r="X174" s="23">
        <v>0.0019047619047619</v>
      </c>
      <c r="Y174" s="23">
        <v>0.00173010380622837</v>
      </c>
      <c r="Z174" s="23">
        <v>0.00397614314115308</v>
      </c>
      <c r="AA174" s="23">
        <v>0</v>
      </c>
      <c r="AB174">
        <v>0.22</v>
      </c>
      <c r="AC174">
        <v>0.23</v>
      </c>
      <c r="AD174">
        <v>0.42</v>
      </c>
      <c r="AE174">
        <v>0</v>
      </c>
      <c r="AF174" s="23" t="s">
        <v>546</v>
      </c>
      <c r="AG174" s="23" t="s">
        <v>268</v>
      </c>
      <c r="AH174" s="23" t="s">
        <v>282</v>
      </c>
      <c r="AI174" s="23" t="s">
        <v>54</v>
      </c>
      <c r="AJ174">
        <v>2</v>
      </c>
      <c r="AK174">
        <v>1</v>
      </c>
      <c r="AL174">
        <v>1</v>
      </c>
      <c r="AM174">
        <v>0</v>
      </c>
      <c r="AN174" s="23">
        <v>0</v>
      </c>
      <c r="AO174" s="23">
        <v>0</v>
      </c>
      <c r="AP174" s="23">
        <v>0</v>
      </c>
      <c r="AQ174" s="23" t="s">
        <v>54</v>
      </c>
      <c r="AR174" s="37">
        <v>0</v>
      </c>
      <c r="AS174" s="37">
        <v>0</v>
      </c>
      <c r="AT174" s="37">
        <v>26</v>
      </c>
      <c r="AU174" s="33" t="str">
        <f t="shared" si="6"/>
        <v>库存为26</v>
      </c>
      <c r="AV174" s="38" t="str">
        <f>IFERROR(时间!$B$4+AU174,"上周无销量")</f>
        <v>上周无销量</v>
      </c>
    </row>
    <row r="175" spans="1:48">
      <c r="A175" s="21" t="s">
        <v>559</v>
      </c>
      <c r="B175" t="s">
        <v>560</v>
      </c>
      <c r="C175" t="s">
        <v>540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30</v>
      </c>
      <c r="J175" s="35">
        <v>0</v>
      </c>
      <c r="K175" s="35">
        <v>0</v>
      </c>
      <c r="L175" s="35">
        <v>0</v>
      </c>
      <c r="M175">
        <v>30</v>
      </c>
      <c r="N175">
        <v>0</v>
      </c>
      <c r="O175">
        <v>30</v>
      </c>
      <c r="P175">
        <v>0</v>
      </c>
      <c r="Q175">
        <v>0</v>
      </c>
      <c r="R175">
        <v>368</v>
      </c>
      <c r="S175">
        <v>237</v>
      </c>
      <c r="T175">
        <v>0</v>
      </c>
      <c r="U175">
        <v>0</v>
      </c>
      <c r="V175">
        <v>2</v>
      </c>
      <c r="W175">
        <v>1</v>
      </c>
      <c r="X175" s="23" t="s">
        <v>54</v>
      </c>
      <c r="Y175" s="23" t="s">
        <v>54</v>
      </c>
      <c r="Z175" s="23">
        <v>0.00543478260869565</v>
      </c>
      <c r="AA175" s="23">
        <v>0.00421940928270042</v>
      </c>
      <c r="AB175">
        <v>0</v>
      </c>
      <c r="AC175">
        <v>0</v>
      </c>
      <c r="AD175">
        <v>0.44</v>
      </c>
      <c r="AE175">
        <v>0.18</v>
      </c>
      <c r="AF175" s="23" t="s">
        <v>54</v>
      </c>
      <c r="AG175" s="23" t="s">
        <v>54</v>
      </c>
      <c r="AH175" s="23" t="s">
        <v>294</v>
      </c>
      <c r="AI175" s="23" t="s">
        <v>262</v>
      </c>
      <c r="AJ175">
        <v>2</v>
      </c>
      <c r="AK175">
        <v>1</v>
      </c>
      <c r="AL175">
        <v>2</v>
      </c>
      <c r="AM175">
        <v>2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30</v>
      </c>
      <c r="AU175" s="33" t="str">
        <f t="shared" si="6"/>
        <v>库存为30</v>
      </c>
      <c r="AV175" s="38" t="str">
        <f>IFERROR(时间!$B$4+AU175,"上周无销量")</f>
        <v>上周无销量</v>
      </c>
    </row>
    <row r="176" spans="1:48">
      <c r="A176" s="21" t="s">
        <v>561</v>
      </c>
      <c r="B176" t="s">
        <v>562</v>
      </c>
      <c r="C176" t="s">
        <v>540</v>
      </c>
      <c r="D176" s="33">
        <v>1</v>
      </c>
      <c r="E176" s="33">
        <v>0</v>
      </c>
      <c r="F176" s="33">
        <v>0</v>
      </c>
      <c r="G176" s="33">
        <v>0</v>
      </c>
      <c r="H176" s="34">
        <v>10.39</v>
      </c>
      <c r="I176">
        <v>26</v>
      </c>
      <c r="J176" s="35">
        <v>0</v>
      </c>
      <c r="K176" s="35">
        <v>0</v>
      </c>
      <c r="L176" s="35">
        <v>0</v>
      </c>
      <c r="M176">
        <v>26</v>
      </c>
      <c r="N176">
        <v>0</v>
      </c>
      <c r="O176">
        <v>27</v>
      </c>
      <c r="P176">
        <v>1855</v>
      </c>
      <c r="Q176">
        <v>1977</v>
      </c>
      <c r="R176">
        <v>1059</v>
      </c>
      <c r="S176">
        <v>598</v>
      </c>
      <c r="T176">
        <v>13</v>
      </c>
      <c r="U176">
        <v>1</v>
      </c>
      <c r="V176">
        <v>2</v>
      </c>
      <c r="W176">
        <v>5</v>
      </c>
      <c r="X176" s="23">
        <v>0.00700808625336927</v>
      </c>
      <c r="Y176" s="23">
        <v>0.000505816894284269</v>
      </c>
      <c r="Z176" s="23">
        <v>0.00188857412653447</v>
      </c>
      <c r="AA176" s="23">
        <v>0.00836120401337793</v>
      </c>
      <c r="AB176">
        <v>3.57</v>
      </c>
      <c r="AC176">
        <v>0.4</v>
      </c>
      <c r="AD176">
        <v>0.39</v>
      </c>
      <c r="AE176">
        <v>1.09</v>
      </c>
      <c r="AF176" s="23">
        <v>0.343599615014437</v>
      </c>
      <c r="AG176" s="23" t="s">
        <v>264</v>
      </c>
      <c r="AH176" s="23" t="s">
        <v>275</v>
      </c>
      <c r="AI176" s="23" t="s">
        <v>563</v>
      </c>
      <c r="AJ176">
        <v>5</v>
      </c>
      <c r="AK176">
        <v>3</v>
      </c>
      <c r="AL176">
        <v>1</v>
      </c>
      <c r="AM176">
        <v>2</v>
      </c>
      <c r="AN176" s="23">
        <v>0.2</v>
      </c>
      <c r="AO176" s="23">
        <v>0</v>
      </c>
      <c r="AP176" s="23">
        <v>0</v>
      </c>
      <c r="AQ176" s="23">
        <v>0</v>
      </c>
      <c r="AR176" s="37">
        <v>0.142857142857143</v>
      </c>
      <c r="AS176" s="37">
        <v>8.57142857142857</v>
      </c>
      <c r="AT176" s="37">
        <v>17.4285714285714</v>
      </c>
      <c r="AU176" s="33">
        <f t="shared" si="6"/>
        <v>182</v>
      </c>
      <c r="AV176" s="38">
        <f>IFERROR(时间!$B$4+AU176,"上周无销量")</f>
        <v>43500</v>
      </c>
    </row>
    <row r="177" spans="1:48">
      <c r="A177" s="21" t="s">
        <v>564</v>
      </c>
      <c r="B177" t="s">
        <v>565</v>
      </c>
      <c r="C177" t="s">
        <v>540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28</v>
      </c>
      <c r="J177" s="35">
        <v>0</v>
      </c>
      <c r="K177" s="35">
        <v>0</v>
      </c>
      <c r="L177" s="35">
        <v>0</v>
      </c>
      <c r="M177">
        <v>28</v>
      </c>
      <c r="N177">
        <v>0</v>
      </c>
      <c r="O177">
        <v>27</v>
      </c>
      <c r="P177">
        <v>11086</v>
      </c>
      <c r="Q177">
        <v>11904</v>
      </c>
      <c r="R177">
        <v>3113</v>
      </c>
      <c r="S177">
        <v>60</v>
      </c>
      <c r="T177">
        <v>18</v>
      </c>
      <c r="U177">
        <v>20</v>
      </c>
      <c r="V177">
        <v>3</v>
      </c>
      <c r="W177">
        <v>0</v>
      </c>
      <c r="X177" s="23">
        <v>0.0016236694930543</v>
      </c>
      <c r="Y177" s="23">
        <v>0.00168010752688172</v>
      </c>
      <c r="Z177" s="23">
        <v>0.00096370061034372</v>
      </c>
      <c r="AA177" s="23">
        <v>0</v>
      </c>
      <c r="AB177">
        <v>4.67</v>
      </c>
      <c r="AC177">
        <v>5.89</v>
      </c>
      <c r="AD177">
        <v>0.69</v>
      </c>
      <c r="AE177">
        <v>0</v>
      </c>
      <c r="AF177" s="23" t="s">
        <v>566</v>
      </c>
      <c r="AG177" s="23" t="s">
        <v>567</v>
      </c>
      <c r="AH177" s="23" t="s">
        <v>300</v>
      </c>
      <c r="AI177" s="23" t="s">
        <v>54</v>
      </c>
      <c r="AJ177">
        <v>11</v>
      </c>
      <c r="AK177">
        <v>14</v>
      </c>
      <c r="AL177">
        <v>1</v>
      </c>
      <c r="AM177">
        <v>2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28</v>
      </c>
      <c r="AU177" s="33" t="str">
        <f t="shared" si="6"/>
        <v>库存为28</v>
      </c>
      <c r="AV177" s="38" t="str">
        <f>IFERROR(时间!$B$4+AU177,"上周无销量")</f>
        <v>上周无销量</v>
      </c>
    </row>
    <row r="178" spans="1:48">
      <c r="A178" s="21" t="s">
        <v>568</v>
      </c>
      <c r="B178" t="s">
        <v>569</v>
      </c>
      <c r="C178" t="s">
        <v>540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29</v>
      </c>
      <c r="J178" s="35">
        <v>0</v>
      </c>
      <c r="K178" s="35">
        <v>0</v>
      </c>
      <c r="L178" s="35">
        <v>0</v>
      </c>
      <c r="M178">
        <v>29</v>
      </c>
      <c r="N178">
        <v>0</v>
      </c>
      <c r="O178">
        <v>29</v>
      </c>
      <c r="P178">
        <v>98</v>
      </c>
      <c r="Q178">
        <v>55</v>
      </c>
      <c r="R178">
        <v>98</v>
      </c>
      <c r="S178">
        <v>4</v>
      </c>
      <c r="T178">
        <v>0</v>
      </c>
      <c r="U178">
        <v>0</v>
      </c>
      <c r="V178">
        <v>0</v>
      </c>
      <c r="W178">
        <v>0</v>
      </c>
      <c r="X178" s="23">
        <v>0</v>
      </c>
      <c r="Y178" s="23">
        <v>0</v>
      </c>
      <c r="Z178" s="23">
        <v>0</v>
      </c>
      <c r="AA178" s="23">
        <v>0</v>
      </c>
      <c r="AB178">
        <v>0</v>
      </c>
      <c r="AC178">
        <v>0</v>
      </c>
      <c r="AD178">
        <v>0</v>
      </c>
      <c r="AE178">
        <v>0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2</v>
      </c>
      <c r="AK178">
        <v>8</v>
      </c>
      <c r="AL178">
        <v>0</v>
      </c>
      <c r="AM178">
        <v>3</v>
      </c>
      <c r="AN178" s="23">
        <v>0</v>
      </c>
      <c r="AO178" s="23">
        <v>0</v>
      </c>
      <c r="AP178" s="23" t="s">
        <v>54</v>
      </c>
      <c r="AQ178" s="23">
        <v>0</v>
      </c>
      <c r="AR178" s="37">
        <v>0</v>
      </c>
      <c r="AS178" s="37">
        <v>0</v>
      </c>
      <c r="AT178" s="37">
        <v>29</v>
      </c>
      <c r="AU178" s="33" t="str">
        <f t="shared" si="6"/>
        <v>库存为29</v>
      </c>
      <c r="AV178" s="38" t="str">
        <f>IFERROR(时间!$B$4+AU178,"上周无销量")</f>
        <v>上周无销量</v>
      </c>
    </row>
    <row r="179" spans="1:48">
      <c r="A179" s="21" t="s">
        <v>570</v>
      </c>
      <c r="B179" t="s">
        <v>571</v>
      </c>
      <c r="C179" t="s">
        <v>540</v>
      </c>
      <c r="D179" s="33">
        <v>0</v>
      </c>
      <c r="E179" s="33">
        <v>1</v>
      </c>
      <c r="F179" s="33">
        <v>0</v>
      </c>
      <c r="G179" s="33">
        <v>0</v>
      </c>
      <c r="H179" s="34">
        <v>12.99</v>
      </c>
      <c r="I179">
        <v>26</v>
      </c>
      <c r="J179" s="35">
        <v>0</v>
      </c>
      <c r="K179" s="35">
        <v>0</v>
      </c>
      <c r="L179" s="35">
        <v>0</v>
      </c>
      <c r="M179">
        <v>26</v>
      </c>
      <c r="N179">
        <v>0</v>
      </c>
      <c r="O179">
        <v>26</v>
      </c>
      <c r="P179">
        <v>61</v>
      </c>
      <c r="Q179">
        <v>58</v>
      </c>
      <c r="R179">
        <v>25</v>
      </c>
      <c r="S179">
        <v>1</v>
      </c>
      <c r="T179">
        <v>0</v>
      </c>
      <c r="U179">
        <v>0</v>
      </c>
      <c r="V179">
        <v>0</v>
      </c>
      <c r="W179">
        <v>0</v>
      </c>
      <c r="X179" s="23">
        <v>0</v>
      </c>
      <c r="Y179" s="23">
        <v>0</v>
      </c>
      <c r="Z179" s="23">
        <v>0</v>
      </c>
      <c r="AA179" s="23">
        <v>0</v>
      </c>
      <c r="AB179">
        <v>0</v>
      </c>
      <c r="AC179">
        <v>0</v>
      </c>
      <c r="AD179">
        <v>0</v>
      </c>
      <c r="AE179">
        <v>0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4</v>
      </c>
      <c r="AK179">
        <v>4</v>
      </c>
      <c r="AL179">
        <v>4</v>
      </c>
      <c r="AM179">
        <v>1</v>
      </c>
      <c r="AN179" s="23">
        <v>0</v>
      </c>
      <c r="AO179" s="23">
        <v>0.25</v>
      </c>
      <c r="AP179" s="23">
        <v>0</v>
      </c>
      <c r="AQ179" s="23">
        <v>0</v>
      </c>
      <c r="AR179" s="37">
        <v>0</v>
      </c>
      <c r="AS179" s="37">
        <v>0</v>
      </c>
      <c r="AT179" s="37">
        <v>26</v>
      </c>
      <c r="AU179" s="33" t="str">
        <f t="shared" si="6"/>
        <v>库存为26</v>
      </c>
      <c r="AV179" s="38" t="str">
        <f>IFERROR(时间!$B$4+AU179,"上周无销量")</f>
        <v>上周无销量</v>
      </c>
    </row>
    <row r="180" spans="1:48">
      <c r="A180" s="21" t="s">
        <v>572</v>
      </c>
      <c r="B180" t="s">
        <v>573</v>
      </c>
      <c r="C180" t="s">
        <v>540</v>
      </c>
      <c r="D180" s="33">
        <v>1</v>
      </c>
      <c r="E180" s="33">
        <v>0</v>
      </c>
      <c r="F180" s="33">
        <v>0</v>
      </c>
      <c r="G180" s="33">
        <v>0</v>
      </c>
      <c r="H180" s="34">
        <v>12.99</v>
      </c>
      <c r="I180">
        <v>27</v>
      </c>
      <c r="J180" s="35">
        <v>0</v>
      </c>
      <c r="K180" s="35">
        <v>0</v>
      </c>
      <c r="L180" s="35">
        <v>0</v>
      </c>
      <c r="M180">
        <v>27</v>
      </c>
      <c r="N180">
        <v>0</v>
      </c>
      <c r="O180">
        <v>27</v>
      </c>
      <c r="P180">
        <v>6</v>
      </c>
      <c r="Q180">
        <v>12</v>
      </c>
      <c r="R180">
        <v>13</v>
      </c>
      <c r="S180">
        <v>18</v>
      </c>
      <c r="T180">
        <v>0</v>
      </c>
      <c r="U180">
        <v>0</v>
      </c>
      <c r="V180">
        <v>0</v>
      </c>
      <c r="W180">
        <v>0</v>
      </c>
      <c r="X180" s="23">
        <v>0</v>
      </c>
      <c r="Y180" s="23">
        <v>0</v>
      </c>
      <c r="Z180" s="23">
        <v>0</v>
      </c>
      <c r="AA180" s="23">
        <v>0</v>
      </c>
      <c r="AB180">
        <v>0</v>
      </c>
      <c r="AC180">
        <v>0</v>
      </c>
      <c r="AD180">
        <v>0</v>
      </c>
      <c r="AE180">
        <v>0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5</v>
      </c>
      <c r="AK180">
        <v>2</v>
      </c>
      <c r="AL180">
        <v>1</v>
      </c>
      <c r="AM180">
        <v>0</v>
      </c>
      <c r="AN180" s="23">
        <v>0.2</v>
      </c>
      <c r="AO180" s="23">
        <v>0</v>
      </c>
      <c r="AP180" s="23">
        <v>0</v>
      </c>
      <c r="AQ180" s="23" t="s">
        <v>54</v>
      </c>
      <c r="AR180" s="37">
        <v>0.142857142857143</v>
      </c>
      <c r="AS180" s="37">
        <v>8.57142857142857</v>
      </c>
      <c r="AT180" s="37">
        <v>18.4285714285714</v>
      </c>
      <c r="AU180" s="33">
        <f t="shared" si="6"/>
        <v>189</v>
      </c>
      <c r="AV180" s="38">
        <f>IFERROR(时间!$B$4+AU180,"上周无销量")</f>
        <v>43507</v>
      </c>
    </row>
    <row r="181" spans="1:48">
      <c r="A181" s="21" t="s">
        <v>574</v>
      </c>
      <c r="B181" t="s">
        <v>575</v>
      </c>
      <c r="C181" t="s">
        <v>540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30</v>
      </c>
      <c r="J181" s="35">
        <v>0</v>
      </c>
      <c r="K181" s="35">
        <v>0</v>
      </c>
      <c r="L181" s="35">
        <v>0</v>
      </c>
      <c r="M181">
        <v>30</v>
      </c>
      <c r="N181">
        <v>0</v>
      </c>
      <c r="O181">
        <v>30</v>
      </c>
      <c r="P181">
        <v>1649</v>
      </c>
      <c r="Q181">
        <v>0</v>
      </c>
      <c r="R181">
        <v>605</v>
      </c>
      <c r="S181">
        <v>457</v>
      </c>
      <c r="T181">
        <v>2</v>
      </c>
      <c r="U181">
        <v>0</v>
      </c>
      <c r="V181">
        <v>0</v>
      </c>
      <c r="W181">
        <v>2</v>
      </c>
      <c r="X181" s="23">
        <v>0.00121285627653123</v>
      </c>
      <c r="Y181" s="23" t="s">
        <v>54</v>
      </c>
      <c r="Z181" s="23">
        <v>0</v>
      </c>
      <c r="AA181" s="23">
        <v>0.00437636761487965</v>
      </c>
      <c r="AB181">
        <v>0.68</v>
      </c>
      <c r="AC181">
        <v>0</v>
      </c>
      <c r="AD181">
        <v>0</v>
      </c>
      <c r="AE181">
        <v>0.44</v>
      </c>
      <c r="AF181" s="23" t="s">
        <v>383</v>
      </c>
      <c r="AG181" s="23" t="s">
        <v>54</v>
      </c>
      <c r="AH181" s="23" t="s">
        <v>54</v>
      </c>
      <c r="AI181" s="23" t="s">
        <v>294</v>
      </c>
      <c r="AJ181">
        <v>2</v>
      </c>
      <c r="AK181">
        <v>7</v>
      </c>
      <c r="AL181">
        <v>1</v>
      </c>
      <c r="AM181">
        <v>0</v>
      </c>
      <c r="AN181" s="23">
        <v>0</v>
      </c>
      <c r="AO181" s="23">
        <v>0</v>
      </c>
      <c r="AP181" s="23">
        <v>0</v>
      </c>
      <c r="AQ181" s="23" t="s">
        <v>54</v>
      </c>
      <c r="AR181" s="37">
        <v>0</v>
      </c>
      <c r="AS181" s="37">
        <v>0</v>
      </c>
      <c r="AT181" s="37">
        <v>30</v>
      </c>
      <c r="AU181" s="33" t="str">
        <f t="shared" si="6"/>
        <v>库存为30</v>
      </c>
      <c r="AV181" s="38" t="str">
        <f>IFERROR(时间!$B$4+AU181,"上周无销量")</f>
        <v>上周无销量</v>
      </c>
    </row>
    <row r="182" spans="1:48">
      <c r="A182" s="21" t="s">
        <v>576</v>
      </c>
      <c r="B182" t="s">
        <v>577</v>
      </c>
      <c r="C182" t="s">
        <v>540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28</v>
      </c>
      <c r="J182" s="35">
        <v>0</v>
      </c>
      <c r="K182" s="35">
        <v>0</v>
      </c>
      <c r="L182" s="35">
        <v>0</v>
      </c>
      <c r="M182">
        <v>28</v>
      </c>
      <c r="N182">
        <v>0</v>
      </c>
      <c r="O182">
        <v>28</v>
      </c>
      <c r="P182">
        <v>180</v>
      </c>
      <c r="Q182">
        <v>706</v>
      </c>
      <c r="R182">
        <v>3217</v>
      </c>
      <c r="S182">
        <v>42</v>
      </c>
      <c r="T182">
        <v>1</v>
      </c>
      <c r="U182">
        <v>0</v>
      </c>
      <c r="V182">
        <v>1</v>
      </c>
      <c r="W182">
        <v>0</v>
      </c>
      <c r="X182" s="23">
        <v>0.00555555555555556</v>
      </c>
      <c r="Y182" s="23">
        <v>0</v>
      </c>
      <c r="Z182" s="23">
        <v>0.000310848616723656</v>
      </c>
      <c r="AA182" s="23">
        <v>0</v>
      </c>
      <c r="AB182">
        <v>0.26</v>
      </c>
      <c r="AC182">
        <v>0</v>
      </c>
      <c r="AD182">
        <v>0.22</v>
      </c>
      <c r="AE182">
        <v>0</v>
      </c>
      <c r="AF182" s="23" t="s">
        <v>441</v>
      </c>
      <c r="AG182" s="23" t="s">
        <v>54</v>
      </c>
      <c r="AH182" s="23" t="s">
        <v>546</v>
      </c>
      <c r="AI182" s="23" t="s">
        <v>54</v>
      </c>
      <c r="AJ182">
        <v>2</v>
      </c>
      <c r="AK182">
        <v>2</v>
      </c>
      <c r="AL182">
        <v>4</v>
      </c>
      <c r="AM182">
        <v>0</v>
      </c>
      <c r="AN182" s="23">
        <v>0</v>
      </c>
      <c r="AO182" s="23">
        <v>0</v>
      </c>
      <c r="AP182" s="23">
        <v>0</v>
      </c>
      <c r="AQ182" s="23" t="s">
        <v>54</v>
      </c>
      <c r="AR182" s="37">
        <v>0</v>
      </c>
      <c r="AS182" s="37">
        <v>0</v>
      </c>
      <c r="AT182" s="37">
        <v>28</v>
      </c>
      <c r="AU182" s="33" t="str">
        <f t="shared" si="6"/>
        <v>库存为28</v>
      </c>
      <c r="AV182" s="38" t="str">
        <f>IFERROR(时间!$B$4+AU182,"上周无销量")</f>
        <v>上周无销量</v>
      </c>
    </row>
    <row r="183" spans="1:48">
      <c r="A183" s="21" t="s">
        <v>578</v>
      </c>
      <c r="B183" t="s">
        <v>579</v>
      </c>
      <c r="C183" t="s">
        <v>540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28</v>
      </c>
      <c r="J183" s="35">
        <v>0</v>
      </c>
      <c r="K183" s="35">
        <v>0</v>
      </c>
      <c r="L183" s="35">
        <v>0</v>
      </c>
      <c r="M183">
        <v>28</v>
      </c>
      <c r="N183">
        <v>0</v>
      </c>
      <c r="O183">
        <v>28</v>
      </c>
      <c r="P183">
        <v>833</v>
      </c>
      <c r="Q183">
        <v>752</v>
      </c>
      <c r="R183">
        <v>592</v>
      </c>
      <c r="S183">
        <v>303</v>
      </c>
      <c r="T183">
        <v>4</v>
      </c>
      <c r="U183">
        <v>2</v>
      </c>
      <c r="V183">
        <v>2</v>
      </c>
      <c r="W183">
        <v>2</v>
      </c>
      <c r="X183" s="23">
        <v>0.00480192076830732</v>
      </c>
      <c r="Y183" s="23">
        <v>0.00265957446808511</v>
      </c>
      <c r="Z183" s="23">
        <v>0.00337837837837838</v>
      </c>
      <c r="AA183" s="23">
        <v>0.0066006600660066</v>
      </c>
      <c r="AB183">
        <v>0.97</v>
      </c>
      <c r="AC183">
        <v>0.66</v>
      </c>
      <c r="AD183">
        <v>0.27</v>
      </c>
      <c r="AE183">
        <v>0.4</v>
      </c>
      <c r="AF183" s="23" t="s">
        <v>580</v>
      </c>
      <c r="AG183" s="23" t="s">
        <v>225</v>
      </c>
      <c r="AH183" s="23" t="s">
        <v>581</v>
      </c>
      <c r="AI183" s="23" t="s">
        <v>264</v>
      </c>
      <c r="AJ183">
        <v>1</v>
      </c>
      <c r="AK183">
        <v>7</v>
      </c>
      <c r="AL183">
        <v>1</v>
      </c>
      <c r="AM183">
        <v>2</v>
      </c>
      <c r="AN183" s="23">
        <v>0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28</v>
      </c>
      <c r="AU183" s="33" t="str">
        <f t="shared" si="6"/>
        <v>库存为28</v>
      </c>
      <c r="AV183" s="38" t="str">
        <f>IFERROR(时间!$B$4+AU183,"上周无销量")</f>
        <v>上周无销量</v>
      </c>
    </row>
    <row r="184" spans="1:48">
      <c r="A184" s="21" t="s">
        <v>582</v>
      </c>
      <c r="B184" t="s">
        <v>583</v>
      </c>
      <c r="C184" t="s">
        <v>540</v>
      </c>
      <c r="D184" s="33">
        <v>0</v>
      </c>
      <c r="E184" s="33">
        <v>0</v>
      </c>
      <c r="F184" s="33">
        <v>0</v>
      </c>
      <c r="G184" s="33">
        <v>1</v>
      </c>
      <c r="H184" s="34">
        <v>9.42</v>
      </c>
      <c r="I184">
        <v>26</v>
      </c>
      <c r="J184" s="35">
        <v>0</v>
      </c>
      <c r="K184" s="35">
        <v>0</v>
      </c>
      <c r="L184" s="35">
        <v>0</v>
      </c>
      <c r="M184">
        <v>26</v>
      </c>
      <c r="N184">
        <v>0</v>
      </c>
      <c r="O184">
        <v>26</v>
      </c>
      <c r="P184">
        <v>602</v>
      </c>
      <c r="Q184">
        <v>681</v>
      </c>
      <c r="R184">
        <v>567</v>
      </c>
      <c r="S184">
        <v>28</v>
      </c>
      <c r="T184">
        <v>6</v>
      </c>
      <c r="U184">
        <v>1</v>
      </c>
      <c r="V184">
        <v>1</v>
      </c>
      <c r="W184">
        <v>0</v>
      </c>
      <c r="X184" s="23">
        <v>0.00996677740863787</v>
      </c>
      <c r="Y184" s="23">
        <v>0.00146842878120411</v>
      </c>
      <c r="Z184" s="23">
        <v>0.0017636684303351</v>
      </c>
      <c r="AA184" s="23">
        <v>0</v>
      </c>
      <c r="AB184">
        <v>1.15</v>
      </c>
      <c r="AC184">
        <v>0.41</v>
      </c>
      <c r="AD184">
        <v>0.22</v>
      </c>
      <c r="AE184">
        <v>0</v>
      </c>
      <c r="AF184" s="23" t="s">
        <v>584</v>
      </c>
      <c r="AG184" s="23" t="s">
        <v>267</v>
      </c>
      <c r="AH184" s="23" t="s">
        <v>546</v>
      </c>
      <c r="AI184" s="23" t="s">
        <v>54</v>
      </c>
      <c r="AJ184">
        <v>7</v>
      </c>
      <c r="AK184">
        <v>8</v>
      </c>
      <c r="AL184">
        <v>2</v>
      </c>
      <c r="AM184">
        <v>2</v>
      </c>
      <c r="AN184" s="23">
        <v>0</v>
      </c>
      <c r="AO184" s="23">
        <v>0</v>
      </c>
      <c r="AP184" s="23">
        <v>0</v>
      </c>
      <c r="AQ184" s="23">
        <v>0.5</v>
      </c>
      <c r="AR184" s="37">
        <v>0</v>
      </c>
      <c r="AS184" s="37">
        <v>0</v>
      </c>
      <c r="AT184" s="37">
        <v>26</v>
      </c>
      <c r="AU184" s="33" t="str">
        <f t="shared" si="6"/>
        <v>库存为26</v>
      </c>
      <c r="AV184" s="38" t="str">
        <f>IFERROR(时间!$B$4+AU184,"上周无销量")</f>
        <v>上周无销量</v>
      </c>
    </row>
    <row r="185" spans="1:48">
      <c r="A185" s="21" t="s">
        <v>585</v>
      </c>
      <c r="B185" t="s">
        <v>586</v>
      </c>
      <c r="C185" t="s">
        <v>587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3</v>
      </c>
      <c r="J185" s="35">
        <v>0</v>
      </c>
      <c r="K185" s="35">
        <v>0</v>
      </c>
      <c r="L185" s="35">
        <v>0</v>
      </c>
      <c r="M185">
        <v>3</v>
      </c>
      <c r="N185">
        <v>0</v>
      </c>
      <c r="O185">
        <v>3</v>
      </c>
      <c r="P185">
        <v>144</v>
      </c>
      <c r="Q185">
        <v>139</v>
      </c>
      <c r="R185">
        <v>179</v>
      </c>
      <c r="S185">
        <v>58</v>
      </c>
      <c r="T185">
        <v>1</v>
      </c>
      <c r="U185">
        <v>2</v>
      </c>
      <c r="V185">
        <v>0</v>
      </c>
      <c r="W185">
        <v>0</v>
      </c>
      <c r="X185" s="23">
        <v>0.00694444444444444</v>
      </c>
      <c r="Y185" s="23">
        <v>0.0143884892086331</v>
      </c>
      <c r="Z185" s="23">
        <v>0</v>
      </c>
      <c r="AA185" s="23">
        <v>0</v>
      </c>
      <c r="AB185">
        <v>0.37</v>
      </c>
      <c r="AC185">
        <v>0.55</v>
      </c>
      <c r="AD185">
        <v>0</v>
      </c>
      <c r="AE185">
        <v>0</v>
      </c>
      <c r="AF185" s="23" t="s">
        <v>482</v>
      </c>
      <c r="AG185" s="23" t="s">
        <v>438</v>
      </c>
      <c r="AH185" s="23" t="s">
        <v>54</v>
      </c>
      <c r="AI185" s="23" t="s">
        <v>54</v>
      </c>
      <c r="AJ185">
        <v>0</v>
      </c>
      <c r="AK185">
        <v>2</v>
      </c>
      <c r="AL185">
        <v>2</v>
      </c>
      <c r="AM185">
        <v>2</v>
      </c>
      <c r="AN185" s="23" t="s">
        <v>54</v>
      </c>
      <c r="AO185" s="23">
        <v>0</v>
      </c>
      <c r="AP185" s="23">
        <v>0</v>
      </c>
      <c r="AQ185" s="23">
        <v>0</v>
      </c>
      <c r="AR185" s="37">
        <v>0</v>
      </c>
      <c r="AS185" s="37">
        <v>0</v>
      </c>
      <c r="AT185" s="37">
        <v>3</v>
      </c>
      <c r="AU185" s="33" t="str">
        <f t="shared" si="6"/>
        <v>库存为3</v>
      </c>
      <c r="AV185" s="38" t="str">
        <f>IFERROR(时间!$B$4+AU185,"上周无销量")</f>
        <v>上周无销量</v>
      </c>
    </row>
    <row r="186" spans="1:48">
      <c r="A186" s="21" t="s">
        <v>588</v>
      </c>
      <c r="B186" t="s">
        <v>589</v>
      </c>
      <c r="C186" t="s">
        <v>587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3</v>
      </c>
      <c r="J186" s="35">
        <v>0</v>
      </c>
      <c r="K186" s="35">
        <v>0</v>
      </c>
      <c r="L186" s="35">
        <v>0</v>
      </c>
      <c r="M186">
        <v>3</v>
      </c>
      <c r="N186">
        <v>0</v>
      </c>
      <c r="O186">
        <v>3</v>
      </c>
      <c r="P186">
        <v>1547</v>
      </c>
      <c r="Q186">
        <v>1560</v>
      </c>
      <c r="R186">
        <v>1865</v>
      </c>
      <c r="S186">
        <v>533</v>
      </c>
      <c r="T186">
        <v>15</v>
      </c>
      <c r="U186">
        <v>7</v>
      </c>
      <c r="V186">
        <v>6</v>
      </c>
      <c r="W186">
        <v>2</v>
      </c>
      <c r="X186" s="23">
        <v>0.0096961861667744</v>
      </c>
      <c r="Y186" s="23">
        <v>0.00448717948717949</v>
      </c>
      <c r="Z186" s="23">
        <v>0.0032171581769437</v>
      </c>
      <c r="AA186" s="23">
        <v>0.00375234521575985</v>
      </c>
      <c r="AB186">
        <v>5.22</v>
      </c>
      <c r="AC186">
        <v>2.84</v>
      </c>
      <c r="AD186">
        <v>1.94</v>
      </c>
      <c r="AE186">
        <v>0.93</v>
      </c>
      <c r="AF186" s="23" t="s">
        <v>518</v>
      </c>
      <c r="AG186" s="23" t="s">
        <v>590</v>
      </c>
      <c r="AH186" s="23" t="s">
        <v>591</v>
      </c>
      <c r="AI186" s="23" t="s">
        <v>425</v>
      </c>
      <c r="AJ186">
        <v>5</v>
      </c>
      <c r="AK186">
        <v>7</v>
      </c>
      <c r="AL186">
        <v>4</v>
      </c>
      <c r="AM186">
        <v>3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3</v>
      </c>
      <c r="AU186" s="33" t="str">
        <f t="shared" si="6"/>
        <v>库存为3</v>
      </c>
      <c r="AV186" s="38" t="str">
        <f>IFERROR(时间!$B$4+AU186,"上周无销量")</f>
        <v>上周无销量</v>
      </c>
    </row>
    <row r="187" spans="1:48">
      <c r="A187" s="21" t="s">
        <v>592</v>
      </c>
      <c r="B187" t="s">
        <v>593</v>
      </c>
      <c r="C187" t="s">
        <v>587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3</v>
      </c>
      <c r="J187" s="35">
        <v>0</v>
      </c>
      <c r="K187" s="35">
        <v>0</v>
      </c>
      <c r="L187" s="35">
        <v>0</v>
      </c>
      <c r="M187">
        <v>3</v>
      </c>
      <c r="N187">
        <v>0</v>
      </c>
      <c r="O187">
        <v>3</v>
      </c>
      <c r="P187">
        <v>40</v>
      </c>
      <c r="Q187">
        <v>45</v>
      </c>
      <c r="R187">
        <v>63</v>
      </c>
      <c r="S187">
        <v>15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2</v>
      </c>
      <c r="AK187">
        <v>2</v>
      </c>
      <c r="AL187">
        <v>1</v>
      </c>
      <c r="AM187">
        <v>2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3</v>
      </c>
      <c r="AU187" s="33" t="str">
        <f t="shared" si="6"/>
        <v>库存为3</v>
      </c>
      <c r="AV187" s="38" t="str">
        <f>IFERROR(时间!$B$4+AU187,"上周无销量")</f>
        <v>上周无销量</v>
      </c>
    </row>
    <row r="188" spans="1:48">
      <c r="A188" s="21" t="s">
        <v>594</v>
      </c>
      <c r="B188" t="s">
        <v>595</v>
      </c>
      <c r="C188" t="s">
        <v>596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50</v>
      </c>
      <c r="Q188">
        <v>55</v>
      </c>
      <c r="R188">
        <v>49</v>
      </c>
      <c r="S188">
        <v>6</v>
      </c>
      <c r="T188">
        <v>0</v>
      </c>
      <c r="U188">
        <v>0</v>
      </c>
      <c r="V188">
        <v>0</v>
      </c>
      <c r="W188">
        <v>0</v>
      </c>
      <c r="X188" s="23">
        <v>0</v>
      </c>
      <c r="Y188" s="23">
        <v>0</v>
      </c>
      <c r="Z188" s="23">
        <v>0</v>
      </c>
      <c r="AA188" s="23">
        <v>0</v>
      </c>
      <c r="AB188">
        <v>0</v>
      </c>
      <c r="AC188">
        <v>0</v>
      </c>
      <c r="AD188">
        <v>0</v>
      </c>
      <c r="AE188">
        <v>0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1</v>
      </c>
      <c r="AK188">
        <v>2</v>
      </c>
      <c r="AL188">
        <v>1</v>
      </c>
      <c r="AM188">
        <v>3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597</v>
      </c>
      <c r="B189" t="s">
        <v>598</v>
      </c>
      <c r="C189" t="s">
        <v>596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2</v>
      </c>
      <c r="J189" s="35">
        <v>0</v>
      </c>
      <c r="K189" s="35">
        <v>0</v>
      </c>
      <c r="L189" s="35">
        <v>0</v>
      </c>
      <c r="M189">
        <v>2</v>
      </c>
      <c r="N189">
        <v>0</v>
      </c>
      <c r="O189">
        <v>2</v>
      </c>
      <c r="P189">
        <v>100</v>
      </c>
      <c r="Q189">
        <v>92</v>
      </c>
      <c r="R189">
        <v>136</v>
      </c>
      <c r="S189">
        <v>15</v>
      </c>
      <c r="T189">
        <v>0</v>
      </c>
      <c r="U189">
        <v>0</v>
      </c>
      <c r="V189">
        <v>2</v>
      </c>
      <c r="W189">
        <v>0</v>
      </c>
      <c r="X189" s="23">
        <v>0</v>
      </c>
      <c r="Y189" s="23">
        <v>0</v>
      </c>
      <c r="Z189" s="23">
        <v>0.0147058823529412</v>
      </c>
      <c r="AA189" s="23">
        <v>0</v>
      </c>
      <c r="AB189">
        <v>0</v>
      </c>
      <c r="AC189">
        <v>0</v>
      </c>
      <c r="AD189">
        <v>0.7</v>
      </c>
      <c r="AE189">
        <v>0</v>
      </c>
      <c r="AF189" s="23" t="s">
        <v>54</v>
      </c>
      <c r="AG189" s="23" t="s">
        <v>54</v>
      </c>
      <c r="AH189" s="23" t="s">
        <v>274</v>
      </c>
      <c r="AI189" s="23" t="s">
        <v>54</v>
      </c>
      <c r="AJ189">
        <v>1</v>
      </c>
      <c r="AK189">
        <v>3</v>
      </c>
      <c r="AL189">
        <v>2</v>
      </c>
      <c r="AM189">
        <v>6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2</v>
      </c>
      <c r="AU189" s="33" t="str">
        <f t="shared" si="6"/>
        <v>库存为2</v>
      </c>
      <c r="AV189" s="38" t="str">
        <f>IFERROR(时间!$B$4+AU189,"上周无销量")</f>
        <v>上周无销量</v>
      </c>
    </row>
    <row r="190" spans="1:48">
      <c r="A190" s="21" t="s">
        <v>599</v>
      </c>
      <c r="B190" t="s">
        <v>600</v>
      </c>
      <c r="C190" t="s">
        <v>601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7">
        <v>0</v>
      </c>
      <c r="AS190" s="37">
        <v>0</v>
      </c>
      <c r="AT190" s="37">
        <v>0</v>
      </c>
      <c r="AU190" s="33" t="str">
        <f t="shared" si="6"/>
        <v>库存为0</v>
      </c>
      <c r="AV190" s="38" t="str">
        <f>IFERROR(时间!$B$4+AU190,"上周无销量")</f>
        <v>上周无销量</v>
      </c>
    </row>
    <row r="191" spans="1:48">
      <c r="A191" s="21" t="s">
        <v>602</v>
      </c>
      <c r="B191" t="s">
        <v>603</v>
      </c>
      <c r="C191" t="s">
        <v>604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1</v>
      </c>
      <c r="J191" s="35">
        <v>0</v>
      </c>
      <c r="K191" s="35">
        <v>0</v>
      </c>
      <c r="L191" s="35">
        <v>0</v>
      </c>
      <c r="M191">
        <v>1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7">
        <v>0</v>
      </c>
      <c r="AS191" s="37">
        <v>0</v>
      </c>
      <c r="AT191" s="37">
        <v>1</v>
      </c>
      <c r="AU191" s="33" t="str">
        <f t="shared" si="6"/>
        <v>库存为1</v>
      </c>
      <c r="AV191" s="38" t="str">
        <f>IFERROR(时间!$B$4+AU191,"上周无销量")</f>
        <v>上周无销量</v>
      </c>
    </row>
    <row r="192" spans="1:48">
      <c r="A192" s="21" t="s">
        <v>605</v>
      </c>
      <c r="B192" t="s">
        <v>606</v>
      </c>
      <c r="C192" t="s">
        <v>604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1</v>
      </c>
      <c r="J192" s="35">
        <v>0</v>
      </c>
      <c r="K192" s="35">
        <v>0</v>
      </c>
      <c r="L192" s="35">
        <v>0</v>
      </c>
      <c r="M192">
        <v>1</v>
      </c>
      <c r="N192">
        <v>0</v>
      </c>
      <c r="O192">
        <v>1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4</v>
      </c>
      <c r="AK192">
        <v>1</v>
      </c>
      <c r="AL192">
        <v>3</v>
      </c>
      <c r="AM192">
        <v>0</v>
      </c>
      <c r="AN192" s="23">
        <v>0</v>
      </c>
      <c r="AO192" s="23">
        <v>0</v>
      </c>
      <c r="AP192" s="23">
        <v>0</v>
      </c>
      <c r="AQ192" s="23" t="s">
        <v>54</v>
      </c>
      <c r="AR192" s="37">
        <v>0</v>
      </c>
      <c r="AS192" s="37">
        <v>0</v>
      </c>
      <c r="AT192" s="37">
        <v>1</v>
      </c>
      <c r="AU192" s="33" t="str">
        <f t="shared" si="6"/>
        <v>库存为1</v>
      </c>
      <c r="AV192" s="38" t="str">
        <f>IFERROR(时间!$B$4+AU192,"上周无销量")</f>
        <v>上周无销量</v>
      </c>
    </row>
    <row r="193" spans="1:48">
      <c r="A193" s="21" t="s">
        <v>607</v>
      </c>
      <c r="B193" t="s">
        <v>608</v>
      </c>
      <c r="C193" t="s">
        <v>604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1</v>
      </c>
      <c r="J193" s="35">
        <v>0</v>
      </c>
      <c r="K193" s="35">
        <v>0</v>
      </c>
      <c r="L193" s="35">
        <v>0</v>
      </c>
      <c r="M193">
        <v>1</v>
      </c>
      <c r="N193">
        <v>0</v>
      </c>
      <c r="O193">
        <v>1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5</v>
      </c>
      <c r="AK193">
        <v>3</v>
      </c>
      <c r="AL193">
        <v>3</v>
      </c>
      <c r="AM193">
        <v>3</v>
      </c>
      <c r="AN193" s="23">
        <v>0</v>
      </c>
      <c r="AO193" s="23">
        <v>0</v>
      </c>
      <c r="AP193" s="23">
        <v>0</v>
      </c>
      <c r="AQ193" s="23">
        <v>0</v>
      </c>
      <c r="AR193" s="37">
        <v>0</v>
      </c>
      <c r="AS193" s="37">
        <v>0</v>
      </c>
      <c r="AT193" s="37">
        <v>1</v>
      </c>
      <c r="AU193" s="33" t="str">
        <f t="shared" si="6"/>
        <v>库存为1</v>
      </c>
      <c r="AV193" s="38" t="str">
        <f>IFERROR(时间!$B$4+AU193,"上周无销量")</f>
        <v>上周无销量</v>
      </c>
    </row>
    <row r="194" spans="1:48">
      <c r="A194" s="21" t="s">
        <v>609</v>
      </c>
      <c r="B194" t="s">
        <v>610</v>
      </c>
      <c r="C194" t="s">
        <v>611</v>
      </c>
      <c r="D194" s="33">
        <v>1</v>
      </c>
      <c r="E194" s="33">
        <v>0</v>
      </c>
      <c r="F194" s="33">
        <v>0</v>
      </c>
      <c r="G194" s="33">
        <v>0</v>
      </c>
      <c r="H194" s="34">
        <v>5.63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2</v>
      </c>
      <c r="AK194">
        <v>2</v>
      </c>
      <c r="AL194">
        <v>2</v>
      </c>
      <c r="AM194">
        <v>4</v>
      </c>
      <c r="AN194" s="23">
        <v>0.5</v>
      </c>
      <c r="AO194" s="23">
        <v>0</v>
      </c>
      <c r="AP194" s="23">
        <v>0</v>
      </c>
      <c r="AQ194" s="23">
        <v>0</v>
      </c>
      <c r="AR194" s="37">
        <v>0.142857142857143</v>
      </c>
      <c r="AS194" s="37">
        <v>8.57142857142857</v>
      </c>
      <c r="AT194" s="37">
        <v>-8.57142857142857</v>
      </c>
      <c r="AU194" s="33">
        <f t="shared" si="6"/>
        <v>0</v>
      </c>
      <c r="AV194" s="38">
        <f>IFERROR(时间!$B$4+AU194,"上周无销量")</f>
        <v>43318</v>
      </c>
    </row>
    <row r="195" spans="1:48">
      <c r="A195" s="21" t="s">
        <v>612</v>
      </c>
      <c r="B195" t="s">
        <v>613</v>
      </c>
      <c r="C195" t="s">
        <v>611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2</v>
      </c>
      <c r="J195" s="35">
        <v>0</v>
      </c>
      <c r="K195" s="35">
        <v>0</v>
      </c>
      <c r="L195" s="35">
        <v>0</v>
      </c>
      <c r="M195">
        <v>2</v>
      </c>
      <c r="N195">
        <v>0</v>
      </c>
      <c r="O195">
        <v>2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</v>
      </c>
      <c r="AK195">
        <v>3</v>
      </c>
      <c r="AL195">
        <v>1</v>
      </c>
      <c r="AM195">
        <v>3</v>
      </c>
      <c r="AN195" s="23">
        <v>0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2</v>
      </c>
      <c r="AU195" s="33" t="str">
        <f t="shared" si="6"/>
        <v>库存为2</v>
      </c>
      <c r="AV195" s="38" t="str">
        <f>IFERROR(时间!$B$4+AU195,"上周无销量")</f>
        <v>上周无销量</v>
      </c>
    </row>
    <row r="196" spans="1:48">
      <c r="A196" s="21" t="s">
        <v>614</v>
      </c>
      <c r="B196" t="s">
        <v>615</v>
      </c>
      <c r="C196" t="s">
        <v>611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1</v>
      </c>
      <c r="J196" s="35">
        <v>0</v>
      </c>
      <c r="K196" s="35">
        <v>0</v>
      </c>
      <c r="L196" s="35">
        <v>0</v>
      </c>
      <c r="M196">
        <v>1</v>
      </c>
      <c r="N196">
        <v>0</v>
      </c>
      <c r="O196">
        <v>1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3</v>
      </c>
      <c r="AK196">
        <v>1</v>
      </c>
      <c r="AL196">
        <v>2</v>
      </c>
      <c r="AM196">
        <v>2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1</v>
      </c>
      <c r="AU196" s="33" t="str">
        <f t="shared" si="6"/>
        <v>库存为1</v>
      </c>
      <c r="AV196" s="38" t="str">
        <f>IFERROR(时间!$B$4+AU196,"上周无销量")</f>
        <v>上周无销量</v>
      </c>
    </row>
    <row r="197" spans="1:48">
      <c r="A197" s="21" t="s">
        <v>616</v>
      </c>
      <c r="B197" t="s">
        <v>617</v>
      </c>
      <c r="C197" t="s">
        <v>611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2</v>
      </c>
      <c r="J197" s="35">
        <v>0</v>
      </c>
      <c r="K197" s="35">
        <v>0</v>
      </c>
      <c r="L197" s="35">
        <v>0</v>
      </c>
      <c r="M197">
        <v>2</v>
      </c>
      <c r="N197">
        <v>0</v>
      </c>
      <c r="O197">
        <v>2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</v>
      </c>
      <c r="AK197">
        <v>1</v>
      </c>
      <c r="AL197">
        <v>3</v>
      </c>
      <c r="AM197">
        <v>3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2</v>
      </c>
      <c r="AU197" s="33" t="str">
        <f t="shared" ref="AU197:AU260" si="7">IF(AR197="","库存为"&amp;M197,IF(AS197=0,"库存为"&amp;M197,INT(M197/AR197)))</f>
        <v>库存为2</v>
      </c>
      <c r="AV197" s="38" t="str">
        <f>IFERROR(时间!$B$4+AU197,"上周无销量")</f>
        <v>上周无销量</v>
      </c>
    </row>
    <row r="198" spans="1:48">
      <c r="A198" s="21" t="s">
        <v>618</v>
      </c>
      <c r="B198" t="s">
        <v>619</v>
      </c>
      <c r="C198" t="s">
        <v>611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0</v>
      </c>
      <c r="J198" s="35">
        <v>0</v>
      </c>
      <c r="K198" s="35">
        <v>0</v>
      </c>
      <c r="L198" s="35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7">
        <v>0</v>
      </c>
      <c r="AS198" s="37">
        <v>0</v>
      </c>
      <c r="AT198" s="37">
        <v>0</v>
      </c>
      <c r="AU198" s="33" t="str">
        <f t="shared" si="7"/>
        <v>库存为0</v>
      </c>
      <c r="AV198" s="38" t="str">
        <f>IFERROR(时间!$B$4+AU198,"上周无销量")</f>
        <v>上周无销量</v>
      </c>
    </row>
    <row r="199" spans="1:48">
      <c r="A199" s="21" t="s">
        <v>620</v>
      </c>
      <c r="B199" t="s">
        <v>621</v>
      </c>
      <c r="C199" t="s">
        <v>611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2</v>
      </c>
      <c r="AK199">
        <v>3</v>
      </c>
      <c r="AL199">
        <v>4</v>
      </c>
      <c r="AM199">
        <v>2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622</v>
      </c>
      <c r="B200" t="s">
        <v>623</v>
      </c>
      <c r="C200" t="s">
        <v>611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1</v>
      </c>
      <c r="J200" s="35">
        <v>0</v>
      </c>
      <c r="K200" s="35">
        <v>0</v>
      </c>
      <c r="L200" s="35">
        <v>0</v>
      </c>
      <c r="M200">
        <v>1</v>
      </c>
      <c r="N200">
        <v>0</v>
      </c>
      <c r="O200">
        <v>1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2</v>
      </c>
      <c r="AK200">
        <v>3</v>
      </c>
      <c r="AL200">
        <v>2</v>
      </c>
      <c r="AM200">
        <v>3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1</v>
      </c>
      <c r="AU200" s="33" t="str">
        <f t="shared" si="7"/>
        <v>库存为1</v>
      </c>
      <c r="AV200" s="38" t="str">
        <f>IFERROR(时间!$B$4+AU200,"上周无销量")</f>
        <v>上周无销量</v>
      </c>
    </row>
    <row r="201" spans="1:48">
      <c r="A201" s="21" t="s">
        <v>624</v>
      </c>
      <c r="B201" t="s">
        <v>625</v>
      </c>
      <c r="C201" t="s">
        <v>611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2</v>
      </c>
      <c r="J201" s="35">
        <v>0</v>
      </c>
      <c r="K201" s="35">
        <v>0</v>
      </c>
      <c r="L201" s="35">
        <v>0</v>
      </c>
      <c r="M201">
        <v>2</v>
      </c>
      <c r="N201">
        <v>0</v>
      </c>
      <c r="O201">
        <v>2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3</v>
      </c>
      <c r="AK201">
        <v>2</v>
      </c>
      <c r="AL201">
        <v>1</v>
      </c>
      <c r="AM201">
        <v>2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2</v>
      </c>
      <c r="AU201" s="33" t="str">
        <f t="shared" si="7"/>
        <v>库存为2</v>
      </c>
      <c r="AV201" s="38" t="str">
        <f>IFERROR(时间!$B$4+AU201,"上周无销量")</f>
        <v>上周无销量</v>
      </c>
    </row>
    <row r="202" spans="1:48">
      <c r="A202" s="21" t="s">
        <v>626</v>
      </c>
      <c r="B202" t="s">
        <v>627</v>
      </c>
      <c r="C202" t="s">
        <v>611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3</v>
      </c>
      <c r="AK202">
        <v>1</v>
      </c>
      <c r="AL202">
        <v>2</v>
      </c>
      <c r="AM202">
        <v>2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628</v>
      </c>
      <c r="B203" t="s">
        <v>629</v>
      </c>
      <c r="C203" t="s">
        <v>611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1</v>
      </c>
      <c r="AK203">
        <v>2</v>
      </c>
      <c r="AL203">
        <v>2</v>
      </c>
      <c r="AM203">
        <v>3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630</v>
      </c>
      <c r="B204" t="s">
        <v>631</v>
      </c>
      <c r="C204" t="s">
        <v>611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1</v>
      </c>
      <c r="J204" s="35">
        <v>0</v>
      </c>
      <c r="K204" s="35">
        <v>0</v>
      </c>
      <c r="L204" s="35">
        <v>0</v>
      </c>
      <c r="M204">
        <v>1</v>
      </c>
      <c r="N204">
        <v>0</v>
      </c>
      <c r="O204">
        <v>1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2</v>
      </c>
      <c r="AK204">
        <v>1</v>
      </c>
      <c r="AL204">
        <v>1</v>
      </c>
      <c r="AM204">
        <v>1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1</v>
      </c>
      <c r="AU204" s="33" t="str">
        <f t="shared" si="7"/>
        <v>库存为1</v>
      </c>
      <c r="AV204" s="38" t="str">
        <f>IFERROR(时间!$B$4+AU204,"上周无销量")</f>
        <v>上周无销量</v>
      </c>
    </row>
    <row r="205" spans="1:48">
      <c r="A205" s="21" t="s">
        <v>632</v>
      </c>
      <c r="B205" t="s">
        <v>633</v>
      </c>
      <c r="C205" t="s">
        <v>611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2</v>
      </c>
      <c r="J205" s="35">
        <v>0</v>
      </c>
      <c r="K205" s="35">
        <v>0</v>
      </c>
      <c r="L205" s="35">
        <v>0</v>
      </c>
      <c r="M205">
        <v>2</v>
      </c>
      <c r="N205">
        <v>0</v>
      </c>
      <c r="O205">
        <v>2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1</v>
      </c>
      <c r="AL205">
        <v>3</v>
      </c>
      <c r="AM205">
        <v>4</v>
      </c>
      <c r="AN205" s="23" t="s">
        <v>54</v>
      </c>
      <c r="AO205" s="23">
        <v>0</v>
      </c>
      <c r="AP205" s="23">
        <v>0</v>
      </c>
      <c r="AQ205" s="23">
        <v>0</v>
      </c>
      <c r="AR205" s="37">
        <v>0</v>
      </c>
      <c r="AS205" s="37">
        <v>0</v>
      </c>
      <c r="AT205" s="37">
        <v>2</v>
      </c>
      <c r="AU205" s="33" t="str">
        <f t="shared" si="7"/>
        <v>库存为2</v>
      </c>
      <c r="AV205" s="38" t="str">
        <f>IFERROR(时间!$B$4+AU205,"上周无销量")</f>
        <v>上周无销量</v>
      </c>
    </row>
    <row r="206" spans="1:48">
      <c r="A206" s="21" t="s">
        <v>634</v>
      </c>
      <c r="B206" t="s">
        <v>635</v>
      </c>
      <c r="C206" t="s">
        <v>636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3</v>
      </c>
      <c r="AK206">
        <v>2</v>
      </c>
      <c r="AL206">
        <v>1</v>
      </c>
      <c r="AM206">
        <v>2</v>
      </c>
      <c r="AN206" s="23">
        <v>0</v>
      </c>
      <c r="AO206" s="23">
        <v>0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637</v>
      </c>
      <c r="B207" t="s">
        <v>638</v>
      </c>
      <c r="C207" t="s">
        <v>636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1</v>
      </c>
      <c r="AL207">
        <v>1</v>
      </c>
      <c r="AM207">
        <v>3</v>
      </c>
      <c r="AN207" s="23" t="s">
        <v>54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639</v>
      </c>
      <c r="B208" t="s">
        <v>640</v>
      </c>
      <c r="C208" t="s">
        <v>636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4</v>
      </c>
      <c r="AK208">
        <v>5</v>
      </c>
      <c r="AL208">
        <v>3</v>
      </c>
      <c r="AM208">
        <v>3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641</v>
      </c>
      <c r="B209" t="s">
        <v>642</v>
      </c>
      <c r="C209" t="s">
        <v>643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3</v>
      </c>
      <c r="AK209">
        <v>2</v>
      </c>
      <c r="AL209">
        <v>1</v>
      </c>
      <c r="AM209">
        <v>0</v>
      </c>
      <c r="AN209" s="23">
        <v>0</v>
      </c>
      <c r="AO209" s="23">
        <v>0</v>
      </c>
      <c r="AP209" s="23">
        <v>0</v>
      </c>
      <c r="AQ209" s="23" t="s">
        <v>54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644</v>
      </c>
      <c r="B210" t="s">
        <v>645</v>
      </c>
      <c r="C210" t="s">
        <v>643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646</v>
      </c>
      <c r="B211" t="s">
        <v>647</v>
      </c>
      <c r="C211" t="s">
        <v>643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648</v>
      </c>
      <c r="B212" t="s">
        <v>649</v>
      </c>
      <c r="C212" t="s">
        <v>643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650</v>
      </c>
      <c r="B213" t="s">
        <v>651</v>
      </c>
      <c r="C213" t="s">
        <v>643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4</v>
      </c>
      <c r="AK213">
        <v>1</v>
      </c>
      <c r="AL213">
        <v>2</v>
      </c>
      <c r="AM213">
        <v>0</v>
      </c>
      <c r="AN213" s="23">
        <v>0</v>
      </c>
      <c r="AO213" s="23">
        <v>0</v>
      </c>
      <c r="AP213" s="23">
        <v>0</v>
      </c>
      <c r="AQ213" s="23" t="s">
        <v>54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652</v>
      </c>
      <c r="B214" t="s">
        <v>653</v>
      </c>
      <c r="C214" t="s">
        <v>643</v>
      </c>
      <c r="D214" s="33">
        <v>0</v>
      </c>
      <c r="E214" s="33">
        <v>0</v>
      </c>
      <c r="F214" s="33">
        <v>0</v>
      </c>
      <c r="G214" s="33">
        <v>1</v>
      </c>
      <c r="H214" s="34">
        <v>4.99</v>
      </c>
      <c r="I214">
        <v>0</v>
      </c>
      <c r="J214" s="35">
        <v>0</v>
      </c>
      <c r="K214" s="35">
        <v>0</v>
      </c>
      <c r="L214" s="35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7">
        <v>0</v>
      </c>
      <c r="AS214" s="37">
        <v>0</v>
      </c>
      <c r="AT214" s="37">
        <v>0</v>
      </c>
      <c r="AU214" s="33" t="str">
        <f t="shared" si="7"/>
        <v>库存为0</v>
      </c>
      <c r="AV214" s="38" t="str">
        <f>IFERROR(时间!$B$4+AU214,"上周无销量")</f>
        <v>上周无销量</v>
      </c>
    </row>
    <row r="215" spans="1:48">
      <c r="A215" s="21" t="s">
        <v>654</v>
      </c>
      <c r="B215" t="s">
        <v>655</v>
      </c>
      <c r="C215" t="s">
        <v>643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5</v>
      </c>
      <c r="AK215">
        <v>0</v>
      </c>
      <c r="AL215">
        <v>1</v>
      </c>
      <c r="AM215">
        <v>0</v>
      </c>
      <c r="AN215" s="23">
        <v>0</v>
      </c>
      <c r="AO215" s="23" t="s">
        <v>54</v>
      </c>
      <c r="AP215" s="23">
        <v>0</v>
      </c>
      <c r="AQ215" s="23" t="s">
        <v>54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656</v>
      </c>
      <c r="B216" t="s">
        <v>657</v>
      </c>
      <c r="C216" t="s">
        <v>643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1</v>
      </c>
      <c r="AK216">
        <v>3</v>
      </c>
      <c r="AL216">
        <v>0</v>
      </c>
      <c r="AM216">
        <v>0</v>
      </c>
      <c r="AN216" s="23">
        <v>0</v>
      </c>
      <c r="AO216" s="23">
        <v>0</v>
      </c>
      <c r="AP216" s="23" t="s">
        <v>54</v>
      </c>
      <c r="AQ216" s="23" t="s">
        <v>54</v>
      </c>
      <c r="AR216" s="37">
        <v>0</v>
      </c>
      <c r="AS216" s="37">
        <v>0</v>
      </c>
      <c r="AT216" s="37">
        <v>1</v>
      </c>
      <c r="AU216" s="33" t="str">
        <f t="shared" si="7"/>
        <v>库存为1</v>
      </c>
      <c r="AV216" s="38" t="str">
        <f>IFERROR(时间!$B$4+AU216,"上周无销量")</f>
        <v>上周无销量</v>
      </c>
    </row>
    <row r="217" spans="1:48">
      <c r="A217" s="21" t="s">
        <v>658</v>
      </c>
      <c r="B217" t="s">
        <v>659</v>
      </c>
      <c r="C217" t="s">
        <v>660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2</v>
      </c>
      <c r="J217" s="35">
        <v>0</v>
      </c>
      <c r="K217" s="35">
        <v>0</v>
      </c>
      <c r="L217" s="35">
        <v>0</v>
      </c>
      <c r="M217">
        <v>2</v>
      </c>
      <c r="N217">
        <v>0</v>
      </c>
      <c r="O217">
        <v>2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1</v>
      </c>
      <c r="AK217">
        <v>1</v>
      </c>
      <c r="AL217">
        <v>0</v>
      </c>
      <c r="AM217">
        <v>0</v>
      </c>
      <c r="AN217" s="23">
        <v>0</v>
      </c>
      <c r="AO217" s="23">
        <v>0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2</v>
      </c>
      <c r="AU217" s="33" t="str">
        <f t="shared" si="7"/>
        <v>库存为2</v>
      </c>
      <c r="AV217" s="38" t="str">
        <f>IFERROR(时间!$B$4+AU217,"上周无销量")</f>
        <v>上周无销量</v>
      </c>
    </row>
    <row r="218" spans="1:48">
      <c r="A218" s="21" t="s">
        <v>661</v>
      </c>
      <c r="B218" t="s">
        <v>662</v>
      </c>
      <c r="C218" t="s">
        <v>660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0</v>
      </c>
      <c r="J218" s="35">
        <v>0</v>
      </c>
      <c r="K218" s="35">
        <v>0</v>
      </c>
      <c r="L218" s="35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7">
        <v>0</v>
      </c>
      <c r="AS218" s="37">
        <v>0</v>
      </c>
      <c r="AT218" s="37">
        <v>0</v>
      </c>
      <c r="AU218" s="33" t="str">
        <f t="shared" si="7"/>
        <v>库存为0</v>
      </c>
      <c r="AV218" s="38" t="str">
        <f>IFERROR(时间!$B$4+AU218,"上周无销量")</f>
        <v>上周无销量</v>
      </c>
    </row>
    <row r="219" spans="1:48">
      <c r="A219" s="21" t="s">
        <v>663</v>
      </c>
      <c r="B219" t="s">
        <v>664</v>
      </c>
      <c r="C219" t="s">
        <v>660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2</v>
      </c>
      <c r="J219" s="35">
        <v>0</v>
      </c>
      <c r="K219" s="35">
        <v>0</v>
      </c>
      <c r="L219" s="35">
        <v>0</v>
      </c>
      <c r="M219">
        <v>2</v>
      </c>
      <c r="N219">
        <v>0</v>
      </c>
      <c r="O219">
        <v>2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2</v>
      </c>
      <c r="AK219">
        <v>0</v>
      </c>
      <c r="AL219">
        <v>1</v>
      </c>
      <c r="AM219">
        <v>0</v>
      </c>
      <c r="AN219" s="23">
        <v>0</v>
      </c>
      <c r="AO219" s="23" t="s">
        <v>54</v>
      </c>
      <c r="AP219" s="23">
        <v>0</v>
      </c>
      <c r="AQ219" s="23" t="s">
        <v>54</v>
      </c>
      <c r="AR219" s="37">
        <v>0</v>
      </c>
      <c r="AS219" s="37">
        <v>0</v>
      </c>
      <c r="AT219" s="37">
        <v>2</v>
      </c>
      <c r="AU219" s="33" t="str">
        <f t="shared" si="7"/>
        <v>库存为2</v>
      </c>
      <c r="AV219" s="38" t="str">
        <f>IFERROR(时间!$B$4+AU219,"上周无销量")</f>
        <v>上周无销量</v>
      </c>
    </row>
    <row r="220" spans="1:48">
      <c r="A220" s="21" t="s">
        <v>665</v>
      </c>
      <c r="B220" t="s">
        <v>666</v>
      </c>
      <c r="C220" t="s">
        <v>660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3</v>
      </c>
      <c r="J220" s="35">
        <v>0</v>
      </c>
      <c r="K220" s="35">
        <v>0</v>
      </c>
      <c r="L220" s="35">
        <v>0</v>
      </c>
      <c r="M220">
        <v>3</v>
      </c>
      <c r="N220">
        <v>0</v>
      </c>
      <c r="O220">
        <v>3</v>
      </c>
      <c r="P220">
        <v>164</v>
      </c>
      <c r="Q220">
        <v>168</v>
      </c>
      <c r="R220">
        <v>174</v>
      </c>
      <c r="S220">
        <v>83</v>
      </c>
      <c r="T220">
        <v>0</v>
      </c>
      <c r="U220">
        <v>1</v>
      </c>
      <c r="V220">
        <v>1</v>
      </c>
      <c r="W220">
        <v>0</v>
      </c>
      <c r="X220" s="23">
        <v>0</v>
      </c>
      <c r="Y220" s="23">
        <v>0.00595238095238095</v>
      </c>
      <c r="Z220" s="23">
        <v>0.00574712643678161</v>
      </c>
      <c r="AA220" s="23">
        <v>0</v>
      </c>
      <c r="AB220">
        <v>0</v>
      </c>
      <c r="AC220">
        <v>0.36</v>
      </c>
      <c r="AD220">
        <v>0.34</v>
      </c>
      <c r="AE220">
        <v>0</v>
      </c>
      <c r="AF220" s="23" t="s">
        <v>54</v>
      </c>
      <c r="AG220" s="23" t="s">
        <v>531</v>
      </c>
      <c r="AH220" s="23" t="s">
        <v>398</v>
      </c>
      <c r="AI220" s="23" t="s">
        <v>54</v>
      </c>
      <c r="AJ220">
        <v>0</v>
      </c>
      <c r="AK220">
        <v>1</v>
      </c>
      <c r="AL220">
        <v>3</v>
      </c>
      <c r="AM220">
        <v>0</v>
      </c>
      <c r="AN220" s="23" t="s">
        <v>54</v>
      </c>
      <c r="AO220" s="23">
        <v>0</v>
      </c>
      <c r="AP220" s="23">
        <v>0</v>
      </c>
      <c r="AQ220" s="23" t="s">
        <v>54</v>
      </c>
      <c r="AR220" s="37">
        <v>0</v>
      </c>
      <c r="AS220" s="37">
        <v>0</v>
      </c>
      <c r="AT220" s="37">
        <v>3</v>
      </c>
      <c r="AU220" s="33" t="str">
        <f t="shared" si="7"/>
        <v>库存为3</v>
      </c>
      <c r="AV220" s="38" t="str">
        <f>IFERROR(时间!$B$4+AU220,"上周无销量")</f>
        <v>上周无销量</v>
      </c>
    </row>
    <row r="221" spans="1:48">
      <c r="A221" s="21" t="s">
        <v>667</v>
      </c>
      <c r="B221" t="s">
        <v>668</v>
      </c>
      <c r="C221" t="s">
        <v>660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3</v>
      </c>
      <c r="J221" s="35">
        <v>0</v>
      </c>
      <c r="K221" s="35">
        <v>0</v>
      </c>
      <c r="L221" s="35">
        <v>0</v>
      </c>
      <c r="M221">
        <v>3</v>
      </c>
      <c r="N221">
        <v>0</v>
      </c>
      <c r="O221">
        <v>3</v>
      </c>
      <c r="P221">
        <v>169</v>
      </c>
      <c r="Q221">
        <v>175</v>
      </c>
      <c r="R221">
        <v>166</v>
      </c>
      <c r="S221">
        <v>142</v>
      </c>
      <c r="T221">
        <v>1</v>
      </c>
      <c r="U221">
        <v>1</v>
      </c>
      <c r="V221">
        <v>1</v>
      </c>
      <c r="W221">
        <v>0</v>
      </c>
      <c r="X221" s="23">
        <v>0.00591715976331361</v>
      </c>
      <c r="Y221" s="23">
        <v>0.00571428571428571</v>
      </c>
      <c r="Z221" s="23">
        <v>0.00602409638554217</v>
      </c>
      <c r="AA221" s="23">
        <v>0</v>
      </c>
      <c r="AB221">
        <v>0.35</v>
      </c>
      <c r="AC221">
        <v>0.12</v>
      </c>
      <c r="AD221">
        <v>0.32</v>
      </c>
      <c r="AE221">
        <v>0</v>
      </c>
      <c r="AF221" s="23" t="s">
        <v>389</v>
      </c>
      <c r="AG221" s="23" t="s">
        <v>289</v>
      </c>
      <c r="AH221" s="23" t="s">
        <v>669</v>
      </c>
      <c r="AI221" s="23" t="s">
        <v>54</v>
      </c>
      <c r="AJ221">
        <v>0</v>
      </c>
      <c r="AK221">
        <v>2</v>
      </c>
      <c r="AL221">
        <v>2</v>
      </c>
      <c r="AM221">
        <v>3</v>
      </c>
      <c r="AN221" s="23" t="s">
        <v>54</v>
      </c>
      <c r="AO221" s="23">
        <v>0</v>
      </c>
      <c r="AP221" s="23">
        <v>0</v>
      </c>
      <c r="AQ221" s="23">
        <v>0</v>
      </c>
      <c r="AR221" s="37">
        <v>0</v>
      </c>
      <c r="AS221" s="37">
        <v>0</v>
      </c>
      <c r="AT221" s="37">
        <v>3</v>
      </c>
      <c r="AU221" s="33" t="str">
        <f t="shared" si="7"/>
        <v>库存为3</v>
      </c>
      <c r="AV221" s="38" t="str">
        <f>IFERROR(时间!$B$4+AU221,"上周无销量")</f>
        <v>上周无销量</v>
      </c>
    </row>
    <row r="222" spans="1:48">
      <c r="A222" s="21" t="s">
        <v>670</v>
      </c>
      <c r="B222" t="s">
        <v>671</v>
      </c>
      <c r="C222" t="s">
        <v>660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0</v>
      </c>
      <c r="AU222" s="33" t="str">
        <f t="shared" si="7"/>
        <v>库存为0</v>
      </c>
      <c r="AV222" s="38" t="str">
        <f>IFERROR(时间!$B$4+AU222,"上周无销量")</f>
        <v>上周无销量</v>
      </c>
    </row>
    <row r="223" spans="1:48">
      <c r="A223" s="21" t="s">
        <v>672</v>
      </c>
      <c r="B223" t="s">
        <v>673</v>
      </c>
      <c r="C223" t="s">
        <v>674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3</v>
      </c>
      <c r="J223" s="35">
        <v>0</v>
      </c>
      <c r="K223" s="35">
        <v>0</v>
      </c>
      <c r="L223" s="35">
        <v>0</v>
      </c>
      <c r="M223">
        <v>3</v>
      </c>
      <c r="N223">
        <v>0</v>
      </c>
      <c r="O223">
        <v>3</v>
      </c>
      <c r="P223">
        <v>1727</v>
      </c>
      <c r="Q223">
        <v>1500</v>
      </c>
      <c r="R223">
        <v>8249</v>
      </c>
      <c r="S223">
        <v>964</v>
      </c>
      <c r="T223">
        <v>1</v>
      </c>
      <c r="U223">
        <v>2</v>
      </c>
      <c r="V223">
        <v>3</v>
      </c>
      <c r="W223">
        <v>3</v>
      </c>
      <c r="X223" s="23">
        <v>0.000579038795599305</v>
      </c>
      <c r="Y223" s="23">
        <v>0.00133333333333333</v>
      </c>
      <c r="Z223" s="23">
        <v>0.000363680446114681</v>
      </c>
      <c r="AA223" s="23">
        <v>0.00311203319502075</v>
      </c>
      <c r="AB223">
        <v>0.29</v>
      </c>
      <c r="AC223">
        <v>1</v>
      </c>
      <c r="AD223">
        <v>0.71</v>
      </c>
      <c r="AE223">
        <v>0.87</v>
      </c>
      <c r="AF223" s="23" t="s">
        <v>675</v>
      </c>
      <c r="AG223" s="23" t="s">
        <v>676</v>
      </c>
      <c r="AH223" s="23" t="s">
        <v>327</v>
      </c>
      <c r="AI223" s="23" t="s">
        <v>453</v>
      </c>
      <c r="AJ223">
        <v>2</v>
      </c>
      <c r="AK223">
        <v>3</v>
      </c>
      <c r="AL223">
        <v>2</v>
      </c>
      <c r="AM223">
        <v>7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3</v>
      </c>
      <c r="AU223" s="33" t="str">
        <f t="shared" si="7"/>
        <v>库存为3</v>
      </c>
      <c r="AV223" s="38" t="str">
        <f>IFERROR(时间!$B$4+AU223,"上周无销量")</f>
        <v>上周无销量</v>
      </c>
    </row>
    <row r="224" spans="1:48">
      <c r="A224" s="21" t="s">
        <v>677</v>
      </c>
      <c r="B224" t="s">
        <v>678</v>
      </c>
      <c r="C224" t="s">
        <v>674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2</v>
      </c>
      <c r="J224" s="35">
        <v>0</v>
      </c>
      <c r="K224" s="35">
        <v>0</v>
      </c>
      <c r="L224" s="35">
        <v>0</v>
      </c>
      <c r="M224">
        <v>2</v>
      </c>
      <c r="N224">
        <v>0</v>
      </c>
      <c r="O224">
        <v>2</v>
      </c>
      <c r="P224">
        <v>354</v>
      </c>
      <c r="Q224">
        <v>474</v>
      </c>
      <c r="R224">
        <v>239</v>
      </c>
      <c r="S224">
        <v>74</v>
      </c>
      <c r="T224">
        <v>0</v>
      </c>
      <c r="U224">
        <v>0</v>
      </c>
      <c r="V224">
        <v>1</v>
      </c>
      <c r="W224">
        <v>0</v>
      </c>
      <c r="X224" s="23">
        <v>0</v>
      </c>
      <c r="Y224" s="23">
        <v>0</v>
      </c>
      <c r="Z224" s="23">
        <v>0.00418410041841004</v>
      </c>
      <c r="AA224" s="23">
        <v>0</v>
      </c>
      <c r="AB224">
        <v>0</v>
      </c>
      <c r="AC224">
        <v>0</v>
      </c>
      <c r="AD224">
        <v>0.47</v>
      </c>
      <c r="AE224">
        <v>0</v>
      </c>
      <c r="AF224" s="23" t="s">
        <v>54</v>
      </c>
      <c r="AG224" s="23" t="s">
        <v>54</v>
      </c>
      <c r="AH224" s="23" t="s">
        <v>679</v>
      </c>
      <c r="AI224" s="23" t="s">
        <v>54</v>
      </c>
      <c r="AJ224">
        <v>1</v>
      </c>
      <c r="AK224">
        <v>2</v>
      </c>
      <c r="AL224">
        <v>4</v>
      </c>
      <c r="AM224">
        <v>3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2</v>
      </c>
      <c r="AU224" s="33" t="str">
        <f t="shared" si="7"/>
        <v>库存为2</v>
      </c>
      <c r="AV224" s="38" t="str">
        <f>IFERROR(时间!$B$4+AU224,"上周无销量")</f>
        <v>上周无销量</v>
      </c>
    </row>
    <row r="225" spans="1:48">
      <c r="A225" s="21" t="s">
        <v>680</v>
      </c>
      <c r="B225" t="s">
        <v>681</v>
      </c>
      <c r="C225" t="s">
        <v>674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3</v>
      </c>
      <c r="J225" s="35">
        <v>0</v>
      </c>
      <c r="K225" s="35">
        <v>0</v>
      </c>
      <c r="L225" s="35">
        <v>0</v>
      </c>
      <c r="M225">
        <v>3</v>
      </c>
      <c r="N225">
        <v>0</v>
      </c>
      <c r="O225">
        <v>3</v>
      </c>
      <c r="P225">
        <v>711</v>
      </c>
      <c r="Q225">
        <v>363</v>
      </c>
      <c r="R225">
        <v>256</v>
      </c>
      <c r="S225">
        <v>132</v>
      </c>
      <c r="T225">
        <v>1</v>
      </c>
      <c r="U225">
        <v>0</v>
      </c>
      <c r="V225">
        <v>1</v>
      </c>
      <c r="W225">
        <v>0</v>
      </c>
      <c r="X225" s="23">
        <v>0.00140646976090014</v>
      </c>
      <c r="Y225" s="23">
        <v>0</v>
      </c>
      <c r="Z225" s="23">
        <v>0.00390625</v>
      </c>
      <c r="AA225" s="23">
        <v>0</v>
      </c>
      <c r="AB225">
        <v>0.47</v>
      </c>
      <c r="AC225">
        <v>0</v>
      </c>
      <c r="AD225">
        <v>0.28</v>
      </c>
      <c r="AE225">
        <v>0</v>
      </c>
      <c r="AF225" s="23" t="s">
        <v>679</v>
      </c>
      <c r="AG225" s="23" t="s">
        <v>54</v>
      </c>
      <c r="AH225" s="23" t="s">
        <v>207</v>
      </c>
      <c r="AI225" s="23" t="s">
        <v>54</v>
      </c>
      <c r="AJ225">
        <v>2</v>
      </c>
      <c r="AK225">
        <v>3</v>
      </c>
      <c r="AL225">
        <v>3</v>
      </c>
      <c r="AM225">
        <v>5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3</v>
      </c>
      <c r="AU225" s="33" t="str">
        <f t="shared" si="7"/>
        <v>库存为3</v>
      </c>
      <c r="AV225" s="38" t="str">
        <f>IFERROR(时间!$B$4+AU225,"上周无销量")</f>
        <v>上周无销量</v>
      </c>
    </row>
    <row r="226" spans="1:48">
      <c r="A226" s="21" t="s">
        <v>682</v>
      </c>
      <c r="B226" t="s">
        <v>683</v>
      </c>
      <c r="C226" t="s">
        <v>674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3</v>
      </c>
      <c r="J226" s="35">
        <v>0</v>
      </c>
      <c r="K226" s="35">
        <v>0</v>
      </c>
      <c r="L226" s="35">
        <v>0</v>
      </c>
      <c r="M226">
        <v>3</v>
      </c>
      <c r="N226">
        <v>0</v>
      </c>
      <c r="O226">
        <v>3</v>
      </c>
      <c r="P226">
        <v>2426</v>
      </c>
      <c r="Q226">
        <v>2889</v>
      </c>
      <c r="R226">
        <v>2538</v>
      </c>
      <c r="S226">
        <v>793</v>
      </c>
      <c r="T226">
        <v>6</v>
      </c>
      <c r="U226">
        <v>3</v>
      </c>
      <c r="V226">
        <v>4</v>
      </c>
      <c r="W226">
        <v>1</v>
      </c>
      <c r="X226" s="23">
        <v>0.00247320692497939</v>
      </c>
      <c r="Y226" s="23">
        <v>0.00103842159916926</v>
      </c>
      <c r="Z226" s="23">
        <v>0.00157604412923562</v>
      </c>
      <c r="AA226" s="23">
        <v>0.00126103404791929</v>
      </c>
      <c r="AB226">
        <v>1.53</v>
      </c>
      <c r="AC226">
        <v>0.98</v>
      </c>
      <c r="AD226">
        <v>1.37</v>
      </c>
      <c r="AE226">
        <v>0.33</v>
      </c>
      <c r="AF226" s="23" t="s">
        <v>684</v>
      </c>
      <c r="AG226" s="23" t="s">
        <v>224</v>
      </c>
      <c r="AH226" s="23" t="s">
        <v>685</v>
      </c>
      <c r="AI226" s="23" t="s">
        <v>242</v>
      </c>
      <c r="AJ226">
        <v>3</v>
      </c>
      <c r="AK226">
        <v>4</v>
      </c>
      <c r="AL226">
        <v>3</v>
      </c>
      <c r="AM226">
        <v>1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3</v>
      </c>
      <c r="AU226" s="33" t="str">
        <f t="shared" si="7"/>
        <v>库存为3</v>
      </c>
      <c r="AV226" s="38" t="str">
        <f>IFERROR(时间!$B$4+AU226,"上周无销量")</f>
        <v>上周无销量</v>
      </c>
    </row>
    <row r="227" spans="1:48">
      <c r="A227" s="21" t="s">
        <v>686</v>
      </c>
      <c r="B227" t="s">
        <v>687</v>
      </c>
      <c r="C227" t="s">
        <v>674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>
        <v>479</v>
      </c>
      <c r="Q227">
        <v>691</v>
      </c>
      <c r="R227">
        <v>287</v>
      </c>
      <c r="S227">
        <v>83</v>
      </c>
      <c r="T227">
        <v>3</v>
      </c>
      <c r="U227">
        <v>1</v>
      </c>
      <c r="V227">
        <v>0</v>
      </c>
      <c r="W227">
        <v>1</v>
      </c>
      <c r="X227" s="23">
        <v>0.00626304801670146</v>
      </c>
      <c r="Y227" s="23">
        <v>0.00144717800289436</v>
      </c>
      <c r="Z227" s="23">
        <v>0</v>
      </c>
      <c r="AA227" s="23">
        <v>0.0120481927710843</v>
      </c>
      <c r="AB227">
        <v>0.7</v>
      </c>
      <c r="AC227">
        <v>0.23</v>
      </c>
      <c r="AD227">
        <v>0</v>
      </c>
      <c r="AE227">
        <v>0.36</v>
      </c>
      <c r="AF227" s="23" t="s">
        <v>274</v>
      </c>
      <c r="AG227" s="23" t="s">
        <v>268</v>
      </c>
      <c r="AH227" s="23" t="s">
        <v>54</v>
      </c>
      <c r="AI227" s="23" t="s">
        <v>531</v>
      </c>
      <c r="AJ227">
        <v>3</v>
      </c>
      <c r="AK227">
        <v>2</v>
      </c>
      <c r="AL227">
        <v>5</v>
      </c>
      <c r="AM227">
        <v>1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7"/>
        <v>库存为3</v>
      </c>
      <c r="AV227" s="38" t="str">
        <f>IFERROR(时间!$B$4+AU227,"上周无销量")</f>
        <v>上周无销量</v>
      </c>
    </row>
    <row r="228" spans="1:48">
      <c r="A228" s="21" t="s">
        <v>688</v>
      </c>
      <c r="B228" t="s">
        <v>689</v>
      </c>
      <c r="C228" t="s">
        <v>674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>
        <v>3159</v>
      </c>
      <c r="Q228">
        <v>3491</v>
      </c>
      <c r="R228">
        <v>1906</v>
      </c>
      <c r="S228">
        <v>503</v>
      </c>
      <c r="T228">
        <v>3</v>
      </c>
      <c r="U228">
        <v>9</v>
      </c>
      <c r="V228">
        <v>6</v>
      </c>
      <c r="W228">
        <v>2</v>
      </c>
      <c r="X228" s="23">
        <v>0.000949667616334283</v>
      </c>
      <c r="Y228" s="23">
        <v>0.00257805786307648</v>
      </c>
      <c r="Z228" s="23">
        <v>0.00314795383001049</v>
      </c>
      <c r="AA228" s="23">
        <v>0.00397614314115308</v>
      </c>
      <c r="AB228">
        <v>1.24</v>
      </c>
      <c r="AC228">
        <v>2.72</v>
      </c>
      <c r="AD228">
        <v>2.21</v>
      </c>
      <c r="AE228">
        <v>0.67</v>
      </c>
      <c r="AF228" s="23" t="s">
        <v>215</v>
      </c>
      <c r="AG228" s="23" t="s">
        <v>690</v>
      </c>
      <c r="AH228" s="23" t="s">
        <v>691</v>
      </c>
      <c r="AI228" s="23" t="s">
        <v>306</v>
      </c>
      <c r="AJ228">
        <v>3</v>
      </c>
      <c r="AK228">
        <v>7</v>
      </c>
      <c r="AL228">
        <v>4</v>
      </c>
      <c r="AM228">
        <v>3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3</v>
      </c>
      <c r="AU228" s="33" t="str">
        <f t="shared" si="7"/>
        <v>库存为3</v>
      </c>
      <c r="AV228" s="38" t="str">
        <f>IFERROR(时间!$B$4+AU228,"上周无销量")</f>
        <v>上周无销量</v>
      </c>
    </row>
    <row r="229" spans="1:48">
      <c r="A229" s="21" t="s">
        <v>692</v>
      </c>
      <c r="B229" t="s">
        <v>693</v>
      </c>
      <c r="C229" t="s">
        <v>674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206</v>
      </c>
      <c r="Q229">
        <v>189</v>
      </c>
      <c r="R229">
        <v>148</v>
      </c>
      <c r="S229">
        <v>37</v>
      </c>
      <c r="T229">
        <v>2</v>
      </c>
      <c r="U229">
        <v>1</v>
      </c>
      <c r="V229">
        <v>1</v>
      </c>
      <c r="W229">
        <v>0</v>
      </c>
      <c r="X229" s="23">
        <v>0.00970873786407767</v>
      </c>
      <c r="Y229" s="23">
        <v>0.00529100529100529</v>
      </c>
      <c r="Z229" s="23">
        <v>0.00675675675675676</v>
      </c>
      <c r="AA229" s="23">
        <v>0</v>
      </c>
      <c r="AB229">
        <v>0.94</v>
      </c>
      <c r="AC229">
        <v>0.6</v>
      </c>
      <c r="AD229">
        <v>0.03</v>
      </c>
      <c r="AE229">
        <v>0</v>
      </c>
      <c r="AF229" s="23" t="s">
        <v>694</v>
      </c>
      <c r="AG229" s="23" t="s">
        <v>321</v>
      </c>
      <c r="AH229" s="23" t="s">
        <v>695</v>
      </c>
      <c r="AI229" s="23" t="s">
        <v>54</v>
      </c>
      <c r="AJ229">
        <v>1</v>
      </c>
      <c r="AK229">
        <v>3</v>
      </c>
      <c r="AL229">
        <v>4</v>
      </c>
      <c r="AM229">
        <v>4</v>
      </c>
      <c r="AN229" s="23">
        <v>0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696</v>
      </c>
      <c r="B230" t="s">
        <v>697</v>
      </c>
      <c r="C230" t="s">
        <v>674</v>
      </c>
      <c r="D230" s="33">
        <v>1</v>
      </c>
      <c r="E230" s="33">
        <v>1</v>
      </c>
      <c r="F230" s="33">
        <v>0</v>
      </c>
      <c r="G230" s="33">
        <v>0</v>
      </c>
      <c r="H230" s="34">
        <v>12.9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2</v>
      </c>
      <c r="P230">
        <v>188</v>
      </c>
      <c r="Q230">
        <v>231</v>
      </c>
      <c r="R230">
        <v>230</v>
      </c>
      <c r="S230">
        <v>216</v>
      </c>
      <c r="T230">
        <v>0</v>
      </c>
      <c r="U230">
        <v>0</v>
      </c>
      <c r="V230">
        <v>1</v>
      </c>
      <c r="W230">
        <v>0</v>
      </c>
      <c r="X230" s="23">
        <v>0</v>
      </c>
      <c r="Y230" s="23">
        <v>0</v>
      </c>
      <c r="Z230" s="23">
        <v>0.00434782608695652</v>
      </c>
      <c r="AA230" s="23">
        <v>0</v>
      </c>
      <c r="AB230">
        <v>0</v>
      </c>
      <c r="AC230">
        <v>0</v>
      </c>
      <c r="AD230">
        <v>0.32</v>
      </c>
      <c r="AE230">
        <v>0</v>
      </c>
      <c r="AF230" s="23" t="s">
        <v>54</v>
      </c>
      <c r="AG230" s="23" t="s">
        <v>54</v>
      </c>
      <c r="AH230" s="23" t="s">
        <v>669</v>
      </c>
      <c r="AI230" s="23" t="s">
        <v>54</v>
      </c>
      <c r="AJ230">
        <v>4</v>
      </c>
      <c r="AK230">
        <v>3</v>
      </c>
      <c r="AL230">
        <v>3</v>
      </c>
      <c r="AM230">
        <v>5</v>
      </c>
      <c r="AN230" s="23">
        <v>0.25</v>
      </c>
      <c r="AO230" s="23">
        <v>0.333333333333333</v>
      </c>
      <c r="AP230" s="23">
        <v>0</v>
      </c>
      <c r="AQ230" s="23">
        <v>0</v>
      </c>
      <c r="AR230" s="37">
        <v>0.142857142857143</v>
      </c>
      <c r="AS230" s="37">
        <v>8.57142857142857</v>
      </c>
      <c r="AT230" s="37">
        <v>-7.57142857142857</v>
      </c>
      <c r="AU230" s="33">
        <f t="shared" si="7"/>
        <v>7</v>
      </c>
      <c r="AV230" s="38">
        <f>IFERROR(时间!$B$4+AU230,"上周无销量")</f>
        <v>43325</v>
      </c>
    </row>
    <row r="231" spans="1:48">
      <c r="A231" s="21" t="s">
        <v>698</v>
      </c>
      <c r="B231" t="s">
        <v>699</v>
      </c>
      <c r="C231" t="s">
        <v>700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</v>
      </c>
      <c r="J231" s="35">
        <v>0</v>
      </c>
      <c r="K231" s="35">
        <v>0</v>
      </c>
      <c r="L231" s="35">
        <v>0</v>
      </c>
      <c r="M231">
        <v>1</v>
      </c>
      <c r="N231">
        <v>0</v>
      </c>
      <c r="O231">
        <v>1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2</v>
      </c>
      <c r="AL231">
        <v>1</v>
      </c>
      <c r="AM231">
        <v>3</v>
      </c>
      <c r="AN231" s="23" t="s">
        <v>54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1</v>
      </c>
      <c r="AU231" s="33" t="str">
        <f t="shared" si="7"/>
        <v>库存为1</v>
      </c>
      <c r="AV231" s="38" t="str">
        <f>IFERROR(时间!$B$4+AU231,"上周无销量")</f>
        <v>上周无销量</v>
      </c>
    </row>
    <row r="232" spans="1:48">
      <c r="A232" s="21" t="s">
        <v>701</v>
      </c>
      <c r="B232" t="s">
        <v>702</v>
      </c>
      <c r="C232" t="s">
        <v>700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1</v>
      </c>
      <c r="AK232">
        <v>1</v>
      </c>
      <c r="AL232">
        <v>0</v>
      </c>
      <c r="AM232">
        <v>2</v>
      </c>
      <c r="AN232" s="23">
        <v>0</v>
      </c>
      <c r="AO232" s="23">
        <v>0</v>
      </c>
      <c r="AP232" s="23" t="s">
        <v>54</v>
      </c>
      <c r="AQ232" s="23">
        <v>0</v>
      </c>
      <c r="AR232" s="37">
        <v>0</v>
      </c>
      <c r="AS232" s="37">
        <v>0</v>
      </c>
      <c r="AT232" s="37">
        <v>1</v>
      </c>
      <c r="AU232" s="33" t="str">
        <f t="shared" si="7"/>
        <v>库存为1</v>
      </c>
      <c r="AV232" s="38" t="str">
        <f>IFERROR(时间!$B$4+AU232,"上周无销量")</f>
        <v>上周无销量</v>
      </c>
    </row>
    <row r="233" spans="1:48">
      <c r="A233" s="21" t="s">
        <v>703</v>
      </c>
      <c r="B233" t="s">
        <v>704</v>
      </c>
      <c r="C233" t="s">
        <v>700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1</v>
      </c>
      <c r="AK233">
        <v>1</v>
      </c>
      <c r="AL233">
        <v>1</v>
      </c>
      <c r="AM233">
        <v>3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7"/>
        <v>库存为1</v>
      </c>
      <c r="AV233" s="38" t="str">
        <f>IFERROR(时间!$B$4+AU233,"上周无销量")</f>
        <v>上周无销量</v>
      </c>
    </row>
    <row r="234" spans="1:48">
      <c r="A234" s="21" t="s">
        <v>705</v>
      </c>
      <c r="B234" t="s">
        <v>706</v>
      </c>
      <c r="C234" t="s">
        <v>707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1</v>
      </c>
      <c r="AK234">
        <v>2</v>
      </c>
      <c r="AL234">
        <v>0</v>
      </c>
      <c r="AM234">
        <v>2</v>
      </c>
      <c r="AN234" s="23">
        <v>0</v>
      </c>
      <c r="AO234" s="23">
        <v>0</v>
      </c>
      <c r="AP234" s="23" t="s">
        <v>54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708</v>
      </c>
      <c r="B235" t="s">
        <v>709</v>
      </c>
      <c r="C235" t="s">
        <v>707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2</v>
      </c>
      <c r="AL235">
        <v>1</v>
      </c>
      <c r="AM235">
        <v>5</v>
      </c>
      <c r="AN235" s="23">
        <v>0</v>
      </c>
      <c r="AO235" s="23">
        <v>0</v>
      </c>
      <c r="AP235" s="23">
        <v>0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710</v>
      </c>
      <c r="B236" t="s">
        <v>711</v>
      </c>
      <c r="C236" t="s">
        <v>707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3</v>
      </c>
      <c r="AK236">
        <v>2</v>
      </c>
      <c r="AL236">
        <v>1</v>
      </c>
      <c r="AM236">
        <v>2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712</v>
      </c>
      <c r="B237" t="s">
        <v>713</v>
      </c>
      <c r="C237" t="s">
        <v>707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1</v>
      </c>
      <c r="AL237">
        <v>2</v>
      </c>
      <c r="AM237">
        <v>4</v>
      </c>
      <c r="AN237" s="23" t="s">
        <v>54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714</v>
      </c>
      <c r="B238" t="s">
        <v>715</v>
      </c>
      <c r="C238" t="s">
        <v>707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4</v>
      </c>
      <c r="AK238">
        <v>1</v>
      </c>
      <c r="AL238">
        <v>1</v>
      </c>
      <c r="AM238">
        <v>2</v>
      </c>
      <c r="AN238" s="23">
        <v>0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716</v>
      </c>
      <c r="B239" t="s">
        <v>717</v>
      </c>
      <c r="C239" t="s">
        <v>707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2</v>
      </c>
      <c r="AK239">
        <v>2</v>
      </c>
      <c r="AL239">
        <v>1</v>
      </c>
      <c r="AM239">
        <v>3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718</v>
      </c>
      <c r="B240" t="s">
        <v>719</v>
      </c>
      <c r="C240" t="s">
        <v>707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2</v>
      </c>
      <c r="J240" s="35">
        <v>0</v>
      </c>
      <c r="K240" s="35">
        <v>0</v>
      </c>
      <c r="L240" s="35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2</v>
      </c>
      <c r="AK240">
        <v>2</v>
      </c>
      <c r="AL240">
        <v>1</v>
      </c>
      <c r="AM240">
        <v>2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2</v>
      </c>
      <c r="AU240" s="33" t="str">
        <f t="shared" si="7"/>
        <v>库存为2</v>
      </c>
      <c r="AV240" s="38" t="str">
        <f>IFERROR(时间!$B$4+AU240,"上周无销量")</f>
        <v>上周无销量</v>
      </c>
    </row>
    <row r="241" spans="1:48">
      <c r="A241" s="21" t="s">
        <v>720</v>
      </c>
      <c r="B241" t="s">
        <v>721</v>
      </c>
      <c r="C241" t="s">
        <v>707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1</v>
      </c>
      <c r="AL241">
        <v>0</v>
      </c>
      <c r="AM241">
        <v>2</v>
      </c>
      <c r="AN241" s="23" t="s">
        <v>54</v>
      </c>
      <c r="AO241" s="23">
        <v>0</v>
      </c>
      <c r="AP241" s="23" t="s">
        <v>54</v>
      </c>
      <c r="AQ241" s="23">
        <v>0</v>
      </c>
      <c r="AR241" s="37">
        <v>0</v>
      </c>
      <c r="AS241" s="37">
        <v>0</v>
      </c>
      <c r="AT241" s="37">
        <v>2</v>
      </c>
      <c r="AU241" s="33" t="str">
        <f t="shared" si="7"/>
        <v>库存为2</v>
      </c>
      <c r="AV241" s="38" t="str">
        <f>IFERROR(时间!$B$4+AU241,"上周无销量")</f>
        <v>上周无销量</v>
      </c>
    </row>
    <row r="242" spans="1:48">
      <c r="A242" s="21" t="s">
        <v>722</v>
      </c>
      <c r="B242" t="s">
        <v>723</v>
      </c>
      <c r="C242" t="s">
        <v>724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2</v>
      </c>
      <c r="J242" s="35">
        <v>0</v>
      </c>
      <c r="K242" s="35">
        <v>0</v>
      </c>
      <c r="L242" s="35">
        <v>0</v>
      </c>
      <c r="M242">
        <v>2</v>
      </c>
      <c r="N242">
        <v>0</v>
      </c>
      <c r="O242">
        <v>2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2</v>
      </c>
      <c r="AK242">
        <v>2</v>
      </c>
      <c r="AL242">
        <v>2</v>
      </c>
      <c r="AM242">
        <v>1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2</v>
      </c>
      <c r="AU242" s="33" t="str">
        <f t="shared" si="7"/>
        <v>库存为2</v>
      </c>
      <c r="AV242" s="38" t="str">
        <f>IFERROR(时间!$B$4+AU242,"上周无销量")</f>
        <v>上周无销量</v>
      </c>
    </row>
    <row r="243" spans="1:48">
      <c r="A243" s="21" t="s">
        <v>725</v>
      </c>
      <c r="B243" t="s">
        <v>726</v>
      </c>
      <c r="C243" t="s">
        <v>724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3</v>
      </c>
      <c r="AK243">
        <v>1</v>
      </c>
      <c r="AL243">
        <v>1</v>
      </c>
      <c r="AM243">
        <v>2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7"/>
        <v>库存为2</v>
      </c>
      <c r="AV243" s="38" t="str">
        <f>IFERROR(时间!$B$4+AU243,"上周无销量")</f>
        <v>上周无销量</v>
      </c>
    </row>
    <row r="244" spans="1:48">
      <c r="A244" s="21" t="s">
        <v>727</v>
      </c>
      <c r="B244" t="s">
        <v>728</v>
      </c>
      <c r="C244" t="s">
        <v>724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2</v>
      </c>
      <c r="J244" s="35">
        <v>0</v>
      </c>
      <c r="K244" s="35">
        <v>0</v>
      </c>
      <c r="L244" s="35">
        <v>0</v>
      </c>
      <c r="M244">
        <v>2</v>
      </c>
      <c r="N244">
        <v>0</v>
      </c>
      <c r="O244">
        <v>2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4</v>
      </c>
      <c r="AK244">
        <v>0</v>
      </c>
      <c r="AL244">
        <v>1</v>
      </c>
      <c r="AM244">
        <v>0</v>
      </c>
      <c r="AN244" s="23">
        <v>0</v>
      </c>
      <c r="AO244" s="23" t="s">
        <v>54</v>
      </c>
      <c r="AP244" s="23">
        <v>0</v>
      </c>
      <c r="AQ244" s="23" t="s">
        <v>54</v>
      </c>
      <c r="AR244" s="37">
        <v>0</v>
      </c>
      <c r="AS244" s="37">
        <v>0</v>
      </c>
      <c r="AT244" s="37">
        <v>2</v>
      </c>
      <c r="AU244" s="33" t="str">
        <f t="shared" si="7"/>
        <v>库存为2</v>
      </c>
      <c r="AV244" s="38" t="str">
        <f>IFERROR(时间!$B$4+AU244,"上周无销量")</f>
        <v>上周无销量</v>
      </c>
    </row>
    <row r="245" spans="1:48">
      <c r="A245" s="21" t="s">
        <v>729</v>
      </c>
      <c r="B245" t="s">
        <v>730</v>
      </c>
      <c r="C245" t="s">
        <v>724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1</v>
      </c>
      <c r="AK245">
        <v>1</v>
      </c>
      <c r="AL245">
        <v>1</v>
      </c>
      <c r="AM245">
        <v>3</v>
      </c>
      <c r="AN245" s="23">
        <v>0</v>
      </c>
      <c r="AO245" s="23">
        <v>0</v>
      </c>
      <c r="AP245" s="23">
        <v>0</v>
      </c>
      <c r="AQ245" s="23">
        <v>0</v>
      </c>
      <c r="AR245" s="37">
        <v>0</v>
      </c>
      <c r="AS245" s="37">
        <v>0</v>
      </c>
      <c r="AT245" s="37">
        <v>2</v>
      </c>
      <c r="AU245" s="33" t="str">
        <f t="shared" si="7"/>
        <v>库存为2</v>
      </c>
      <c r="AV245" s="38" t="str">
        <f>IFERROR(时间!$B$4+AU245,"上周无销量")</f>
        <v>上周无销量</v>
      </c>
    </row>
    <row r="246" spans="1:48">
      <c r="A246" s="21" t="s">
        <v>731</v>
      </c>
      <c r="B246" t="s">
        <v>732</v>
      </c>
      <c r="C246" t="s">
        <v>724</v>
      </c>
      <c r="D246" s="33">
        <v>0</v>
      </c>
      <c r="E246" s="33">
        <v>0</v>
      </c>
      <c r="F246" s="33">
        <v>0</v>
      </c>
      <c r="G246" s="33">
        <v>1</v>
      </c>
      <c r="H246" s="34">
        <v>4.66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1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2</v>
      </c>
      <c r="AN246" s="23" t="s">
        <v>54</v>
      </c>
      <c r="AO246" s="23" t="s">
        <v>54</v>
      </c>
      <c r="AP246" s="23" t="s">
        <v>54</v>
      </c>
      <c r="AQ246" s="23">
        <v>0.5</v>
      </c>
      <c r="AR246" s="37">
        <v>0</v>
      </c>
      <c r="AS246" s="37">
        <v>0</v>
      </c>
      <c r="AT246" s="37">
        <v>0</v>
      </c>
      <c r="AU246" s="33" t="str">
        <f t="shared" si="7"/>
        <v>库存为0</v>
      </c>
      <c r="AV246" s="38" t="str">
        <f>IFERROR(时间!$B$4+AU246,"上周无销量")</f>
        <v>上周无销量</v>
      </c>
    </row>
    <row r="247" spans="1:48">
      <c r="A247" s="21" t="s">
        <v>733</v>
      </c>
      <c r="B247" t="s">
        <v>734</v>
      </c>
      <c r="C247" t="s">
        <v>724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1</v>
      </c>
      <c r="J247" s="35">
        <v>0</v>
      </c>
      <c r="K247" s="35">
        <v>0</v>
      </c>
      <c r="L247" s="35">
        <v>0</v>
      </c>
      <c r="M247">
        <v>1</v>
      </c>
      <c r="N247">
        <v>0</v>
      </c>
      <c r="O247">
        <v>1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1</v>
      </c>
      <c r="AL247">
        <v>6</v>
      </c>
      <c r="AM247">
        <v>3</v>
      </c>
      <c r="AN247" s="23" t="s">
        <v>54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1</v>
      </c>
      <c r="AU247" s="33" t="str">
        <f t="shared" si="7"/>
        <v>库存为1</v>
      </c>
      <c r="AV247" s="38" t="str">
        <f>IFERROR(时间!$B$4+AU247,"上周无销量")</f>
        <v>上周无销量</v>
      </c>
    </row>
    <row r="248" spans="1:48">
      <c r="A248" s="21" t="s">
        <v>735</v>
      </c>
      <c r="B248" t="s">
        <v>736</v>
      </c>
      <c r="C248" t="s">
        <v>724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1</v>
      </c>
      <c r="AL248">
        <v>0</v>
      </c>
      <c r="AM248">
        <v>2</v>
      </c>
      <c r="AN248" s="23" t="s">
        <v>54</v>
      </c>
      <c r="AO248" s="23">
        <v>0</v>
      </c>
      <c r="AP248" s="23" t="s">
        <v>54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737</v>
      </c>
      <c r="B249" t="s">
        <v>738</v>
      </c>
      <c r="C249" t="s">
        <v>724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2</v>
      </c>
      <c r="AK249">
        <v>3</v>
      </c>
      <c r="AL249">
        <v>3</v>
      </c>
      <c r="AM249">
        <v>2</v>
      </c>
      <c r="AN249" s="23">
        <v>0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739</v>
      </c>
      <c r="B250" t="s">
        <v>740</v>
      </c>
      <c r="C250" t="s">
        <v>724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2</v>
      </c>
      <c r="AK250">
        <v>1</v>
      </c>
      <c r="AL250">
        <v>0</v>
      </c>
      <c r="AM250">
        <v>2</v>
      </c>
      <c r="AN250" s="23">
        <v>0</v>
      </c>
      <c r="AO250" s="23">
        <v>0</v>
      </c>
      <c r="AP250" s="23" t="s">
        <v>54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741</v>
      </c>
      <c r="B251" t="s">
        <v>742</v>
      </c>
      <c r="C251" t="s">
        <v>724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3</v>
      </c>
      <c r="AK251">
        <v>1</v>
      </c>
      <c r="AL251">
        <v>1</v>
      </c>
      <c r="AM251">
        <v>1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743</v>
      </c>
      <c r="B252" t="s">
        <v>744</v>
      </c>
      <c r="C252" t="s">
        <v>724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1</v>
      </c>
      <c r="AK252">
        <v>2</v>
      </c>
      <c r="AL252">
        <v>3</v>
      </c>
      <c r="AM252">
        <v>4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745</v>
      </c>
      <c r="B253" t="s">
        <v>746</v>
      </c>
      <c r="C253" t="s">
        <v>724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2</v>
      </c>
      <c r="AK253">
        <v>3</v>
      </c>
      <c r="AL253">
        <v>4</v>
      </c>
      <c r="AM253">
        <v>4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747</v>
      </c>
      <c r="B254" t="s">
        <v>748</v>
      </c>
      <c r="C254" t="s">
        <v>724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1</v>
      </c>
      <c r="AK254">
        <v>3</v>
      </c>
      <c r="AL254">
        <v>4</v>
      </c>
      <c r="AM254">
        <v>3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749</v>
      </c>
      <c r="B255" t="s">
        <v>750</v>
      </c>
      <c r="C255" t="s">
        <v>724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13</v>
      </c>
      <c r="J255" s="35">
        <v>0</v>
      </c>
      <c r="K255" s="35">
        <v>0</v>
      </c>
      <c r="L255" s="35">
        <v>0</v>
      </c>
      <c r="M255">
        <v>13</v>
      </c>
      <c r="N255">
        <v>0</v>
      </c>
      <c r="O255">
        <v>13</v>
      </c>
      <c r="P255">
        <v>25</v>
      </c>
      <c r="Q255">
        <v>22</v>
      </c>
      <c r="R255">
        <v>34</v>
      </c>
      <c r="S255">
        <v>78</v>
      </c>
      <c r="T255">
        <v>0</v>
      </c>
      <c r="U255">
        <v>0</v>
      </c>
      <c r="V255">
        <v>2</v>
      </c>
      <c r="W255">
        <v>0</v>
      </c>
      <c r="X255" s="23">
        <v>0</v>
      </c>
      <c r="Y255" s="23">
        <v>0</v>
      </c>
      <c r="Z255" s="23">
        <v>0.0588235294117647</v>
      </c>
      <c r="AA255" s="23">
        <v>0</v>
      </c>
      <c r="AB255">
        <v>0</v>
      </c>
      <c r="AC255">
        <v>0</v>
      </c>
      <c r="AD255">
        <v>0.07</v>
      </c>
      <c r="AE255">
        <v>0</v>
      </c>
      <c r="AF255" s="23" t="s">
        <v>54</v>
      </c>
      <c r="AG255" s="23" t="s">
        <v>54</v>
      </c>
      <c r="AH255" s="23" t="s">
        <v>348</v>
      </c>
      <c r="AI255" s="23" t="s">
        <v>54</v>
      </c>
      <c r="AJ255">
        <v>3</v>
      </c>
      <c r="AK255">
        <v>1</v>
      </c>
      <c r="AL255">
        <v>1</v>
      </c>
      <c r="AM255">
        <v>1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13</v>
      </c>
      <c r="AU255" s="33" t="str">
        <f t="shared" si="7"/>
        <v>库存为13</v>
      </c>
      <c r="AV255" s="38" t="str">
        <f>IFERROR(时间!$B$4+AU255,"上周无销量")</f>
        <v>上周无销量</v>
      </c>
    </row>
    <row r="256" spans="1:48">
      <c r="A256" s="21" t="s">
        <v>751</v>
      </c>
      <c r="B256" t="s">
        <v>752</v>
      </c>
      <c r="C256" t="s">
        <v>724</v>
      </c>
      <c r="D256" s="33">
        <v>2</v>
      </c>
      <c r="E256" s="33">
        <v>0</v>
      </c>
      <c r="F256" s="33">
        <v>0</v>
      </c>
      <c r="G256" s="33">
        <v>0</v>
      </c>
      <c r="H256" s="34">
        <v>13.9</v>
      </c>
      <c r="I256">
        <v>2</v>
      </c>
      <c r="J256" s="35">
        <v>0</v>
      </c>
      <c r="K256" s="35">
        <v>0</v>
      </c>
      <c r="L256" s="35">
        <v>0</v>
      </c>
      <c r="M256">
        <v>2</v>
      </c>
      <c r="N256">
        <v>0</v>
      </c>
      <c r="O256">
        <v>2</v>
      </c>
      <c r="P256">
        <v>0</v>
      </c>
      <c r="Q256">
        <v>0</v>
      </c>
      <c r="R256">
        <v>2</v>
      </c>
      <c r="S256">
        <v>0</v>
      </c>
      <c r="T256">
        <v>0</v>
      </c>
      <c r="U256">
        <v>0</v>
      </c>
      <c r="V256">
        <v>0</v>
      </c>
      <c r="W256">
        <v>0</v>
      </c>
      <c r="X256" s="23" t="s">
        <v>54</v>
      </c>
      <c r="Y256" s="23" t="s">
        <v>54</v>
      </c>
      <c r="Z256" s="23">
        <v>0</v>
      </c>
      <c r="AA256" s="23" t="s">
        <v>54</v>
      </c>
      <c r="AB256">
        <v>0</v>
      </c>
      <c r="AC256">
        <v>0</v>
      </c>
      <c r="AD256">
        <v>0</v>
      </c>
      <c r="AE256">
        <v>0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0</v>
      </c>
      <c r="AL256">
        <v>2</v>
      </c>
      <c r="AM256">
        <v>3</v>
      </c>
      <c r="AN256" s="23">
        <v>1</v>
      </c>
      <c r="AO256" s="23" t="s">
        <v>54</v>
      </c>
      <c r="AP256" s="23">
        <v>0</v>
      </c>
      <c r="AQ256" s="23">
        <v>0</v>
      </c>
      <c r="AR256" s="37">
        <v>0.285714285714286</v>
      </c>
      <c r="AS256" s="37">
        <v>17.1428571428571</v>
      </c>
      <c r="AT256" s="37">
        <v>-15.1428571428571</v>
      </c>
      <c r="AU256" s="33">
        <f t="shared" si="7"/>
        <v>7</v>
      </c>
      <c r="AV256" s="38">
        <f>IFERROR(时间!$B$4+AU256,"上周无销量")</f>
        <v>43325</v>
      </c>
    </row>
    <row r="257" spans="1:48">
      <c r="A257" s="21" t="s">
        <v>753</v>
      </c>
      <c r="B257" t="s">
        <v>754</v>
      </c>
      <c r="C257" t="s">
        <v>755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21</v>
      </c>
      <c r="J257" s="35">
        <v>0</v>
      </c>
      <c r="K257" s="35">
        <v>0</v>
      </c>
      <c r="L257" s="35">
        <v>0</v>
      </c>
      <c r="M257">
        <v>21</v>
      </c>
      <c r="N257">
        <v>0</v>
      </c>
      <c r="O257">
        <v>21</v>
      </c>
      <c r="P257">
        <v>0</v>
      </c>
      <c r="Q257">
        <v>0</v>
      </c>
      <c r="R257">
        <v>1</v>
      </c>
      <c r="S257">
        <v>1</v>
      </c>
      <c r="T257">
        <v>0</v>
      </c>
      <c r="U257">
        <v>0</v>
      </c>
      <c r="V257">
        <v>0</v>
      </c>
      <c r="W257">
        <v>0</v>
      </c>
      <c r="X257" s="23" t="s">
        <v>54</v>
      </c>
      <c r="Y257" s="23" t="s">
        <v>54</v>
      </c>
      <c r="Z257" s="23">
        <v>0</v>
      </c>
      <c r="AA257" s="23">
        <v>0</v>
      </c>
      <c r="AB257">
        <v>0</v>
      </c>
      <c r="AC257">
        <v>0</v>
      </c>
      <c r="AD257">
        <v>0</v>
      </c>
      <c r="AE257">
        <v>0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3</v>
      </c>
      <c r="AK257">
        <v>4</v>
      </c>
      <c r="AL257">
        <v>3</v>
      </c>
      <c r="AM257">
        <v>2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21</v>
      </c>
      <c r="AU257" s="33" t="str">
        <f t="shared" si="7"/>
        <v>库存为21</v>
      </c>
      <c r="AV257" s="38" t="str">
        <f>IFERROR(时间!$B$4+AU257,"上周无销量")</f>
        <v>上周无销量</v>
      </c>
    </row>
    <row r="258" spans="1:48">
      <c r="A258" s="21" t="s">
        <v>756</v>
      </c>
      <c r="B258" t="s">
        <v>757</v>
      </c>
      <c r="C258" t="s">
        <v>755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10</v>
      </c>
      <c r="J258" s="35">
        <v>0</v>
      </c>
      <c r="K258" s="35">
        <v>0</v>
      </c>
      <c r="L258" s="35">
        <v>0</v>
      </c>
      <c r="M258">
        <v>10</v>
      </c>
      <c r="N258">
        <v>0</v>
      </c>
      <c r="O258">
        <v>10</v>
      </c>
      <c r="P258">
        <v>51</v>
      </c>
      <c r="Q258">
        <v>73</v>
      </c>
      <c r="R258">
        <v>139</v>
      </c>
      <c r="S258">
        <v>292</v>
      </c>
      <c r="T258">
        <v>0</v>
      </c>
      <c r="U258">
        <v>0</v>
      </c>
      <c r="V258">
        <v>2</v>
      </c>
      <c r="W258">
        <v>4</v>
      </c>
      <c r="X258" s="23">
        <v>0</v>
      </c>
      <c r="Y258" s="23">
        <v>0</v>
      </c>
      <c r="Z258" s="23">
        <v>0.0143884892086331</v>
      </c>
      <c r="AA258" s="23">
        <v>0.0136986301369863</v>
      </c>
      <c r="AB258">
        <v>0</v>
      </c>
      <c r="AC258">
        <v>0</v>
      </c>
      <c r="AD258">
        <v>0.06</v>
      </c>
      <c r="AE258">
        <v>0.98</v>
      </c>
      <c r="AF258" s="23" t="s">
        <v>54</v>
      </c>
      <c r="AG258" s="23" t="s">
        <v>54</v>
      </c>
      <c r="AH258" s="23" t="s">
        <v>393</v>
      </c>
      <c r="AI258" s="23" t="s">
        <v>224</v>
      </c>
      <c r="AJ258">
        <v>3</v>
      </c>
      <c r="AK258">
        <v>2</v>
      </c>
      <c r="AL258">
        <v>1</v>
      </c>
      <c r="AM258">
        <v>2</v>
      </c>
      <c r="AN258" s="23">
        <v>0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10</v>
      </c>
      <c r="AU258" s="33" t="str">
        <f t="shared" si="7"/>
        <v>库存为10</v>
      </c>
      <c r="AV258" s="38" t="str">
        <f>IFERROR(时间!$B$4+AU258,"上周无销量")</f>
        <v>上周无销量</v>
      </c>
    </row>
    <row r="259" spans="1:48">
      <c r="A259" s="21" t="s">
        <v>758</v>
      </c>
      <c r="B259" t="s">
        <v>759</v>
      </c>
      <c r="C259" t="s">
        <v>755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7</v>
      </c>
      <c r="J259" s="35">
        <v>0</v>
      </c>
      <c r="K259" s="35">
        <v>0</v>
      </c>
      <c r="L259" s="35">
        <v>0</v>
      </c>
      <c r="M259">
        <v>7</v>
      </c>
      <c r="N259">
        <v>0</v>
      </c>
      <c r="O259">
        <v>7</v>
      </c>
      <c r="P259">
        <v>8</v>
      </c>
      <c r="Q259">
        <v>7</v>
      </c>
      <c r="R259">
        <v>14</v>
      </c>
      <c r="S259">
        <v>3</v>
      </c>
      <c r="T259">
        <v>0</v>
      </c>
      <c r="U259">
        <v>0</v>
      </c>
      <c r="V259">
        <v>1</v>
      </c>
      <c r="W259">
        <v>0</v>
      </c>
      <c r="X259" s="23">
        <v>0</v>
      </c>
      <c r="Y259" s="23">
        <v>0</v>
      </c>
      <c r="Z259" s="23">
        <v>0.0714285714285714</v>
      </c>
      <c r="AA259" s="23">
        <v>0</v>
      </c>
      <c r="AB259">
        <v>0</v>
      </c>
      <c r="AC259">
        <v>0</v>
      </c>
      <c r="AD259">
        <v>0.05</v>
      </c>
      <c r="AE259">
        <v>0</v>
      </c>
      <c r="AF259" s="23" t="s">
        <v>54</v>
      </c>
      <c r="AG259" s="23" t="s">
        <v>54</v>
      </c>
      <c r="AH259" s="23" t="s">
        <v>303</v>
      </c>
      <c r="AI259" s="23" t="s">
        <v>54</v>
      </c>
      <c r="AJ259">
        <v>4</v>
      </c>
      <c r="AK259">
        <v>1</v>
      </c>
      <c r="AL259">
        <v>1</v>
      </c>
      <c r="AM259">
        <v>2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7</v>
      </c>
      <c r="AU259" s="33" t="str">
        <f t="shared" si="7"/>
        <v>库存为7</v>
      </c>
      <c r="AV259" s="38" t="str">
        <f>IFERROR(时间!$B$4+AU259,"上周无销量")</f>
        <v>上周无销量</v>
      </c>
    </row>
    <row r="260" spans="1:48">
      <c r="A260" s="21" t="s">
        <v>760</v>
      </c>
      <c r="B260" t="s">
        <v>761</v>
      </c>
      <c r="C260" t="s">
        <v>755</v>
      </c>
      <c r="D260" s="33">
        <v>1</v>
      </c>
      <c r="E260" s="33">
        <v>0</v>
      </c>
      <c r="F260" s="33">
        <v>1</v>
      </c>
      <c r="G260" s="33">
        <v>0</v>
      </c>
      <c r="H260" s="34">
        <v>13.9</v>
      </c>
      <c r="I260">
        <v>1</v>
      </c>
      <c r="J260" s="35">
        <v>0</v>
      </c>
      <c r="K260" s="35">
        <v>0</v>
      </c>
      <c r="L260" s="35">
        <v>0</v>
      </c>
      <c r="M260">
        <v>1</v>
      </c>
      <c r="N260">
        <v>0</v>
      </c>
      <c r="O260">
        <v>2</v>
      </c>
      <c r="P260">
        <v>0</v>
      </c>
      <c r="Q260">
        <v>0</v>
      </c>
      <c r="R260">
        <v>4</v>
      </c>
      <c r="S260">
        <v>2</v>
      </c>
      <c r="T260">
        <v>0</v>
      </c>
      <c r="U260">
        <v>0</v>
      </c>
      <c r="V260">
        <v>0</v>
      </c>
      <c r="W260">
        <v>0</v>
      </c>
      <c r="X260" s="23" t="s">
        <v>54</v>
      </c>
      <c r="Y260" s="23" t="s">
        <v>54</v>
      </c>
      <c r="Z260" s="23">
        <v>0</v>
      </c>
      <c r="AA260" s="23">
        <v>0</v>
      </c>
      <c r="AB260">
        <v>0</v>
      </c>
      <c r="AC260">
        <v>0</v>
      </c>
      <c r="AD260">
        <v>0</v>
      </c>
      <c r="AE260">
        <v>0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1</v>
      </c>
      <c r="AL260">
        <v>3</v>
      </c>
      <c r="AM260">
        <v>2</v>
      </c>
      <c r="AN260" s="23" t="s">
        <v>54</v>
      </c>
      <c r="AO260" s="23">
        <v>0</v>
      </c>
      <c r="AP260" s="23">
        <v>0.333333333333333</v>
      </c>
      <c r="AQ260" s="23">
        <v>0</v>
      </c>
      <c r="AR260" s="37">
        <v>0.142857142857143</v>
      </c>
      <c r="AS260" s="37">
        <v>8.57142857142857</v>
      </c>
      <c r="AT260" s="37">
        <v>-7.57142857142857</v>
      </c>
      <c r="AU260" s="33">
        <f t="shared" si="7"/>
        <v>7</v>
      </c>
      <c r="AV260" s="38">
        <f>IFERROR(时间!$B$4+AU260,"上周无销量")</f>
        <v>43325</v>
      </c>
    </row>
    <row r="261" spans="1:48">
      <c r="A261" s="21" t="s">
        <v>762</v>
      </c>
      <c r="B261" t="s">
        <v>763</v>
      </c>
      <c r="C261" t="s">
        <v>755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4</v>
      </c>
      <c r="J261" s="35">
        <v>0</v>
      </c>
      <c r="K261" s="35">
        <v>0</v>
      </c>
      <c r="L261" s="35">
        <v>0</v>
      </c>
      <c r="M261">
        <v>4</v>
      </c>
      <c r="N261">
        <v>0</v>
      </c>
      <c r="O261">
        <v>4</v>
      </c>
      <c r="P261">
        <v>0</v>
      </c>
      <c r="Q261">
        <v>0</v>
      </c>
      <c r="R261">
        <v>3</v>
      </c>
      <c r="S261">
        <v>0</v>
      </c>
      <c r="T261">
        <v>0</v>
      </c>
      <c r="U261">
        <v>0</v>
      </c>
      <c r="V261">
        <v>0</v>
      </c>
      <c r="W261">
        <v>0</v>
      </c>
      <c r="X261" s="23" t="s">
        <v>54</v>
      </c>
      <c r="Y261" s="23" t="s">
        <v>54</v>
      </c>
      <c r="Z261" s="23">
        <v>0</v>
      </c>
      <c r="AA261" s="23" t="s">
        <v>54</v>
      </c>
      <c r="AB261">
        <v>0</v>
      </c>
      <c r="AC261">
        <v>0</v>
      </c>
      <c r="AD261">
        <v>0</v>
      </c>
      <c r="AE261">
        <v>0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1</v>
      </c>
      <c r="AK261">
        <v>4</v>
      </c>
      <c r="AL261">
        <v>5</v>
      </c>
      <c r="AM261">
        <v>3</v>
      </c>
      <c r="AN261" s="23">
        <v>0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4</v>
      </c>
      <c r="AU261" s="33" t="str">
        <f t="shared" ref="AU261:AU324" si="8">IF(AR261="","库存为"&amp;M261,IF(AS261=0,"库存为"&amp;M261,INT(M261/AR261)))</f>
        <v>库存为4</v>
      </c>
      <c r="AV261" s="38" t="str">
        <f>IFERROR(时间!$B$4+AU261,"上周无销量")</f>
        <v>上周无销量</v>
      </c>
    </row>
    <row r="262" spans="1:48">
      <c r="A262" s="21" t="s">
        <v>764</v>
      </c>
      <c r="B262" t="s">
        <v>765</v>
      </c>
      <c r="C262" t="s">
        <v>755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10</v>
      </c>
      <c r="J262" s="35">
        <v>0</v>
      </c>
      <c r="K262" s="35">
        <v>0</v>
      </c>
      <c r="L262" s="35">
        <v>0</v>
      </c>
      <c r="M262">
        <v>10</v>
      </c>
      <c r="N262">
        <v>0</v>
      </c>
      <c r="O262">
        <v>10</v>
      </c>
      <c r="P262">
        <v>1858</v>
      </c>
      <c r="Q262">
        <v>1824</v>
      </c>
      <c r="R262">
        <v>2004</v>
      </c>
      <c r="S262">
        <v>618</v>
      </c>
      <c r="T262">
        <v>16</v>
      </c>
      <c r="U262">
        <v>15</v>
      </c>
      <c r="V262">
        <v>13</v>
      </c>
      <c r="W262">
        <v>1</v>
      </c>
      <c r="X262" s="23">
        <v>0.00861141011840689</v>
      </c>
      <c r="Y262" s="23">
        <v>0.00822368421052632</v>
      </c>
      <c r="Z262" s="23">
        <v>0.00648702594810379</v>
      </c>
      <c r="AA262" s="23">
        <v>0.00161812297734628</v>
      </c>
      <c r="AB262">
        <v>6.8</v>
      </c>
      <c r="AC262">
        <v>5.61</v>
      </c>
      <c r="AD262">
        <v>4.24</v>
      </c>
      <c r="AE262">
        <v>0.24</v>
      </c>
      <c r="AF262" s="23" t="s">
        <v>766</v>
      </c>
      <c r="AG262" s="23" t="s">
        <v>767</v>
      </c>
      <c r="AH262" s="23" t="s">
        <v>768</v>
      </c>
      <c r="AI262" s="23" t="s">
        <v>454</v>
      </c>
      <c r="AJ262">
        <v>5</v>
      </c>
      <c r="AK262">
        <v>6</v>
      </c>
      <c r="AL262">
        <v>11</v>
      </c>
      <c r="AM262">
        <v>3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10</v>
      </c>
      <c r="AU262" s="33" t="str">
        <f t="shared" si="8"/>
        <v>库存为10</v>
      </c>
      <c r="AV262" s="38" t="str">
        <f>IFERROR(时间!$B$4+AU262,"上周无销量")</f>
        <v>上周无销量</v>
      </c>
    </row>
    <row r="263" spans="1:48">
      <c r="A263" s="21" t="s">
        <v>769</v>
      </c>
      <c r="B263" t="s">
        <v>770</v>
      </c>
      <c r="C263" t="s">
        <v>755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3</v>
      </c>
      <c r="J263" s="35">
        <v>0</v>
      </c>
      <c r="K263" s="35">
        <v>0</v>
      </c>
      <c r="L263" s="35">
        <v>0</v>
      </c>
      <c r="M263">
        <v>3</v>
      </c>
      <c r="N263">
        <v>0</v>
      </c>
      <c r="O263">
        <v>3</v>
      </c>
      <c r="P263">
        <v>2</v>
      </c>
      <c r="Q263">
        <v>1</v>
      </c>
      <c r="R263">
        <v>6</v>
      </c>
      <c r="S263">
        <v>5</v>
      </c>
      <c r="T263">
        <v>1</v>
      </c>
      <c r="U263">
        <v>0</v>
      </c>
      <c r="V263">
        <v>0</v>
      </c>
      <c r="W263">
        <v>0</v>
      </c>
      <c r="X263" s="23">
        <v>0.5</v>
      </c>
      <c r="Y263" s="23">
        <v>0</v>
      </c>
      <c r="Z263" s="23">
        <v>0</v>
      </c>
      <c r="AA263" s="23">
        <v>0</v>
      </c>
      <c r="AB263">
        <v>0.1</v>
      </c>
      <c r="AC263">
        <v>0</v>
      </c>
      <c r="AD263">
        <v>0</v>
      </c>
      <c r="AE263">
        <v>0</v>
      </c>
      <c r="AF263" s="23" t="s">
        <v>771</v>
      </c>
      <c r="AG263" s="23" t="s">
        <v>54</v>
      </c>
      <c r="AH263" s="23" t="s">
        <v>54</v>
      </c>
      <c r="AI263" s="23" t="s">
        <v>54</v>
      </c>
      <c r="AJ263">
        <v>4</v>
      </c>
      <c r="AK263">
        <v>1</v>
      </c>
      <c r="AL263">
        <v>1</v>
      </c>
      <c r="AM263">
        <v>0</v>
      </c>
      <c r="AN263" s="23">
        <v>0</v>
      </c>
      <c r="AO263" s="23">
        <v>0</v>
      </c>
      <c r="AP263" s="23">
        <v>0</v>
      </c>
      <c r="AQ263" s="23" t="s">
        <v>54</v>
      </c>
      <c r="AR263" s="37">
        <v>0</v>
      </c>
      <c r="AS263" s="37">
        <v>0</v>
      </c>
      <c r="AT263" s="37">
        <v>3</v>
      </c>
      <c r="AU263" s="33" t="str">
        <f t="shared" si="8"/>
        <v>库存为3</v>
      </c>
      <c r="AV263" s="38" t="str">
        <f>IFERROR(时间!$B$4+AU263,"上周无销量")</f>
        <v>上周无销量</v>
      </c>
    </row>
    <row r="264" spans="1:48">
      <c r="A264" s="21" t="s">
        <v>772</v>
      </c>
      <c r="B264" t="s">
        <v>773</v>
      </c>
      <c r="C264" t="s">
        <v>755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16</v>
      </c>
      <c r="J264" s="35">
        <v>0</v>
      </c>
      <c r="K264" s="35">
        <v>0</v>
      </c>
      <c r="L264" s="35">
        <v>0</v>
      </c>
      <c r="M264">
        <v>16</v>
      </c>
      <c r="N264">
        <v>0</v>
      </c>
      <c r="O264">
        <v>16</v>
      </c>
      <c r="P264">
        <v>0</v>
      </c>
      <c r="Q264">
        <v>0</v>
      </c>
      <c r="R264">
        <v>2</v>
      </c>
      <c r="S264">
        <v>6</v>
      </c>
      <c r="T264">
        <v>0</v>
      </c>
      <c r="U264">
        <v>0</v>
      </c>
      <c r="V264">
        <v>0</v>
      </c>
      <c r="W264">
        <v>1</v>
      </c>
      <c r="X264" s="23" t="s">
        <v>54</v>
      </c>
      <c r="Y264" s="23" t="s">
        <v>54</v>
      </c>
      <c r="Z264" s="23">
        <v>0</v>
      </c>
      <c r="AA264" s="23">
        <v>0.166666666666667</v>
      </c>
      <c r="AB264">
        <v>0</v>
      </c>
      <c r="AC264">
        <v>0</v>
      </c>
      <c r="AD264">
        <v>0</v>
      </c>
      <c r="AE264">
        <v>0.04</v>
      </c>
      <c r="AF264" s="23" t="s">
        <v>54</v>
      </c>
      <c r="AG264" s="23" t="s">
        <v>54</v>
      </c>
      <c r="AH264" s="23" t="s">
        <v>54</v>
      </c>
      <c r="AI264" s="23" t="s">
        <v>428</v>
      </c>
      <c r="AJ264">
        <v>3</v>
      </c>
      <c r="AK264">
        <v>2</v>
      </c>
      <c r="AL264">
        <v>1</v>
      </c>
      <c r="AM264">
        <v>4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16</v>
      </c>
      <c r="AU264" s="33" t="str">
        <f t="shared" si="8"/>
        <v>库存为16</v>
      </c>
      <c r="AV264" s="38" t="str">
        <f>IFERROR(时间!$B$4+AU264,"上周无销量")</f>
        <v>上周无销量</v>
      </c>
    </row>
    <row r="265" spans="1:48">
      <c r="A265" s="21" t="s">
        <v>774</v>
      </c>
      <c r="B265" t="s">
        <v>775</v>
      </c>
      <c r="C265" t="s">
        <v>755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11</v>
      </c>
      <c r="J265" s="35">
        <v>0</v>
      </c>
      <c r="K265" s="35">
        <v>0</v>
      </c>
      <c r="L265" s="35">
        <v>0</v>
      </c>
      <c r="M265">
        <v>11</v>
      </c>
      <c r="N265">
        <v>0</v>
      </c>
      <c r="O265">
        <v>11</v>
      </c>
      <c r="P265">
        <v>0</v>
      </c>
      <c r="Q265">
        <v>0</v>
      </c>
      <c r="R265">
        <v>74</v>
      </c>
      <c r="S265">
        <v>237</v>
      </c>
      <c r="T265">
        <v>0</v>
      </c>
      <c r="U265">
        <v>0</v>
      </c>
      <c r="V265">
        <v>0</v>
      </c>
      <c r="W265">
        <v>2</v>
      </c>
      <c r="X265" s="23" t="s">
        <v>54</v>
      </c>
      <c r="Y265" s="23" t="s">
        <v>54</v>
      </c>
      <c r="Z265" s="23">
        <v>0</v>
      </c>
      <c r="AA265" s="23">
        <v>0.00843881856540084</v>
      </c>
      <c r="AB265">
        <v>0</v>
      </c>
      <c r="AC265">
        <v>0</v>
      </c>
      <c r="AD265">
        <v>0</v>
      </c>
      <c r="AE265">
        <v>0.9</v>
      </c>
      <c r="AF265" s="23" t="s">
        <v>54</v>
      </c>
      <c r="AG265" s="23" t="s">
        <v>54</v>
      </c>
      <c r="AH265" s="23" t="s">
        <v>54</v>
      </c>
      <c r="AI265" s="23" t="s">
        <v>776</v>
      </c>
      <c r="AJ265">
        <v>1</v>
      </c>
      <c r="AK265">
        <v>3</v>
      </c>
      <c r="AL265">
        <v>3</v>
      </c>
      <c r="AM265">
        <v>4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11</v>
      </c>
      <c r="AU265" s="33" t="str">
        <f t="shared" si="8"/>
        <v>库存为11</v>
      </c>
      <c r="AV265" s="38" t="str">
        <f>IFERROR(时间!$B$4+AU265,"上周无销量")</f>
        <v>上周无销量</v>
      </c>
    </row>
    <row r="266" spans="1:48">
      <c r="A266" s="21" t="s">
        <v>777</v>
      </c>
      <c r="B266" t="s">
        <v>778</v>
      </c>
      <c r="C266" t="s">
        <v>755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6</v>
      </c>
      <c r="J266" s="35">
        <v>0</v>
      </c>
      <c r="K266" s="35">
        <v>0</v>
      </c>
      <c r="L266" s="35">
        <v>0</v>
      </c>
      <c r="M266">
        <v>6</v>
      </c>
      <c r="N266">
        <v>0</v>
      </c>
      <c r="O266">
        <v>6</v>
      </c>
      <c r="P266">
        <v>0</v>
      </c>
      <c r="Q266">
        <v>0</v>
      </c>
      <c r="R266">
        <v>7</v>
      </c>
      <c r="S266">
        <v>7</v>
      </c>
      <c r="T266">
        <v>0</v>
      </c>
      <c r="U266">
        <v>0</v>
      </c>
      <c r="V266">
        <v>0</v>
      </c>
      <c r="W266">
        <v>0</v>
      </c>
      <c r="X266" s="23" t="s">
        <v>54</v>
      </c>
      <c r="Y266" s="23" t="s">
        <v>54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3</v>
      </c>
      <c r="AK266">
        <v>3</v>
      </c>
      <c r="AL266">
        <v>1</v>
      </c>
      <c r="AM266">
        <v>3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6</v>
      </c>
      <c r="AU266" s="33" t="str">
        <f t="shared" si="8"/>
        <v>库存为6</v>
      </c>
      <c r="AV266" s="38" t="str">
        <f>IFERROR(时间!$B$4+AU266,"上周无销量")</f>
        <v>上周无销量</v>
      </c>
    </row>
    <row r="267" spans="1:48">
      <c r="A267" s="21" t="s">
        <v>779</v>
      </c>
      <c r="B267" t="s">
        <v>780</v>
      </c>
      <c r="C267" t="s">
        <v>755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4</v>
      </c>
      <c r="J267" s="35">
        <v>0</v>
      </c>
      <c r="K267" s="35">
        <v>0</v>
      </c>
      <c r="L267" s="35">
        <v>0</v>
      </c>
      <c r="M267">
        <v>4</v>
      </c>
      <c r="N267">
        <v>0</v>
      </c>
      <c r="O267">
        <v>4</v>
      </c>
      <c r="P267">
        <v>0</v>
      </c>
      <c r="Q267">
        <v>0</v>
      </c>
      <c r="R267">
        <v>2</v>
      </c>
      <c r="S267">
        <v>19</v>
      </c>
      <c r="T267">
        <v>0</v>
      </c>
      <c r="U267">
        <v>0</v>
      </c>
      <c r="V267">
        <v>0</v>
      </c>
      <c r="W267">
        <v>0</v>
      </c>
      <c r="X267" s="23" t="s">
        <v>54</v>
      </c>
      <c r="Y267" s="23" t="s">
        <v>54</v>
      </c>
      <c r="Z267" s="23">
        <v>0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2</v>
      </c>
      <c r="AK267">
        <v>3</v>
      </c>
      <c r="AL267">
        <v>1</v>
      </c>
      <c r="AM267">
        <v>3</v>
      </c>
      <c r="AN267" s="23">
        <v>0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4</v>
      </c>
      <c r="AU267" s="33" t="str">
        <f t="shared" si="8"/>
        <v>库存为4</v>
      </c>
      <c r="AV267" s="38" t="str">
        <f>IFERROR(时间!$B$4+AU267,"上周无销量")</f>
        <v>上周无销量</v>
      </c>
    </row>
    <row r="268" spans="1:48">
      <c r="A268" s="21" t="s">
        <v>781</v>
      </c>
      <c r="B268" t="s">
        <v>782</v>
      </c>
      <c r="C268" t="s">
        <v>755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22</v>
      </c>
      <c r="J268" s="35">
        <v>0</v>
      </c>
      <c r="K268" s="35">
        <v>0</v>
      </c>
      <c r="L268" s="35">
        <v>0</v>
      </c>
      <c r="M268">
        <v>22</v>
      </c>
      <c r="N268">
        <v>0</v>
      </c>
      <c r="O268">
        <v>22</v>
      </c>
      <c r="P268">
        <v>0</v>
      </c>
      <c r="Q268">
        <v>1</v>
      </c>
      <c r="R268">
        <v>15</v>
      </c>
      <c r="S268">
        <v>45</v>
      </c>
      <c r="T268">
        <v>0</v>
      </c>
      <c r="U268">
        <v>0</v>
      </c>
      <c r="V268">
        <v>0</v>
      </c>
      <c r="W268">
        <v>0</v>
      </c>
      <c r="X268" s="23" t="s">
        <v>54</v>
      </c>
      <c r="Y268" s="23">
        <v>0</v>
      </c>
      <c r="Z268" s="23">
        <v>0</v>
      </c>
      <c r="AA268" s="23">
        <v>0</v>
      </c>
      <c r="AB268">
        <v>0</v>
      </c>
      <c r="AC268">
        <v>0</v>
      </c>
      <c r="AD268">
        <v>0</v>
      </c>
      <c r="AE268">
        <v>0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3</v>
      </c>
      <c r="AK268">
        <v>1</v>
      </c>
      <c r="AL268">
        <v>3</v>
      </c>
      <c r="AM268">
        <v>4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22</v>
      </c>
      <c r="AU268" s="33" t="str">
        <f t="shared" si="8"/>
        <v>库存为22</v>
      </c>
      <c r="AV268" s="38" t="str">
        <f>IFERROR(时间!$B$4+AU268,"上周无销量")</f>
        <v>上周无销量</v>
      </c>
    </row>
    <row r="269" spans="1:48">
      <c r="A269" s="21" t="s">
        <v>783</v>
      </c>
      <c r="B269" t="s">
        <v>784</v>
      </c>
      <c r="C269" t="s">
        <v>755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12</v>
      </c>
      <c r="J269" s="35">
        <v>0</v>
      </c>
      <c r="K269" s="35">
        <v>0</v>
      </c>
      <c r="L269" s="35">
        <v>0</v>
      </c>
      <c r="M269">
        <v>12</v>
      </c>
      <c r="N269">
        <v>0</v>
      </c>
      <c r="O269">
        <v>12</v>
      </c>
      <c r="P269">
        <v>0</v>
      </c>
      <c r="Q269">
        <v>0</v>
      </c>
      <c r="R269">
        <v>1</v>
      </c>
      <c r="S269">
        <v>6</v>
      </c>
      <c r="T269">
        <v>0</v>
      </c>
      <c r="U269">
        <v>0</v>
      </c>
      <c r="V269">
        <v>0</v>
      </c>
      <c r="W269">
        <v>0</v>
      </c>
      <c r="X269" s="23" t="s">
        <v>54</v>
      </c>
      <c r="Y269" s="23" t="s">
        <v>54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3</v>
      </c>
      <c r="AK269">
        <v>1</v>
      </c>
      <c r="AL269">
        <v>2</v>
      </c>
      <c r="AM269">
        <v>2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12</v>
      </c>
      <c r="AU269" s="33" t="str">
        <f t="shared" si="8"/>
        <v>库存为12</v>
      </c>
      <c r="AV269" s="38" t="str">
        <f>IFERROR(时间!$B$4+AU269,"上周无销量")</f>
        <v>上周无销量</v>
      </c>
    </row>
    <row r="270" spans="1:48">
      <c r="A270" s="21" t="s">
        <v>785</v>
      </c>
      <c r="B270" t="s">
        <v>786</v>
      </c>
      <c r="C270" t="s">
        <v>755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0</v>
      </c>
      <c r="J270" s="35">
        <v>0</v>
      </c>
      <c r="K270" s="35">
        <v>0</v>
      </c>
      <c r="L270" s="35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7">
        <v>0</v>
      </c>
      <c r="AS270" s="37">
        <v>0</v>
      </c>
      <c r="AT270" s="37">
        <v>0</v>
      </c>
      <c r="AU270" s="33" t="str">
        <f t="shared" si="8"/>
        <v>库存为0</v>
      </c>
      <c r="AV270" s="38" t="str">
        <f>IFERROR(时间!$B$4+AU270,"上周无销量")</f>
        <v>上周无销量</v>
      </c>
    </row>
    <row r="271" spans="1:48">
      <c r="A271" s="21" t="s">
        <v>787</v>
      </c>
      <c r="B271" t="s">
        <v>788</v>
      </c>
      <c r="C271" t="s">
        <v>755</v>
      </c>
      <c r="D271" s="33">
        <v>0</v>
      </c>
      <c r="E271" s="33">
        <v>0</v>
      </c>
      <c r="F271" s="33">
        <v>1</v>
      </c>
      <c r="G271" s="33">
        <v>0</v>
      </c>
      <c r="H271" s="34">
        <v>13.9</v>
      </c>
      <c r="I271">
        <v>17</v>
      </c>
      <c r="J271" s="35">
        <v>0</v>
      </c>
      <c r="K271" s="35">
        <v>0</v>
      </c>
      <c r="L271" s="35">
        <v>0</v>
      </c>
      <c r="M271">
        <v>17</v>
      </c>
      <c r="N271">
        <v>0</v>
      </c>
      <c r="O271">
        <v>17</v>
      </c>
      <c r="P271">
        <v>0</v>
      </c>
      <c r="Q271">
        <v>0</v>
      </c>
      <c r="R271">
        <v>13</v>
      </c>
      <c r="S271">
        <v>45</v>
      </c>
      <c r="T271">
        <v>0</v>
      </c>
      <c r="U271">
        <v>0</v>
      </c>
      <c r="V271">
        <v>1</v>
      </c>
      <c r="W271">
        <v>0</v>
      </c>
      <c r="X271" s="23" t="s">
        <v>54</v>
      </c>
      <c r="Y271" s="23" t="s">
        <v>54</v>
      </c>
      <c r="Z271" s="23">
        <v>0.0769230769230769</v>
      </c>
      <c r="AA271" s="23">
        <v>0</v>
      </c>
      <c r="AB271">
        <v>0</v>
      </c>
      <c r="AC271">
        <v>0</v>
      </c>
      <c r="AD271">
        <v>0.45</v>
      </c>
      <c r="AE271">
        <v>0</v>
      </c>
      <c r="AF271" s="23" t="s">
        <v>54</v>
      </c>
      <c r="AG271" s="23" t="s">
        <v>54</v>
      </c>
      <c r="AH271" s="23">
        <v>0.0323741007194245</v>
      </c>
      <c r="AI271" s="23" t="s">
        <v>54</v>
      </c>
      <c r="AJ271">
        <v>1</v>
      </c>
      <c r="AK271">
        <v>4</v>
      </c>
      <c r="AL271">
        <v>6</v>
      </c>
      <c r="AM271">
        <v>3</v>
      </c>
      <c r="AN271" s="23">
        <v>0</v>
      </c>
      <c r="AO271" s="23">
        <v>0</v>
      </c>
      <c r="AP271" s="23">
        <v>0.166666666666667</v>
      </c>
      <c r="AQ271" s="23">
        <v>0</v>
      </c>
      <c r="AR271" s="37">
        <v>0</v>
      </c>
      <c r="AS271" s="37">
        <v>0</v>
      </c>
      <c r="AT271" s="37">
        <v>17</v>
      </c>
      <c r="AU271" s="33" t="str">
        <f t="shared" si="8"/>
        <v>库存为17</v>
      </c>
      <c r="AV271" s="38" t="str">
        <f>IFERROR(时间!$B$4+AU271,"上周无销量")</f>
        <v>上周无销量</v>
      </c>
    </row>
    <row r="272" spans="1:48">
      <c r="A272" s="21" t="s">
        <v>789</v>
      </c>
      <c r="B272" t="s">
        <v>790</v>
      </c>
      <c r="C272" t="s">
        <v>755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5</v>
      </c>
      <c r="J272" s="35">
        <v>0</v>
      </c>
      <c r="K272" s="35">
        <v>0</v>
      </c>
      <c r="L272" s="35">
        <v>0</v>
      </c>
      <c r="M272">
        <v>5</v>
      </c>
      <c r="N272">
        <v>0</v>
      </c>
      <c r="O272">
        <v>5</v>
      </c>
      <c r="P272">
        <v>0</v>
      </c>
      <c r="Q272">
        <v>1</v>
      </c>
      <c r="R272">
        <v>5</v>
      </c>
      <c r="S272">
        <v>29</v>
      </c>
      <c r="T272">
        <v>0</v>
      </c>
      <c r="U272">
        <v>0</v>
      </c>
      <c r="V272">
        <v>0</v>
      </c>
      <c r="W272">
        <v>1</v>
      </c>
      <c r="X272" s="23" t="s">
        <v>54</v>
      </c>
      <c r="Y272" s="23">
        <v>0</v>
      </c>
      <c r="Z272" s="23">
        <v>0</v>
      </c>
      <c r="AA272" s="23">
        <v>0.0344827586206897</v>
      </c>
      <c r="AB272">
        <v>0</v>
      </c>
      <c r="AC272">
        <v>0</v>
      </c>
      <c r="AD272">
        <v>0</v>
      </c>
      <c r="AE272">
        <v>0.8</v>
      </c>
      <c r="AF272" s="23" t="s">
        <v>54</v>
      </c>
      <c r="AG272" s="23" t="s">
        <v>54</v>
      </c>
      <c r="AH272" s="23" t="s">
        <v>54</v>
      </c>
      <c r="AI272" s="23" t="s">
        <v>435</v>
      </c>
      <c r="AJ272">
        <v>1</v>
      </c>
      <c r="AK272">
        <v>4</v>
      </c>
      <c r="AL272">
        <v>1</v>
      </c>
      <c r="AM272">
        <v>2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5</v>
      </c>
      <c r="AU272" s="33" t="str">
        <f t="shared" si="8"/>
        <v>库存为5</v>
      </c>
      <c r="AV272" s="38" t="str">
        <f>IFERROR(时间!$B$4+AU272,"上周无销量")</f>
        <v>上周无销量</v>
      </c>
    </row>
    <row r="273" spans="1:48">
      <c r="A273" s="21" t="s">
        <v>791</v>
      </c>
      <c r="B273" t="s">
        <v>792</v>
      </c>
      <c r="C273" t="s">
        <v>755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9</v>
      </c>
      <c r="J273" s="35">
        <v>0</v>
      </c>
      <c r="K273" s="35">
        <v>0</v>
      </c>
      <c r="L273" s="35">
        <v>0</v>
      </c>
      <c r="M273">
        <v>9</v>
      </c>
      <c r="N273">
        <v>0</v>
      </c>
      <c r="O273">
        <v>9</v>
      </c>
      <c r="P273">
        <v>1</v>
      </c>
      <c r="Q273">
        <v>0</v>
      </c>
      <c r="R273">
        <v>22</v>
      </c>
      <c r="S273">
        <v>57</v>
      </c>
      <c r="T273">
        <v>0</v>
      </c>
      <c r="U273">
        <v>0</v>
      </c>
      <c r="V273">
        <v>0</v>
      </c>
      <c r="W273">
        <v>0</v>
      </c>
      <c r="X273" s="23">
        <v>0</v>
      </c>
      <c r="Y273" s="23" t="s">
        <v>54</v>
      </c>
      <c r="Z273" s="23">
        <v>0</v>
      </c>
      <c r="AA273" s="23">
        <v>0</v>
      </c>
      <c r="AB273">
        <v>0</v>
      </c>
      <c r="AC273">
        <v>0</v>
      </c>
      <c r="AD273">
        <v>0</v>
      </c>
      <c r="AE273">
        <v>0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1</v>
      </c>
      <c r="AK273">
        <v>1</v>
      </c>
      <c r="AL273">
        <v>2</v>
      </c>
      <c r="AM273">
        <v>2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9</v>
      </c>
      <c r="AU273" s="33" t="str">
        <f t="shared" si="8"/>
        <v>库存为9</v>
      </c>
      <c r="AV273" s="38" t="str">
        <f>IFERROR(时间!$B$4+AU273,"上周无销量")</f>
        <v>上周无销量</v>
      </c>
    </row>
    <row r="274" spans="1:48">
      <c r="A274" s="21" t="s">
        <v>793</v>
      </c>
      <c r="B274" t="s">
        <v>794</v>
      </c>
      <c r="C274" t="s">
        <v>755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9</v>
      </c>
      <c r="J274" s="35">
        <v>0</v>
      </c>
      <c r="K274" s="35">
        <v>0</v>
      </c>
      <c r="L274" s="35">
        <v>0</v>
      </c>
      <c r="M274">
        <v>9</v>
      </c>
      <c r="N274">
        <v>0</v>
      </c>
      <c r="O274">
        <v>9</v>
      </c>
      <c r="P274">
        <v>1</v>
      </c>
      <c r="Q274">
        <v>3</v>
      </c>
      <c r="R274">
        <v>10</v>
      </c>
      <c r="S274">
        <v>39</v>
      </c>
      <c r="T274">
        <v>0</v>
      </c>
      <c r="U274">
        <v>0</v>
      </c>
      <c r="V274">
        <v>0</v>
      </c>
      <c r="W274">
        <v>0</v>
      </c>
      <c r="X274" s="23">
        <v>0</v>
      </c>
      <c r="Y274" s="23">
        <v>0</v>
      </c>
      <c r="Z274" s="23">
        <v>0</v>
      </c>
      <c r="AA274" s="23">
        <v>0</v>
      </c>
      <c r="AB274">
        <v>0</v>
      </c>
      <c r="AC274">
        <v>0</v>
      </c>
      <c r="AD274">
        <v>0</v>
      </c>
      <c r="AE274">
        <v>0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3</v>
      </c>
      <c r="AK274">
        <v>3</v>
      </c>
      <c r="AL274">
        <v>0</v>
      </c>
      <c r="AM274">
        <v>4</v>
      </c>
      <c r="AN274" s="23">
        <v>0</v>
      </c>
      <c r="AO274" s="23">
        <v>0</v>
      </c>
      <c r="AP274" s="23" t="s">
        <v>54</v>
      </c>
      <c r="AQ274" s="23">
        <v>0</v>
      </c>
      <c r="AR274" s="37">
        <v>0</v>
      </c>
      <c r="AS274" s="37">
        <v>0</v>
      </c>
      <c r="AT274" s="37">
        <v>9</v>
      </c>
      <c r="AU274" s="33" t="str">
        <f t="shared" si="8"/>
        <v>库存为9</v>
      </c>
      <c r="AV274" s="38" t="str">
        <f>IFERROR(时间!$B$4+AU274,"上周无销量")</f>
        <v>上周无销量</v>
      </c>
    </row>
    <row r="275" spans="1:48">
      <c r="A275" s="21" t="s">
        <v>795</v>
      </c>
      <c r="B275" t="s">
        <v>796</v>
      </c>
      <c r="C275" t="s">
        <v>755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11</v>
      </c>
      <c r="J275" s="35">
        <v>0</v>
      </c>
      <c r="K275" s="35">
        <v>0</v>
      </c>
      <c r="L275" s="35">
        <v>0</v>
      </c>
      <c r="M275">
        <v>11</v>
      </c>
      <c r="N275">
        <v>0</v>
      </c>
      <c r="O275">
        <v>11</v>
      </c>
      <c r="P275">
        <v>0</v>
      </c>
      <c r="Q275">
        <v>0</v>
      </c>
      <c r="R275">
        <v>1</v>
      </c>
      <c r="S275">
        <v>5</v>
      </c>
      <c r="T275">
        <v>0</v>
      </c>
      <c r="U275">
        <v>0</v>
      </c>
      <c r="V275">
        <v>0</v>
      </c>
      <c r="W275">
        <v>0</v>
      </c>
      <c r="X275" s="23" t="s">
        <v>54</v>
      </c>
      <c r="Y275" s="23" t="s">
        <v>54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2</v>
      </c>
      <c r="AK275">
        <v>0</v>
      </c>
      <c r="AL275">
        <v>3</v>
      </c>
      <c r="AM275">
        <v>2</v>
      </c>
      <c r="AN275" s="23">
        <v>0</v>
      </c>
      <c r="AO275" s="23" t="s">
        <v>54</v>
      </c>
      <c r="AP275" s="23">
        <v>0</v>
      </c>
      <c r="AQ275" s="23">
        <v>0</v>
      </c>
      <c r="AR275" s="37">
        <v>0</v>
      </c>
      <c r="AS275" s="37">
        <v>0</v>
      </c>
      <c r="AT275" s="37">
        <v>11</v>
      </c>
      <c r="AU275" s="33" t="str">
        <f t="shared" si="8"/>
        <v>库存为11</v>
      </c>
      <c r="AV275" s="38" t="str">
        <f>IFERROR(时间!$B$4+AU275,"上周无销量")</f>
        <v>上周无销量</v>
      </c>
    </row>
    <row r="276" spans="1:48">
      <c r="A276" s="21" t="s">
        <v>797</v>
      </c>
      <c r="B276" t="s">
        <v>798</v>
      </c>
      <c r="C276" t="s">
        <v>755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9</v>
      </c>
      <c r="J276" s="35">
        <v>0</v>
      </c>
      <c r="K276" s="35">
        <v>0</v>
      </c>
      <c r="L276" s="35">
        <v>0</v>
      </c>
      <c r="M276">
        <v>9</v>
      </c>
      <c r="N276">
        <v>0</v>
      </c>
      <c r="O276">
        <v>9</v>
      </c>
      <c r="P276">
        <v>0</v>
      </c>
      <c r="Q276">
        <v>0</v>
      </c>
      <c r="R276">
        <v>6</v>
      </c>
      <c r="S276">
        <v>3</v>
      </c>
      <c r="T276">
        <v>0</v>
      </c>
      <c r="U276">
        <v>0</v>
      </c>
      <c r="V276">
        <v>0</v>
      </c>
      <c r="W276">
        <v>0</v>
      </c>
      <c r="X276" s="23" t="s">
        <v>54</v>
      </c>
      <c r="Y276" s="23" t="s">
        <v>54</v>
      </c>
      <c r="Z276" s="23">
        <v>0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4</v>
      </c>
      <c r="AK276">
        <v>1</v>
      </c>
      <c r="AL276">
        <v>1</v>
      </c>
      <c r="AM276">
        <v>3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9</v>
      </c>
      <c r="AU276" s="33" t="str">
        <f t="shared" si="8"/>
        <v>库存为9</v>
      </c>
      <c r="AV276" s="38" t="str">
        <f>IFERROR(时间!$B$4+AU276,"上周无销量")</f>
        <v>上周无销量</v>
      </c>
    </row>
    <row r="277" spans="1:48">
      <c r="A277" s="21" t="s">
        <v>799</v>
      </c>
      <c r="B277" t="s">
        <v>800</v>
      </c>
      <c r="C277" t="s">
        <v>755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22</v>
      </c>
      <c r="J277" s="35">
        <v>0</v>
      </c>
      <c r="K277" s="35">
        <v>0</v>
      </c>
      <c r="L277" s="35">
        <v>0</v>
      </c>
      <c r="M277">
        <v>22</v>
      </c>
      <c r="N277">
        <v>0</v>
      </c>
      <c r="O277">
        <v>22</v>
      </c>
      <c r="P277">
        <v>1044</v>
      </c>
      <c r="Q277">
        <v>1474</v>
      </c>
      <c r="R277">
        <v>1480</v>
      </c>
      <c r="S277">
        <v>266</v>
      </c>
      <c r="T277">
        <v>8</v>
      </c>
      <c r="U277">
        <v>4</v>
      </c>
      <c r="V277">
        <v>7</v>
      </c>
      <c r="W277">
        <v>3</v>
      </c>
      <c r="X277" s="23">
        <v>0.00766283524904215</v>
      </c>
      <c r="Y277" s="23">
        <v>0.00271370420624152</v>
      </c>
      <c r="Z277" s="23">
        <v>0.00472972972972973</v>
      </c>
      <c r="AA277" s="23">
        <v>0.0112781954887218</v>
      </c>
      <c r="AB277">
        <v>3.4</v>
      </c>
      <c r="AC277">
        <v>1.57</v>
      </c>
      <c r="AD277">
        <v>3</v>
      </c>
      <c r="AE277">
        <v>0.95</v>
      </c>
      <c r="AF277" s="23" t="s">
        <v>801</v>
      </c>
      <c r="AG277" s="23" t="s">
        <v>802</v>
      </c>
      <c r="AH277" s="23" t="s">
        <v>803</v>
      </c>
      <c r="AI277" s="23" t="s">
        <v>804</v>
      </c>
      <c r="AJ277">
        <v>4</v>
      </c>
      <c r="AK277">
        <v>7</v>
      </c>
      <c r="AL277">
        <v>4</v>
      </c>
      <c r="AM277">
        <v>5</v>
      </c>
      <c r="AN277" s="23">
        <v>0</v>
      </c>
      <c r="AO277" s="23">
        <v>0</v>
      </c>
      <c r="AP277" s="23">
        <v>0</v>
      </c>
      <c r="AQ277" s="23">
        <v>0</v>
      </c>
      <c r="AR277" s="37">
        <v>0</v>
      </c>
      <c r="AS277" s="37">
        <v>0</v>
      </c>
      <c r="AT277" s="37">
        <v>22</v>
      </c>
      <c r="AU277" s="33" t="str">
        <f t="shared" si="8"/>
        <v>库存为22</v>
      </c>
      <c r="AV277" s="38" t="str">
        <f>IFERROR(时间!$B$4+AU277,"上周无销量")</f>
        <v>上周无销量</v>
      </c>
    </row>
    <row r="278" spans="1:48">
      <c r="A278" s="21" t="s">
        <v>805</v>
      </c>
      <c r="B278" t="s">
        <v>806</v>
      </c>
      <c r="C278" t="s">
        <v>755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8</v>
      </c>
      <c r="J278" s="35">
        <v>0</v>
      </c>
      <c r="K278" s="35">
        <v>0</v>
      </c>
      <c r="L278" s="35">
        <v>0</v>
      </c>
      <c r="M278">
        <v>8</v>
      </c>
      <c r="N278">
        <v>0</v>
      </c>
      <c r="O278">
        <v>8</v>
      </c>
      <c r="P278">
        <v>0</v>
      </c>
      <c r="Q278">
        <v>1</v>
      </c>
      <c r="R278">
        <v>8</v>
      </c>
      <c r="S278">
        <v>3</v>
      </c>
      <c r="T278">
        <v>0</v>
      </c>
      <c r="U278">
        <v>0</v>
      </c>
      <c r="V278">
        <v>0</v>
      </c>
      <c r="W278">
        <v>0</v>
      </c>
      <c r="X278" s="23" t="s">
        <v>54</v>
      </c>
      <c r="Y278" s="23">
        <v>0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1</v>
      </c>
      <c r="AK278">
        <v>3</v>
      </c>
      <c r="AL278">
        <v>3</v>
      </c>
      <c r="AM278">
        <v>1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8</v>
      </c>
      <c r="AU278" s="33" t="str">
        <f t="shared" si="8"/>
        <v>库存为8</v>
      </c>
      <c r="AV278" s="38" t="str">
        <f>IFERROR(时间!$B$4+AU278,"上周无销量")</f>
        <v>上周无销量</v>
      </c>
    </row>
    <row r="279" spans="1:48">
      <c r="A279" s="21" t="s">
        <v>807</v>
      </c>
      <c r="B279" t="s">
        <v>808</v>
      </c>
      <c r="C279" t="s">
        <v>755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4</v>
      </c>
      <c r="J279" s="35">
        <v>0</v>
      </c>
      <c r="K279" s="35">
        <v>0</v>
      </c>
      <c r="L279" s="35">
        <v>0</v>
      </c>
      <c r="M279">
        <v>4</v>
      </c>
      <c r="N279">
        <v>0</v>
      </c>
      <c r="O279">
        <v>4</v>
      </c>
      <c r="P279">
        <v>0</v>
      </c>
      <c r="Q279">
        <v>0</v>
      </c>
      <c r="R279">
        <v>1</v>
      </c>
      <c r="S279">
        <v>5</v>
      </c>
      <c r="T279">
        <v>0</v>
      </c>
      <c r="U279">
        <v>0</v>
      </c>
      <c r="V279">
        <v>0</v>
      </c>
      <c r="W279">
        <v>0</v>
      </c>
      <c r="X279" s="23" t="s">
        <v>54</v>
      </c>
      <c r="Y279" s="23" t="s">
        <v>54</v>
      </c>
      <c r="Z279" s="23">
        <v>0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1</v>
      </c>
      <c r="AL279">
        <v>2</v>
      </c>
      <c r="AM279">
        <v>2</v>
      </c>
      <c r="AN279" s="23" t="s">
        <v>54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4</v>
      </c>
      <c r="AU279" s="33" t="str">
        <f t="shared" si="8"/>
        <v>库存为4</v>
      </c>
      <c r="AV279" s="38" t="str">
        <f>IFERROR(时间!$B$4+AU279,"上周无销量")</f>
        <v>上周无销量</v>
      </c>
    </row>
    <row r="280" spans="1:48">
      <c r="A280" s="21" t="s">
        <v>809</v>
      </c>
      <c r="B280" t="s">
        <v>810</v>
      </c>
      <c r="C280" t="s">
        <v>755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21</v>
      </c>
      <c r="J280" s="35">
        <v>0</v>
      </c>
      <c r="K280" s="35">
        <v>0</v>
      </c>
      <c r="L280" s="35">
        <v>0</v>
      </c>
      <c r="M280">
        <v>21</v>
      </c>
      <c r="N280">
        <v>0</v>
      </c>
      <c r="O280">
        <v>21</v>
      </c>
      <c r="P280">
        <v>0</v>
      </c>
      <c r="Q280">
        <v>1</v>
      </c>
      <c r="R280">
        <v>3</v>
      </c>
      <c r="S280">
        <v>13</v>
      </c>
      <c r="T280">
        <v>0</v>
      </c>
      <c r="U280">
        <v>0</v>
      </c>
      <c r="V280">
        <v>0</v>
      </c>
      <c r="W280">
        <v>0</v>
      </c>
      <c r="X280" s="23" t="s">
        <v>54</v>
      </c>
      <c r="Y280" s="23">
        <v>0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6</v>
      </c>
      <c r="AK280">
        <v>1</v>
      </c>
      <c r="AL280">
        <v>1</v>
      </c>
      <c r="AM280">
        <v>2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21</v>
      </c>
      <c r="AU280" s="33" t="str">
        <f t="shared" si="8"/>
        <v>库存为21</v>
      </c>
      <c r="AV280" s="38" t="str">
        <f>IFERROR(时间!$B$4+AU280,"上周无销量")</f>
        <v>上周无销量</v>
      </c>
    </row>
    <row r="281" spans="1:48">
      <c r="A281" s="21" t="s">
        <v>811</v>
      </c>
      <c r="B281" t="s">
        <v>812</v>
      </c>
      <c r="C281" t="s">
        <v>755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4</v>
      </c>
      <c r="J281" s="35">
        <v>0</v>
      </c>
      <c r="K281" s="35">
        <v>0</v>
      </c>
      <c r="L281" s="35">
        <v>0</v>
      </c>
      <c r="M281">
        <v>4</v>
      </c>
      <c r="N281">
        <v>0</v>
      </c>
      <c r="O281">
        <v>4</v>
      </c>
      <c r="P281">
        <v>0</v>
      </c>
      <c r="Q281">
        <v>0</v>
      </c>
      <c r="R281">
        <v>2</v>
      </c>
      <c r="S281">
        <v>16</v>
      </c>
      <c r="T281">
        <v>0</v>
      </c>
      <c r="U281">
        <v>0</v>
      </c>
      <c r="V281">
        <v>0</v>
      </c>
      <c r="W281">
        <v>0</v>
      </c>
      <c r="X281" s="23" t="s">
        <v>54</v>
      </c>
      <c r="Y281" s="23" t="s">
        <v>54</v>
      </c>
      <c r="Z281" s="23">
        <v>0</v>
      </c>
      <c r="AA281" s="23">
        <v>0</v>
      </c>
      <c r="AB281">
        <v>0</v>
      </c>
      <c r="AC281">
        <v>0</v>
      </c>
      <c r="AD281">
        <v>0</v>
      </c>
      <c r="AE281">
        <v>0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3</v>
      </c>
      <c r="AK281">
        <v>2</v>
      </c>
      <c r="AL281">
        <v>3</v>
      </c>
      <c r="AM281">
        <v>3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4</v>
      </c>
      <c r="AU281" s="33" t="str">
        <f t="shared" si="8"/>
        <v>库存为4</v>
      </c>
      <c r="AV281" s="38" t="str">
        <f>IFERROR(时间!$B$4+AU281,"上周无销量")</f>
        <v>上周无销量</v>
      </c>
    </row>
    <row r="282" spans="1:48">
      <c r="A282" s="21" t="s">
        <v>813</v>
      </c>
      <c r="B282" t="s">
        <v>814</v>
      </c>
      <c r="C282" t="s">
        <v>755</v>
      </c>
      <c r="D282" s="33">
        <v>1</v>
      </c>
      <c r="E282" s="33">
        <v>0</v>
      </c>
      <c r="F282" s="33">
        <v>0</v>
      </c>
      <c r="G282" s="33">
        <v>0</v>
      </c>
      <c r="H282" s="34">
        <v>13.9</v>
      </c>
      <c r="I282">
        <v>11</v>
      </c>
      <c r="J282" s="35">
        <v>0</v>
      </c>
      <c r="K282" s="35">
        <v>0</v>
      </c>
      <c r="L282" s="35">
        <v>0</v>
      </c>
      <c r="M282">
        <v>11</v>
      </c>
      <c r="N282">
        <v>0</v>
      </c>
      <c r="O282">
        <v>12</v>
      </c>
      <c r="P282">
        <v>10</v>
      </c>
      <c r="Q282">
        <v>2</v>
      </c>
      <c r="R282">
        <v>65</v>
      </c>
      <c r="S282">
        <v>304</v>
      </c>
      <c r="T282">
        <v>0</v>
      </c>
      <c r="U282">
        <v>0</v>
      </c>
      <c r="V282">
        <v>0</v>
      </c>
      <c r="W282">
        <v>1</v>
      </c>
      <c r="X282" s="23">
        <v>0</v>
      </c>
      <c r="Y282" s="23">
        <v>0</v>
      </c>
      <c r="Z282" s="23">
        <v>0</v>
      </c>
      <c r="AA282" s="23">
        <v>0.00328947368421053</v>
      </c>
      <c r="AB282">
        <v>0</v>
      </c>
      <c r="AC282">
        <v>0</v>
      </c>
      <c r="AD282">
        <v>0</v>
      </c>
      <c r="AE282">
        <v>0.38</v>
      </c>
      <c r="AF282" s="23" t="s">
        <v>54</v>
      </c>
      <c r="AG282" s="23" t="s">
        <v>54</v>
      </c>
      <c r="AH282" s="23" t="s">
        <v>54</v>
      </c>
      <c r="AI282" s="23" t="s">
        <v>432</v>
      </c>
      <c r="AJ282">
        <v>4</v>
      </c>
      <c r="AK282">
        <v>2</v>
      </c>
      <c r="AL282">
        <v>1</v>
      </c>
      <c r="AM282">
        <v>5</v>
      </c>
      <c r="AN282" s="23">
        <v>0.25</v>
      </c>
      <c r="AO282" s="23">
        <v>0</v>
      </c>
      <c r="AP282" s="23">
        <v>0</v>
      </c>
      <c r="AQ282" s="23">
        <v>0</v>
      </c>
      <c r="AR282" s="37">
        <v>0.142857142857143</v>
      </c>
      <c r="AS282" s="37">
        <v>8.57142857142857</v>
      </c>
      <c r="AT282" s="37">
        <v>2.42857142857143</v>
      </c>
      <c r="AU282" s="33">
        <f t="shared" si="8"/>
        <v>77</v>
      </c>
      <c r="AV282" s="38">
        <f>IFERROR(时间!$B$4+AU282,"上周无销量")</f>
        <v>43395</v>
      </c>
    </row>
    <row r="283" spans="1:48">
      <c r="A283" s="21" t="s">
        <v>815</v>
      </c>
      <c r="B283" t="s">
        <v>816</v>
      </c>
      <c r="C283" t="s">
        <v>755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7</v>
      </c>
      <c r="J283" s="35">
        <v>0</v>
      </c>
      <c r="K283" s="35">
        <v>0</v>
      </c>
      <c r="L283" s="35">
        <v>0</v>
      </c>
      <c r="M283">
        <v>7</v>
      </c>
      <c r="N283">
        <v>0</v>
      </c>
      <c r="O283">
        <v>7</v>
      </c>
      <c r="P283">
        <v>1537</v>
      </c>
      <c r="Q283">
        <v>1618</v>
      </c>
      <c r="R283">
        <v>1835</v>
      </c>
      <c r="S283">
        <v>305</v>
      </c>
      <c r="T283">
        <v>1</v>
      </c>
      <c r="U283">
        <v>1</v>
      </c>
      <c r="V283">
        <v>0</v>
      </c>
      <c r="W283">
        <v>0</v>
      </c>
      <c r="X283" s="23">
        <v>0.000650618087182824</v>
      </c>
      <c r="Y283" s="23">
        <v>0.000618046971569839</v>
      </c>
      <c r="Z283" s="23">
        <v>0</v>
      </c>
      <c r="AA283" s="23">
        <v>0</v>
      </c>
      <c r="AB283">
        <v>0.49</v>
      </c>
      <c r="AC283">
        <v>0.47</v>
      </c>
      <c r="AD283">
        <v>0</v>
      </c>
      <c r="AE283">
        <v>0</v>
      </c>
      <c r="AF283" s="23" t="s">
        <v>238</v>
      </c>
      <c r="AG283" s="23" t="s">
        <v>679</v>
      </c>
      <c r="AH283" s="23" t="s">
        <v>54</v>
      </c>
      <c r="AI283" s="23" t="s">
        <v>54</v>
      </c>
      <c r="AJ283">
        <v>0</v>
      </c>
      <c r="AK283">
        <v>4</v>
      </c>
      <c r="AL283">
        <v>2</v>
      </c>
      <c r="AM283">
        <v>4</v>
      </c>
      <c r="AN283" s="23" t="s">
        <v>54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7</v>
      </c>
      <c r="AU283" s="33" t="str">
        <f t="shared" si="8"/>
        <v>库存为7</v>
      </c>
      <c r="AV283" s="38" t="str">
        <f>IFERROR(时间!$B$4+AU283,"上周无销量")</f>
        <v>上周无销量</v>
      </c>
    </row>
    <row r="284" spans="1:48">
      <c r="A284" s="21" t="s">
        <v>817</v>
      </c>
      <c r="B284" t="s">
        <v>818</v>
      </c>
      <c r="C284" t="s">
        <v>755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9</v>
      </c>
      <c r="J284" s="35">
        <v>0</v>
      </c>
      <c r="K284" s="35">
        <v>0</v>
      </c>
      <c r="L284" s="35">
        <v>0</v>
      </c>
      <c r="M284">
        <v>9</v>
      </c>
      <c r="N284">
        <v>0</v>
      </c>
      <c r="O284">
        <v>9</v>
      </c>
      <c r="P284">
        <v>0</v>
      </c>
      <c r="Q284">
        <v>0</v>
      </c>
      <c r="R284">
        <v>1</v>
      </c>
      <c r="S284">
        <v>2</v>
      </c>
      <c r="T284">
        <v>0</v>
      </c>
      <c r="U284">
        <v>0</v>
      </c>
      <c r="V284">
        <v>0</v>
      </c>
      <c r="W284">
        <v>0</v>
      </c>
      <c r="X284" s="23" t="s">
        <v>54</v>
      </c>
      <c r="Y284" s="23" t="s">
        <v>54</v>
      </c>
      <c r="Z284" s="23">
        <v>0</v>
      </c>
      <c r="AA284" s="23">
        <v>0</v>
      </c>
      <c r="AB284">
        <v>0</v>
      </c>
      <c r="AC284">
        <v>0</v>
      </c>
      <c r="AD284">
        <v>0</v>
      </c>
      <c r="AE284">
        <v>0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4</v>
      </c>
      <c r="AK284">
        <v>3</v>
      </c>
      <c r="AL284">
        <v>2</v>
      </c>
      <c r="AM284">
        <v>1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9</v>
      </c>
      <c r="AU284" s="33" t="str">
        <f t="shared" si="8"/>
        <v>库存为9</v>
      </c>
      <c r="AV284" s="38" t="str">
        <f>IFERROR(时间!$B$4+AU284,"上周无销量")</f>
        <v>上周无销量</v>
      </c>
    </row>
    <row r="285" spans="1:48">
      <c r="A285" s="21" t="s">
        <v>819</v>
      </c>
      <c r="B285" t="s">
        <v>820</v>
      </c>
      <c r="C285" t="s">
        <v>755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2</v>
      </c>
      <c r="J285" s="35">
        <v>0</v>
      </c>
      <c r="K285" s="35">
        <v>0</v>
      </c>
      <c r="L285" s="35">
        <v>0</v>
      </c>
      <c r="M285">
        <v>2</v>
      </c>
      <c r="N285">
        <v>0</v>
      </c>
      <c r="O285">
        <v>2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 s="23" t="s">
        <v>54</v>
      </c>
      <c r="Y285" s="23" t="s">
        <v>54</v>
      </c>
      <c r="Z285" s="23" t="s">
        <v>54</v>
      </c>
      <c r="AA285" s="23" t="s">
        <v>54</v>
      </c>
      <c r="AB285">
        <v>0</v>
      </c>
      <c r="AC285">
        <v>0</v>
      </c>
      <c r="AD285">
        <v>0</v>
      </c>
      <c r="AE285">
        <v>0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2</v>
      </c>
      <c r="AK285">
        <v>1</v>
      </c>
      <c r="AL285">
        <v>1</v>
      </c>
      <c r="AM285">
        <v>2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2</v>
      </c>
      <c r="AU285" s="33" t="str">
        <f t="shared" si="8"/>
        <v>库存为2</v>
      </c>
      <c r="AV285" s="38" t="str">
        <f>IFERROR(时间!$B$4+AU285,"上周无销量")</f>
        <v>上周无销量</v>
      </c>
    </row>
    <row r="286" spans="1:48">
      <c r="A286" s="21" t="s">
        <v>821</v>
      </c>
      <c r="B286" t="s">
        <v>822</v>
      </c>
      <c r="C286" t="s">
        <v>755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3</v>
      </c>
      <c r="J286" s="35">
        <v>0</v>
      </c>
      <c r="K286" s="35">
        <v>0</v>
      </c>
      <c r="L286" s="35">
        <v>0</v>
      </c>
      <c r="M286">
        <v>3</v>
      </c>
      <c r="N286">
        <v>0</v>
      </c>
      <c r="O286">
        <v>3</v>
      </c>
      <c r="P286">
        <v>293</v>
      </c>
      <c r="Q286">
        <v>285</v>
      </c>
      <c r="R286">
        <v>114</v>
      </c>
      <c r="S286">
        <v>38</v>
      </c>
      <c r="T286">
        <v>1</v>
      </c>
      <c r="U286">
        <v>1</v>
      </c>
      <c r="V286">
        <v>0</v>
      </c>
      <c r="W286">
        <v>0</v>
      </c>
      <c r="X286" s="23">
        <v>0.00341296928327645</v>
      </c>
      <c r="Y286" s="23">
        <v>0.00350877192982456</v>
      </c>
      <c r="Z286" s="23">
        <v>0</v>
      </c>
      <c r="AA286" s="23">
        <v>0</v>
      </c>
      <c r="AB286">
        <v>0.29</v>
      </c>
      <c r="AC286">
        <v>0.41</v>
      </c>
      <c r="AD286">
        <v>0</v>
      </c>
      <c r="AE286">
        <v>0</v>
      </c>
      <c r="AF286" s="23" t="s">
        <v>675</v>
      </c>
      <c r="AG286" s="23" t="s">
        <v>267</v>
      </c>
      <c r="AH286" s="23" t="s">
        <v>54</v>
      </c>
      <c r="AI286" s="23" t="s">
        <v>54</v>
      </c>
      <c r="AJ286">
        <v>3</v>
      </c>
      <c r="AK286">
        <v>1</v>
      </c>
      <c r="AL286">
        <v>2</v>
      </c>
      <c r="AM286">
        <v>3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3</v>
      </c>
      <c r="AU286" s="33" t="str">
        <f t="shared" si="8"/>
        <v>库存为3</v>
      </c>
      <c r="AV286" s="38" t="str">
        <f>IFERROR(时间!$B$4+AU286,"上周无销量")</f>
        <v>上周无销量</v>
      </c>
    </row>
    <row r="287" spans="1:48">
      <c r="A287" s="21" t="s">
        <v>823</v>
      </c>
      <c r="B287" t="s">
        <v>824</v>
      </c>
      <c r="C287" t="s">
        <v>755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2</v>
      </c>
      <c r="J287" s="35">
        <v>0</v>
      </c>
      <c r="K287" s="35">
        <v>0</v>
      </c>
      <c r="L287" s="35">
        <v>0</v>
      </c>
      <c r="M287">
        <v>2</v>
      </c>
      <c r="N287">
        <v>0</v>
      </c>
      <c r="O287">
        <v>2</v>
      </c>
      <c r="P287">
        <v>481</v>
      </c>
      <c r="Q287">
        <v>333</v>
      </c>
      <c r="R287">
        <v>463</v>
      </c>
      <c r="S287">
        <v>322</v>
      </c>
      <c r="T287">
        <v>3</v>
      </c>
      <c r="U287">
        <v>1</v>
      </c>
      <c r="V287">
        <v>1</v>
      </c>
      <c r="W287">
        <v>6</v>
      </c>
      <c r="X287" s="23">
        <v>0.00623700623700624</v>
      </c>
      <c r="Y287" s="23">
        <v>0.003003003003003</v>
      </c>
      <c r="Z287" s="23">
        <v>0.00215982721382289</v>
      </c>
      <c r="AA287" s="23">
        <v>0.0186335403726708</v>
      </c>
      <c r="AB287">
        <v>0.69</v>
      </c>
      <c r="AC287">
        <v>0.38</v>
      </c>
      <c r="AD287">
        <v>0.34</v>
      </c>
      <c r="AE287">
        <v>1.75</v>
      </c>
      <c r="AF287" s="23" t="s">
        <v>300</v>
      </c>
      <c r="AG287" s="23" t="s">
        <v>432</v>
      </c>
      <c r="AH287" s="23" t="s">
        <v>398</v>
      </c>
      <c r="AI287" s="23" t="s">
        <v>825</v>
      </c>
      <c r="AJ287">
        <v>2</v>
      </c>
      <c r="AK287">
        <v>3</v>
      </c>
      <c r="AL287">
        <v>3</v>
      </c>
      <c r="AM287">
        <v>2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2</v>
      </c>
      <c r="AU287" s="33" t="str">
        <f t="shared" si="8"/>
        <v>库存为2</v>
      </c>
      <c r="AV287" s="38" t="str">
        <f>IFERROR(时间!$B$4+AU287,"上周无销量")</f>
        <v>上周无销量</v>
      </c>
    </row>
    <row r="288" spans="1:48">
      <c r="A288" s="21" t="s">
        <v>826</v>
      </c>
      <c r="B288" t="s">
        <v>827</v>
      </c>
      <c r="C288" t="s">
        <v>755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3</v>
      </c>
      <c r="J288" s="35">
        <v>0</v>
      </c>
      <c r="K288" s="35">
        <v>0</v>
      </c>
      <c r="L288" s="35">
        <v>0</v>
      </c>
      <c r="M288">
        <v>3</v>
      </c>
      <c r="N288">
        <v>0</v>
      </c>
      <c r="O288">
        <v>3</v>
      </c>
      <c r="P288">
        <v>1785</v>
      </c>
      <c r="Q288">
        <v>1304</v>
      </c>
      <c r="R288">
        <v>1069</v>
      </c>
      <c r="S288">
        <v>328</v>
      </c>
      <c r="T288">
        <v>1</v>
      </c>
      <c r="U288">
        <v>3</v>
      </c>
      <c r="V288">
        <v>0</v>
      </c>
      <c r="W288">
        <v>0</v>
      </c>
      <c r="X288" s="23">
        <v>0.000560224089635854</v>
      </c>
      <c r="Y288" s="23">
        <v>0.00230061349693252</v>
      </c>
      <c r="Z288" s="23">
        <v>0</v>
      </c>
      <c r="AA288" s="23">
        <v>0</v>
      </c>
      <c r="AB288">
        <v>0.36</v>
      </c>
      <c r="AC288">
        <v>0.38</v>
      </c>
      <c r="AD288">
        <v>0</v>
      </c>
      <c r="AE288">
        <v>0</v>
      </c>
      <c r="AF288" s="23" t="s">
        <v>531</v>
      </c>
      <c r="AG288" s="23" t="s">
        <v>432</v>
      </c>
      <c r="AH288" s="23" t="s">
        <v>54</v>
      </c>
      <c r="AI288" s="23" t="s">
        <v>54</v>
      </c>
      <c r="AJ288">
        <v>2</v>
      </c>
      <c r="AK288">
        <v>4</v>
      </c>
      <c r="AL288">
        <v>3</v>
      </c>
      <c r="AM288">
        <v>3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3</v>
      </c>
      <c r="AU288" s="33" t="str">
        <f t="shared" si="8"/>
        <v>库存为3</v>
      </c>
      <c r="AV288" s="38" t="str">
        <f>IFERROR(时间!$B$4+AU288,"上周无销量")</f>
        <v>上周无销量</v>
      </c>
    </row>
    <row r="289" spans="1:48">
      <c r="A289" s="21" t="s">
        <v>828</v>
      </c>
      <c r="B289" t="s">
        <v>829</v>
      </c>
      <c r="C289" t="s">
        <v>830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>
        <v>376</v>
      </c>
      <c r="Q289">
        <v>296</v>
      </c>
      <c r="R289">
        <v>268</v>
      </c>
      <c r="S289">
        <v>36</v>
      </c>
      <c r="T289">
        <v>1</v>
      </c>
      <c r="U289">
        <v>1</v>
      </c>
      <c r="V289">
        <v>0</v>
      </c>
      <c r="W289">
        <v>0</v>
      </c>
      <c r="X289" s="23">
        <v>0.00265957446808511</v>
      </c>
      <c r="Y289" s="23">
        <v>0.00337837837837838</v>
      </c>
      <c r="Z289" s="23">
        <v>0</v>
      </c>
      <c r="AA289" s="23">
        <v>0</v>
      </c>
      <c r="AB289">
        <v>0.21</v>
      </c>
      <c r="AC289">
        <v>0.21</v>
      </c>
      <c r="AD289">
        <v>0</v>
      </c>
      <c r="AE289">
        <v>0</v>
      </c>
      <c r="AF289" s="23" t="s">
        <v>371</v>
      </c>
      <c r="AG289" s="23" t="s">
        <v>371</v>
      </c>
      <c r="AH289" s="23" t="s">
        <v>54</v>
      </c>
      <c r="AI289" s="23" t="s">
        <v>54</v>
      </c>
      <c r="AJ289">
        <v>2</v>
      </c>
      <c r="AK289">
        <v>3</v>
      </c>
      <c r="AL289">
        <v>4</v>
      </c>
      <c r="AM289">
        <v>0</v>
      </c>
      <c r="AN289" s="23">
        <v>0</v>
      </c>
      <c r="AO289" s="23">
        <v>0</v>
      </c>
      <c r="AP289" s="23">
        <v>0</v>
      </c>
      <c r="AQ289" s="23" t="s">
        <v>54</v>
      </c>
      <c r="AR289" s="37">
        <v>0</v>
      </c>
      <c r="AS289" s="37">
        <v>0</v>
      </c>
      <c r="AT289" s="37">
        <v>3</v>
      </c>
      <c r="AU289" s="33" t="str">
        <f t="shared" si="8"/>
        <v>库存为3</v>
      </c>
      <c r="AV289" s="38" t="str">
        <f>IFERROR(时间!$B$4+AU289,"上周无销量")</f>
        <v>上周无销量</v>
      </c>
    </row>
    <row r="290" spans="1:48">
      <c r="A290" s="21" t="s">
        <v>831</v>
      </c>
      <c r="B290" t="s">
        <v>832</v>
      </c>
      <c r="C290" t="s">
        <v>830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3</v>
      </c>
      <c r="J290" s="35">
        <v>0</v>
      </c>
      <c r="K290" s="35">
        <v>0</v>
      </c>
      <c r="L290" s="35">
        <v>0</v>
      </c>
      <c r="M290">
        <v>3</v>
      </c>
      <c r="N290">
        <v>0</v>
      </c>
      <c r="O290">
        <v>3</v>
      </c>
      <c r="P290">
        <v>122</v>
      </c>
      <c r="Q290">
        <v>209</v>
      </c>
      <c r="R290">
        <v>90</v>
      </c>
      <c r="S290">
        <v>17</v>
      </c>
      <c r="T290">
        <v>1</v>
      </c>
      <c r="U290">
        <v>0</v>
      </c>
      <c r="V290">
        <v>0</v>
      </c>
      <c r="W290">
        <v>0</v>
      </c>
      <c r="X290" s="23">
        <v>0.00819672131147541</v>
      </c>
      <c r="Y290" s="23">
        <v>0</v>
      </c>
      <c r="Z290" s="23">
        <v>0</v>
      </c>
      <c r="AA290" s="23">
        <v>0</v>
      </c>
      <c r="AB290">
        <v>0.22</v>
      </c>
      <c r="AC290">
        <v>0</v>
      </c>
      <c r="AD290">
        <v>0</v>
      </c>
      <c r="AE290">
        <v>0</v>
      </c>
      <c r="AF290" s="23" t="s">
        <v>546</v>
      </c>
      <c r="AG290" s="23" t="s">
        <v>54</v>
      </c>
      <c r="AH290" s="23" t="s">
        <v>54</v>
      </c>
      <c r="AI290" s="23" t="s">
        <v>54</v>
      </c>
      <c r="AJ290">
        <v>2</v>
      </c>
      <c r="AK290">
        <v>3</v>
      </c>
      <c r="AL290">
        <v>2</v>
      </c>
      <c r="AM290">
        <v>0</v>
      </c>
      <c r="AN290" s="23">
        <v>0</v>
      </c>
      <c r="AO290" s="23">
        <v>0</v>
      </c>
      <c r="AP290" s="23">
        <v>0</v>
      </c>
      <c r="AQ290" s="23" t="s">
        <v>54</v>
      </c>
      <c r="AR290" s="37">
        <v>0</v>
      </c>
      <c r="AS290" s="37">
        <v>0</v>
      </c>
      <c r="AT290" s="37">
        <v>3</v>
      </c>
      <c r="AU290" s="33" t="str">
        <f t="shared" si="8"/>
        <v>库存为3</v>
      </c>
      <c r="AV290" s="38" t="str">
        <f>IFERROR(时间!$B$4+AU290,"上周无销量")</f>
        <v>上周无销量</v>
      </c>
    </row>
    <row r="291" spans="1:48">
      <c r="A291" s="21" t="s">
        <v>833</v>
      </c>
      <c r="B291" t="s">
        <v>834</v>
      </c>
      <c r="C291" t="s">
        <v>830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3</v>
      </c>
      <c r="J291" s="35">
        <v>0</v>
      </c>
      <c r="K291" s="35">
        <v>0</v>
      </c>
      <c r="L291" s="35">
        <v>0</v>
      </c>
      <c r="M291">
        <v>3</v>
      </c>
      <c r="N291">
        <v>0</v>
      </c>
      <c r="O291">
        <v>3</v>
      </c>
      <c r="P291">
        <v>34</v>
      </c>
      <c r="Q291">
        <v>37</v>
      </c>
      <c r="R291">
        <v>47</v>
      </c>
      <c r="S291">
        <v>7</v>
      </c>
      <c r="T291">
        <v>0</v>
      </c>
      <c r="U291">
        <v>0</v>
      </c>
      <c r="V291">
        <v>0</v>
      </c>
      <c r="W291">
        <v>0</v>
      </c>
      <c r="X291" s="23">
        <v>0</v>
      </c>
      <c r="Y291" s="23">
        <v>0</v>
      </c>
      <c r="Z291" s="23">
        <v>0</v>
      </c>
      <c r="AA291" s="23">
        <v>0</v>
      </c>
      <c r="AB291">
        <v>0</v>
      </c>
      <c r="AC291">
        <v>0</v>
      </c>
      <c r="AD291">
        <v>0</v>
      </c>
      <c r="AE291">
        <v>0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4</v>
      </c>
      <c r="AK291">
        <v>3</v>
      </c>
      <c r="AL291">
        <v>4</v>
      </c>
      <c r="AM291">
        <v>2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3</v>
      </c>
      <c r="AU291" s="33" t="str">
        <f t="shared" si="8"/>
        <v>库存为3</v>
      </c>
      <c r="AV291" s="38" t="str">
        <f>IFERROR(时间!$B$4+AU291,"上周无销量")</f>
        <v>上周无销量</v>
      </c>
    </row>
    <row r="292" spans="1:48">
      <c r="A292" s="21" t="s">
        <v>835</v>
      </c>
      <c r="B292" t="s">
        <v>836</v>
      </c>
      <c r="C292" t="s">
        <v>830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3</v>
      </c>
      <c r="J292" s="35">
        <v>0</v>
      </c>
      <c r="K292" s="35">
        <v>0</v>
      </c>
      <c r="L292" s="35">
        <v>0</v>
      </c>
      <c r="M292">
        <v>3</v>
      </c>
      <c r="N292">
        <v>0</v>
      </c>
      <c r="O292">
        <v>3</v>
      </c>
      <c r="P292">
        <v>44</v>
      </c>
      <c r="Q292">
        <v>136</v>
      </c>
      <c r="R292">
        <v>131</v>
      </c>
      <c r="S292">
        <v>150</v>
      </c>
      <c r="T292">
        <v>1</v>
      </c>
      <c r="U292">
        <v>1</v>
      </c>
      <c r="V292">
        <v>0</v>
      </c>
      <c r="W292">
        <v>0</v>
      </c>
      <c r="X292" s="23">
        <v>0.0227272727272727</v>
      </c>
      <c r="Y292" s="23">
        <v>0.00735294117647059</v>
      </c>
      <c r="Z292" s="23">
        <v>0</v>
      </c>
      <c r="AA292" s="23">
        <v>0</v>
      </c>
      <c r="AB292">
        <v>0.36</v>
      </c>
      <c r="AC292">
        <v>0.31</v>
      </c>
      <c r="AD292">
        <v>0</v>
      </c>
      <c r="AE292">
        <v>0</v>
      </c>
      <c r="AF292" s="23" t="s">
        <v>531</v>
      </c>
      <c r="AG292" s="23" t="s">
        <v>351</v>
      </c>
      <c r="AH292" s="23" t="s">
        <v>54</v>
      </c>
      <c r="AI292" s="23" t="s">
        <v>54</v>
      </c>
      <c r="AJ292">
        <v>3</v>
      </c>
      <c r="AK292">
        <v>3</v>
      </c>
      <c r="AL292">
        <v>2</v>
      </c>
      <c r="AM292">
        <v>4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3</v>
      </c>
      <c r="AU292" s="33" t="str">
        <f t="shared" si="8"/>
        <v>库存为3</v>
      </c>
      <c r="AV292" s="38" t="str">
        <f>IFERROR(时间!$B$4+AU292,"上周无销量")</f>
        <v>上周无销量</v>
      </c>
    </row>
    <row r="293" spans="1:48">
      <c r="A293" s="21" t="s">
        <v>837</v>
      </c>
      <c r="B293" t="s">
        <v>838</v>
      </c>
      <c r="C293" t="s">
        <v>830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3</v>
      </c>
      <c r="J293" s="35">
        <v>0</v>
      </c>
      <c r="K293" s="35">
        <v>0</v>
      </c>
      <c r="L293" s="35">
        <v>0</v>
      </c>
      <c r="M293">
        <v>3</v>
      </c>
      <c r="N293">
        <v>0</v>
      </c>
      <c r="O293">
        <v>3</v>
      </c>
      <c r="P293">
        <v>776</v>
      </c>
      <c r="Q293">
        <v>660</v>
      </c>
      <c r="R293">
        <v>568</v>
      </c>
      <c r="S293">
        <v>245</v>
      </c>
      <c r="T293">
        <v>2</v>
      </c>
      <c r="U293">
        <v>1</v>
      </c>
      <c r="V293">
        <v>0</v>
      </c>
      <c r="W293">
        <v>1</v>
      </c>
      <c r="X293" s="23">
        <v>0.00257731958762887</v>
      </c>
      <c r="Y293" s="23">
        <v>0.00151515151515152</v>
      </c>
      <c r="Z293" s="23">
        <v>0</v>
      </c>
      <c r="AA293" s="23">
        <v>0.00408163265306122</v>
      </c>
      <c r="AB293">
        <v>0.11</v>
      </c>
      <c r="AC293">
        <v>0.04</v>
      </c>
      <c r="AD293">
        <v>0</v>
      </c>
      <c r="AE293">
        <v>0.07</v>
      </c>
      <c r="AF293" s="23" t="s">
        <v>839</v>
      </c>
      <c r="AG293" s="23" t="s">
        <v>428</v>
      </c>
      <c r="AH293" s="23" t="s">
        <v>54</v>
      </c>
      <c r="AI293" s="23" t="s">
        <v>348</v>
      </c>
      <c r="AJ293">
        <v>3</v>
      </c>
      <c r="AK293">
        <v>1</v>
      </c>
      <c r="AL293">
        <v>2</v>
      </c>
      <c r="AM293">
        <v>4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3</v>
      </c>
      <c r="AU293" s="33" t="str">
        <f t="shared" si="8"/>
        <v>库存为3</v>
      </c>
      <c r="AV293" s="38" t="str">
        <f>IFERROR(时间!$B$4+AU293,"上周无销量")</f>
        <v>上周无销量</v>
      </c>
    </row>
    <row r="294" spans="1:48">
      <c r="A294" s="21" t="s">
        <v>840</v>
      </c>
      <c r="B294" t="s">
        <v>841</v>
      </c>
      <c r="C294" t="s">
        <v>830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2</v>
      </c>
      <c r="J294" s="35">
        <v>0</v>
      </c>
      <c r="K294" s="35">
        <v>0</v>
      </c>
      <c r="L294" s="35">
        <v>0</v>
      </c>
      <c r="M294">
        <v>2</v>
      </c>
      <c r="N294">
        <v>0</v>
      </c>
      <c r="O294">
        <v>2</v>
      </c>
      <c r="P294">
        <v>374</v>
      </c>
      <c r="Q294">
        <v>474</v>
      </c>
      <c r="R294">
        <v>1869</v>
      </c>
      <c r="S294">
        <v>21</v>
      </c>
      <c r="T294">
        <v>6</v>
      </c>
      <c r="U294">
        <v>5</v>
      </c>
      <c r="V294">
        <v>8</v>
      </c>
      <c r="W294">
        <v>2</v>
      </c>
      <c r="X294" s="23">
        <v>0.0160427807486631</v>
      </c>
      <c r="Y294" s="23">
        <v>0.0105485232067511</v>
      </c>
      <c r="Z294" s="23">
        <v>0.00428036383092563</v>
      </c>
      <c r="AA294" s="23">
        <v>0.0952380952380952</v>
      </c>
      <c r="AB294">
        <v>1.74</v>
      </c>
      <c r="AC294">
        <v>1.66</v>
      </c>
      <c r="AD294">
        <v>2.54</v>
      </c>
      <c r="AE294">
        <v>0.46</v>
      </c>
      <c r="AF294" s="23" t="s">
        <v>842</v>
      </c>
      <c r="AG294" s="23" t="s">
        <v>843</v>
      </c>
      <c r="AH294" s="23" t="s">
        <v>844</v>
      </c>
      <c r="AI294" s="23" t="s">
        <v>845</v>
      </c>
      <c r="AJ294">
        <v>1</v>
      </c>
      <c r="AK294">
        <v>3</v>
      </c>
      <c r="AL294">
        <v>7</v>
      </c>
      <c r="AM294">
        <v>4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2</v>
      </c>
      <c r="AU294" s="33" t="str">
        <f t="shared" si="8"/>
        <v>库存为2</v>
      </c>
      <c r="AV294" s="38" t="str">
        <f>IFERROR(时间!$B$4+AU294,"上周无销量")</f>
        <v>上周无销量</v>
      </c>
    </row>
    <row r="295" spans="1:48">
      <c r="A295" s="21" t="s">
        <v>846</v>
      </c>
      <c r="B295" t="s">
        <v>847</v>
      </c>
      <c r="C295" t="s">
        <v>830</v>
      </c>
      <c r="D295" s="33">
        <v>1</v>
      </c>
      <c r="E295" s="33">
        <v>0</v>
      </c>
      <c r="F295" s="33">
        <v>0</v>
      </c>
      <c r="G295" s="33">
        <v>0</v>
      </c>
      <c r="H295" s="34">
        <v>12.9</v>
      </c>
      <c r="I295">
        <v>1</v>
      </c>
      <c r="J295" s="35">
        <v>0</v>
      </c>
      <c r="K295" s="35">
        <v>0</v>
      </c>
      <c r="L295" s="35">
        <v>0</v>
      </c>
      <c r="M295">
        <v>1</v>
      </c>
      <c r="N295">
        <v>0</v>
      </c>
      <c r="O295">
        <v>1</v>
      </c>
      <c r="P295">
        <v>269</v>
      </c>
      <c r="Q295">
        <v>327</v>
      </c>
      <c r="R295">
        <v>412</v>
      </c>
      <c r="S295">
        <v>242</v>
      </c>
      <c r="T295">
        <v>2</v>
      </c>
      <c r="U295">
        <v>1</v>
      </c>
      <c r="V295">
        <v>1</v>
      </c>
      <c r="W295">
        <v>3</v>
      </c>
      <c r="X295" s="23">
        <v>0.00743494423791822</v>
      </c>
      <c r="Y295" s="23">
        <v>0.00305810397553517</v>
      </c>
      <c r="Z295" s="23">
        <v>0.00242718446601942</v>
      </c>
      <c r="AA295" s="23">
        <v>0.012396694214876</v>
      </c>
      <c r="AB295">
        <v>0.32</v>
      </c>
      <c r="AC295">
        <v>0.23</v>
      </c>
      <c r="AD295">
        <v>0.21</v>
      </c>
      <c r="AE295">
        <v>1</v>
      </c>
      <c r="AF295" s="23">
        <v>0.0248062015503876</v>
      </c>
      <c r="AG295" s="23" t="s">
        <v>268</v>
      </c>
      <c r="AH295" s="23" t="s">
        <v>371</v>
      </c>
      <c r="AI295" s="23" t="s">
        <v>676</v>
      </c>
      <c r="AJ295">
        <v>3</v>
      </c>
      <c r="AK295">
        <v>1</v>
      </c>
      <c r="AL295">
        <v>2</v>
      </c>
      <c r="AM295">
        <v>3</v>
      </c>
      <c r="AN295" s="23">
        <v>0.333333333333333</v>
      </c>
      <c r="AO295" s="23">
        <v>0</v>
      </c>
      <c r="AP295" s="23">
        <v>0</v>
      </c>
      <c r="AQ295" s="23">
        <v>0</v>
      </c>
      <c r="AR295" s="37">
        <v>0.142857142857143</v>
      </c>
      <c r="AS295" s="37">
        <v>8.57142857142857</v>
      </c>
      <c r="AT295" s="37">
        <v>-7.57142857142857</v>
      </c>
      <c r="AU295" s="33">
        <f t="shared" si="8"/>
        <v>7</v>
      </c>
      <c r="AV295" s="38">
        <f>IFERROR(时间!$B$4+AU295,"上周无销量")</f>
        <v>43325</v>
      </c>
    </row>
    <row r="296" spans="1:48">
      <c r="A296" s="21" t="s">
        <v>848</v>
      </c>
      <c r="B296" t="s">
        <v>849</v>
      </c>
      <c r="C296" t="s">
        <v>830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3</v>
      </c>
      <c r="J296" s="35">
        <v>0</v>
      </c>
      <c r="K296" s="35">
        <v>0</v>
      </c>
      <c r="L296" s="35">
        <v>0</v>
      </c>
      <c r="M296">
        <v>3</v>
      </c>
      <c r="N296">
        <v>0</v>
      </c>
      <c r="O296">
        <v>3</v>
      </c>
      <c r="P296">
        <v>44</v>
      </c>
      <c r="Q296">
        <v>64</v>
      </c>
      <c r="R296">
        <v>27</v>
      </c>
      <c r="S296">
        <v>2</v>
      </c>
      <c r="T296">
        <v>0</v>
      </c>
      <c r="U296">
        <v>0</v>
      </c>
      <c r="V296">
        <v>0</v>
      </c>
      <c r="W296">
        <v>0</v>
      </c>
      <c r="X296" s="23">
        <v>0</v>
      </c>
      <c r="Y296" s="23">
        <v>0</v>
      </c>
      <c r="Z296" s="23">
        <v>0</v>
      </c>
      <c r="AA296" s="23">
        <v>0</v>
      </c>
      <c r="AB296">
        <v>0</v>
      </c>
      <c r="AC296">
        <v>0</v>
      </c>
      <c r="AD296">
        <v>0</v>
      </c>
      <c r="AE296">
        <v>0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2</v>
      </c>
      <c r="AK296">
        <v>0</v>
      </c>
      <c r="AL296">
        <v>5</v>
      </c>
      <c r="AM296">
        <v>4</v>
      </c>
      <c r="AN296" s="23">
        <v>0</v>
      </c>
      <c r="AO296" s="23" t="s">
        <v>54</v>
      </c>
      <c r="AP296" s="23">
        <v>0</v>
      </c>
      <c r="AQ296" s="23">
        <v>0</v>
      </c>
      <c r="AR296" s="37">
        <v>0</v>
      </c>
      <c r="AS296" s="37">
        <v>0</v>
      </c>
      <c r="AT296" s="37">
        <v>3</v>
      </c>
      <c r="AU296" s="33" t="str">
        <f t="shared" si="8"/>
        <v>库存为3</v>
      </c>
      <c r="AV296" s="38" t="str">
        <f>IFERROR(时间!$B$4+AU296,"上周无销量")</f>
        <v>上周无销量</v>
      </c>
    </row>
    <row r="297" spans="1:48">
      <c r="A297" s="21" t="s">
        <v>850</v>
      </c>
      <c r="B297" t="s">
        <v>851</v>
      </c>
      <c r="C297" t="s">
        <v>852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0</v>
      </c>
      <c r="J297" s="35">
        <v>0</v>
      </c>
      <c r="K297" s="35">
        <v>0</v>
      </c>
      <c r="L297" s="35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7">
        <v>0</v>
      </c>
      <c r="AS297" s="37">
        <v>0</v>
      </c>
      <c r="AT297" s="37">
        <v>0</v>
      </c>
      <c r="AU297" s="33" t="str">
        <f t="shared" si="8"/>
        <v>库存为0</v>
      </c>
      <c r="AV297" s="38" t="str">
        <f>IFERROR(时间!$B$4+AU297,"上周无销量")</f>
        <v>上周无销量</v>
      </c>
    </row>
    <row r="298" spans="1:48">
      <c r="A298" s="21" t="s">
        <v>853</v>
      </c>
      <c r="B298" t="s">
        <v>854</v>
      </c>
      <c r="C298" t="s">
        <v>855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71</v>
      </c>
      <c r="J298" s="35">
        <v>0</v>
      </c>
      <c r="K298" s="35">
        <v>0</v>
      </c>
      <c r="L298" s="35">
        <v>0</v>
      </c>
      <c r="M298">
        <v>71</v>
      </c>
      <c r="N298">
        <v>0</v>
      </c>
      <c r="O298">
        <v>71</v>
      </c>
      <c r="P298">
        <v>1</v>
      </c>
      <c r="Q298">
        <v>1</v>
      </c>
      <c r="R298">
        <v>86</v>
      </c>
      <c r="S298">
        <v>501</v>
      </c>
      <c r="T298">
        <v>0</v>
      </c>
      <c r="U298">
        <v>0</v>
      </c>
      <c r="V298">
        <v>0</v>
      </c>
      <c r="W298">
        <v>0</v>
      </c>
      <c r="X298" s="23">
        <v>0</v>
      </c>
      <c r="Y298" s="23">
        <v>0</v>
      </c>
      <c r="Z298" s="23">
        <v>0</v>
      </c>
      <c r="AA298" s="23">
        <v>0</v>
      </c>
      <c r="AB298">
        <v>0</v>
      </c>
      <c r="AC298">
        <v>0</v>
      </c>
      <c r="AD298">
        <v>0</v>
      </c>
      <c r="AE298">
        <v>0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2</v>
      </c>
      <c r="AK298">
        <v>3</v>
      </c>
      <c r="AL298">
        <v>2</v>
      </c>
      <c r="AM298">
        <v>4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71</v>
      </c>
      <c r="AU298" s="33" t="str">
        <f t="shared" si="8"/>
        <v>库存为71</v>
      </c>
      <c r="AV298" s="38" t="str">
        <f>IFERROR(时间!$B$4+AU298,"上周无销量")</f>
        <v>上周无销量</v>
      </c>
    </row>
    <row r="299" spans="1:48">
      <c r="A299" s="21" t="s">
        <v>856</v>
      </c>
      <c r="B299" t="s">
        <v>857</v>
      </c>
      <c r="C299" t="s">
        <v>858</v>
      </c>
      <c r="D299" s="33">
        <v>1</v>
      </c>
      <c r="E299" s="33">
        <v>0</v>
      </c>
      <c r="F299" s="33">
        <v>0</v>
      </c>
      <c r="G299" s="33">
        <v>0</v>
      </c>
      <c r="H299" s="34">
        <v>6.99</v>
      </c>
      <c r="I299">
        <v>56</v>
      </c>
      <c r="J299" s="35">
        <v>0</v>
      </c>
      <c r="K299" s="35">
        <v>0</v>
      </c>
      <c r="L299" s="35">
        <v>0</v>
      </c>
      <c r="M299">
        <v>56</v>
      </c>
      <c r="N299">
        <v>0</v>
      </c>
      <c r="O299">
        <v>56</v>
      </c>
      <c r="P299">
        <v>3</v>
      </c>
      <c r="Q299">
        <v>3</v>
      </c>
      <c r="R299">
        <v>60</v>
      </c>
      <c r="S299">
        <v>203</v>
      </c>
      <c r="T299">
        <v>0</v>
      </c>
      <c r="U299">
        <v>0</v>
      </c>
      <c r="V299">
        <v>0</v>
      </c>
      <c r="W299">
        <v>1</v>
      </c>
      <c r="X299" s="23">
        <v>0</v>
      </c>
      <c r="Y299" s="23">
        <v>0</v>
      </c>
      <c r="Z299" s="23">
        <v>0</v>
      </c>
      <c r="AA299" s="23">
        <v>0.00492610837438424</v>
      </c>
      <c r="AB299">
        <v>0</v>
      </c>
      <c r="AC299">
        <v>0</v>
      </c>
      <c r="AD299">
        <v>0</v>
      </c>
      <c r="AE299">
        <v>0.8</v>
      </c>
      <c r="AF299" s="23" t="s">
        <v>54</v>
      </c>
      <c r="AG299" s="23" t="s">
        <v>54</v>
      </c>
      <c r="AH299" s="23" t="s">
        <v>54</v>
      </c>
      <c r="AI299" s="23" t="s">
        <v>435</v>
      </c>
      <c r="AJ299">
        <v>2</v>
      </c>
      <c r="AK299">
        <v>3</v>
      </c>
      <c r="AL299">
        <v>1</v>
      </c>
      <c r="AM299">
        <v>3</v>
      </c>
      <c r="AN299" s="23">
        <v>0.5</v>
      </c>
      <c r="AO299" s="23">
        <v>0</v>
      </c>
      <c r="AP299" s="23">
        <v>0</v>
      </c>
      <c r="AQ299" s="23">
        <v>0</v>
      </c>
      <c r="AR299" s="37">
        <v>0.142857142857143</v>
      </c>
      <c r="AS299" s="37">
        <v>8.57142857142857</v>
      </c>
      <c r="AT299" s="37">
        <v>47.4285714285714</v>
      </c>
      <c r="AU299" s="33">
        <f t="shared" si="8"/>
        <v>392</v>
      </c>
      <c r="AV299" s="38">
        <f>IFERROR(时间!$B$4+AU299,"上周无销量")</f>
        <v>43710</v>
      </c>
    </row>
    <row r="300" spans="1:48">
      <c r="A300" s="21" t="s">
        <v>859</v>
      </c>
      <c r="B300" t="s">
        <v>860</v>
      </c>
      <c r="C300" t="s">
        <v>861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33</v>
      </c>
      <c r="J300" s="35">
        <v>0</v>
      </c>
      <c r="K300" s="35">
        <v>0</v>
      </c>
      <c r="L300" s="35">
        <v>0</v>
      </c>
      <c r="M300">
        <v>33</v>
      </c>
      <c r="N300">
        <v>1</v>
      </c>
      <c r="O300">
        <v>33</v>
      </c>
      <c r="P300">
        <v>0</v>
      </c>
      <c r="Q300">
        <v>0</v>
      </c>
      <c r="R300">
        <v>152</v>
      </c>
      <c r="S300">
        <v>442</v>
      </c>
      <c r="T300">
        <v>0</v>
      </c>
      <c r="U300">
        <v>0</v>
      </c>
      <c r="V300">
        <v>0</v>
      </c>
      <c r="W300">
        <v>1</v>
      </c>
      <c r="X300" s="23" t="s">
        <v>54</v>
      </c>
      <c r="Y300" s="23" t="s">
        <v>54</v>
      </c>
      <c r="Z300" s="23">
        <v>0</v>
      </c>
      <c r="AA300" s="23">
        <v>0.00226244343891403</v>
      </c>
      <c r="AB300">
        <v>0</v>
      </c>
      <c r="AC300">
        <v>0</v>
      </c>
      <c r="AD300">
        <v>0</v>
      </c>
      <c r="AE300">
        <v>0.5</v>
      </c>
      <c r="AF300" s="23" t="s">
        <v>54</v>
      </c>
      <c r="AG300" s="23" t="s">
        <v>54</v>
      </c>
      <c r="AH300" s="23" t="s">
        <v>54</v>
      </c>
      <c r="AI300" s="23" t="s">
        <v>481</v>
      </c>
      <c r="AJ300">
        <v>2</v>
      </c>
      <c r="AK300">
        <v>2</v>
      </c>
      <c r="AL300">
        <v>2</v>
      </c>
      <c r="AM300">
        <v>4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33</v>
      </c>
      <c r="AU300" s="33" t="str">
        <f t="shared" si="8"/>
        <v>库存为33</v>
      </c>
      <c r="AV300" s="38" t="str">
        <f>IFERROR(时间!$B$4+AU300,"上周无销量")</f>
        <v>上周无销量</v>
      </c>
    </row>
    <row r="301" spans="1:48">
      <c r="A301" s="21" t="s">
        <v>862</v>
      </c>
      <c r="B301" t="s">
        <v>863</v>
      </c>
      <c r="C301" t="s">
        <v>864</v>
      </c>
      <c r="D301" s="33">
        <v>0</v>
      </c>
      <c r="E301" s="33">
        <v>2</v>
      </c>
      <c r="F301" s="33">
        <v>0</v>
      </c>
      <c r="G301" s="33">
        <v>0</v>
      </c>
      <c r="H301" s="34">
        <v>6.99</v>
      </c>
      <c r="I301">
        <v>5</v>
      </c>
      <c r="J301" s="35">
        <v>0</v>
      </c>
      <c r="K301" s="35">
        <v>0</v>
      </c>
      <c r="L301" s="35">
        <v>0</v>
      </c>
      <c r="M301">
        <v>5</v>
      </c>
      <c r="N301">
        <v>0</v>
      </c>
      <c r="O301">
        <v>7</v>
      </c>
      <c r="P301">
        <v>18578</v>
      </c>
      <c r="Q301">
        <v>16793</v>
      </c>
      <c r="R301">
        <v>14109</v>
      </c>
      <c r="S301">
        <v>8610</v>
      </c>
      <c r="T301">
        <v>48</v>
      </c>
      <c r="U301">
        <v>50</v>
      </c>
      <c r="V301">
        <v>36</v>
      </c>
      <c r="W301">
        <v>24</v>
      </c>
      <c r="X301" s="23">
        <v>0.0025837011519001</v>
      </c>
      <c r="Y301" s="23">
        <v>0.00297743107247067</v>
      </c>
      <c r="Z301" s="23">
        <v>0.00255156283223474</v>
      </c>
      <c r="AA301" s="23">
        <v>0.00278745644599303</v>
      </c>
      <c r="AB301">
        <v>24.5</v>
      </c>
      <c r="AC301">
        <v>25.45</v>
      </c>
      <c r="AD301">
        <v>14.23</v>
      </c>
      <c r="AE301">
        <v>7.45</v>
      </c>
      <c r="AF301" s="23" t="s">
        <v>865</v>
      </c>
      <c r="AG301" s="23">
        <v>1.82045779685265</v>
      </c>
      <c r="AH301" s="23" t="s">
        <v>866</v>
      </c>
      <c r="AI301" s="23" t="s">
        <v>867</v>
      </c>
      <c r="AJ301">
        <v>24</v>
      </c>
      <c r="AK301">
        <v>15</v>
      </c>
      <c r="AL301">
        <v>5</v>
      </c>
      <c r="AM301">
        <v>7</v>
      </c>
      <c r="AN301" s="23">
        <v>0</v>
      </c>
      <c r="AO301" s="23">
        <v>0.133333333333333</v>
      </c>
      <c r="AP301" s="23">
        <v>0</v>
      </c>
      <c r="AQ301" s="23">
        <v>0</v>
      </c>
      <c r="AR301" s="37">
        <v>0</v>
      </c>
      <c r="AS301" s="37">
        <v>0</v>
      </c>
      <c r="AT301" s="37">
        <v>5</v>
      </c>
      <c r="AU301" s="33" t="str">
        <f t="shared" si="8"/>
        <v>库存为5</v>
      </c>
      <c r="AV301" s="38" t="str">
        <f>IFERROR(时间!$B$4+AU301,"上周无销量")</f>
        <v>上周无销量</v>
      </c>
    </row>
    <row r="302" spans="1:48">
      <c r="A302" s="21" t="s">
        <v>868</v>
      </c>
      <c r="B302" t="s">
        <v>869</v>
      </c>
      <c r="C302" t="s">
        <v>864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12</v>
      </c>
      <c r="J302" s="35">
        <v>0</v>
      </c>
      <c r="K302" s="35">
        <v>0</v>
      </c>
      <c r="L302" s="35">
        <v>0</v>
      </c>
      <c r="M302">
        <v>12</v>
      </c>
      <c r="N302">
        <v>0</v>
      </c>
      <c r="O302">
        <v>12</v>
      </c>
      <c r="P302">
        <v>17</v>
      </c>
      <c r="Q302">
        <v>19</v>
      </c>
      <c r="R302">
        <v>363</v>
      </c>
      <c r="S302">
        <v>1555</v>
      </c>
      <c r="T302">
        <v>0</v>
      </c>
      <c r="U302">
        <v>0</v>
      </c>
      <c r="V302">
        <v>0</v>
      </c>
      <c r="W302">
        <v>5</v>
      </c>
      <c r="X302" s="23">
        <v>0</v>
      </c>
      <c r="Y302" s="23">
        <v>0</v>
      </c>
      <c r="Z302" s="23">
        <v>0</v>
      </c>
      <c r="AA302" s="23">
        <v>0.00321543408360129</v>
      </c>
      <c r="AB302">
        <v>0</v>
      </c>
      <c r="AC302">
        <v>0</v>
      </c>
      <c r="AD302">
        <v>0</v>
      </c>
      <c r="AE302">
        <v>2.2</v>
      </c>
      <c r="AF302" s="23" t="s">
        <v>54</v>
      </c>
      <c r="AG302" s="23" t="s">
        <v>54</v>
      </c>
      <c r="AH302" s="23" t="s">
        <v>54</v>
      </c>
      <c r="AI302" s="23" t="s">
        <v>870</v>
      </c>
      <c r="AJ302">
        <v>2</v>
      </c>
      <c r="AK302">
        <v>4</v>
      </c>
      <c r="AL302">
        <v>1</v>
      </c>
      <c r="AM302">
        <v>5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12</v>
      </c>
      <c r="AU302" s="33" t="str">
        <f t="shared" si="8"/>
        <v>库存为12</v>
      </c>
      <c r="AV302" s="38" t="str">
        <f>IFERROR(时间!$B$4+AU302,"上周无销量")</f>
        <v>上周无销量</v>
      </c>
    </row>
    <row r="303" spans="1:48">
      <c r="A303" s="21" t="s">
        <v>871</v>
      </c>
      <c r="B303" t="s">
        <v>872</v>
      </c>
      <c r="C303" t="s">
        <v>873</v>
      </c>
      <c r="D303" s="33">
        <v>0</v>
      </c>
      <c r="E303" s="33">
        <v>0</v>
      </c>
      <c r="F303" s="33">
        <v>1</v>
      </c>
      <c r="G303" s="33">
        <v>0</v>
      </c>
      <c r="H303" s="34">
        <v>18.99</v>
      </c>
      <c r="I303">
        <v>11</v>
      </c>
      <c r="J303" s="35">
        <v>0</v>
      </c>
      <c r="K303" s="35">
        <v>0</v>
      </c>
      <c r="L303" s="35">
        <v>0</v>
      </c>
      <c r="M303">
        <v>11</v>
      </c>
      <c r="N303">
        <v>0</v>
      </c>
      <c r="O303">
        <v>9</v>
      </c>
      <c r="P303">
        <v>0</v>
      </c>
      <c r="Q303">
        <v>527</v>
      </c>
      <c r="R303">
        <v>208</v>
      </c>
      <c r="S303">
        <v>131</v>
      </c>
      <c r="T303">
        <v>0</v>
      </c>
      <c r="U303">
        <v>0</v>
      </c>
      <c r="V303">
        <v>0</v>
      </c>
      <c r="W303">
        <v>0</v>
      </c>
      <c r="X303" s="23" t="s">
        <v>54</v>
      </c>
      <c r="Y303" s="23">
        <v>0</v>
      </c>
      <c r="Z303" s="23">
        <v>0</v>
      </c>
      <c r="AA303" s="23">
        <v>0</v>
      </c>
      <c r="AB303">
        <v>0</v>
      </c>
      <c r="AC303">
        <v>0</v>
      </c>
      <c r="AD303">
        <v>0</v>
      </c>
      <c r="AE303">
        <v>0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3</v>
      </c>
      <c r="AK303">
        <v>3</v>
      </c>
      <c r="AL303">
        <v>1</v>
      </c>
      <c r="AM303">
        <v>3</v>
      </c>
      <c r="AN303" s="23">
        <v>0</v>
      </c>
      <c r="AO303" s="23">
        <v>0</v>
      </c>
      <c r="AP303" s="23">
        <v>1</v>
      </c>
      <c r="AQ303" s="23">
        <v>0</v>
      </c>
      <c r="AR303" s="37">
        <v>0</v>
      </c>
      <c r="AS303" s="37">
        <v>0</v>
      </c>
      <c r="AT303" s="37">
        <v>11</v>
      </c>
      <c r="AU303" s="33" t="str">
        <f t="shared" si="8"/>
        <v>库存为11</v>
      </c>
      <c r="AV303" s="38" t="str">
        <f>IFERROR(时间!$B$4+AU303,"上周无销量")</f>
        <v>上周无销量</v>
      </c>
    </row>
    <row r="304" spans="1:48">
      <c r="A304" s="21" t="s">
        <v>874</v>
      </c>
      <c r="B304" t="s">
        <v>875</v>
      </c>
      <c r="C304" t="s">
        <v>873</v>
      </c>
      <c r="D304" s="33">
        <v>0</v>
      </c>
      <c r="E304" s="33">
        <v>1</v>
      </c>
      <c r="F304" s="33">
        <v>0</v>
      </c>
      <c r="G304" s="33">
        <v>0</v>
      </c>
      <c r="H304" s="34">
        <v>15.99</v>
      </c>
      <c r="I304">
        <v>6</v>
      </c>
      <c r="J304" s="35">
        <v>0</v>
      </c>
      <c r="K304" s="35">
        <v>0</v>
      </c>
      <c r="L304" s="35">
        <v>0</v>
      </c>
      <c r="M304">
        <v>6</v>
      </c>
      <c r="N304">
        <v>0</v>
      </c>
      <c r="O304">
        <v>5</v>
      </c>
      <c r="P304">
        <v>0</v>
      </c>
      <c r="Q304">
        <v>203</v>
      </c>
      <c r="R304">
        <v>454</v>
      </c>
      <c r="S304">
        <v>194</v>
      </c>
      <c r="T304">
        <v>0</v>
      </c>
      <c r="U304">
        <v>0</v>
      </c>
      <c r="V304">
        <v>0</v>
      </c>
      <c r="W304">
        <v>1</v>
      </c>
      <c r="X304" s="23" t="s">
        <v>54</v>
      </c>
      <c r="Y304" s="23">
        <v>0</v>
      </c>
      <c r="Z304" s="23">
        <v>0</v>
      </c>
      <c r="AA304" s="23">
        <v>0.00515463917525773</v>
      </c>
      <c r="AB304">
        <v>0</v>
      </c>
      <c r="AC304">
        <v>0</v>
      </c>
      <c r="AD304">
        <v>0</v>
      </c>
      <c r="AE304">
        <v>0.06</v>
      </c>
      <c r="AF304" s="23" t="s">
        <v>54</v>
      </c>
      <c r="AG304" s="23" t="s">
        <v>54</v>
      </c>
      <c r="AH304" s="23" t="s">
        <v>54</v>
      </c>
      <c r="AI304" s="23" t="s">
        <v>393</v>
      </c>
      <c r="AJ304">
        <v>3</v>
      </c>
      <c r="AK304">
        <v>7</v>
      </c>
      <c r="AL304">
        <v>3</v>
      </c>
      <c r="AM304">
        <v>2</v>
      </c>
      <c r="AN304" s="23">
        <v>0</v>
      </c>
      <c r="AO304" s="23">
        <v>0.142857142857143</v>
      </c>
      <c r="AP304" s="23">
        <v>0</v>
      </c>
      <c r="AQ304" s="23">
        <v>0</v>
      </c>
      <c r="AR304" s="37">
        <v>0</v>
      </c>
      <c r="AS304" s="37">
        <v>0</v>
      </c>
      <c r="AT304" s="37">
        <v>6</v>
      </c>
      <c r="AU304" s="33" t="str">
        <f t="shared" si="8"/>
        <v>库存为6</v>
      </c>
      <c r="AV304" s="38" t="str">
        <f>IFERROR(时间!$B$4+AU304,"上周无销量")</f>
        <v>上周无销量</v>
      </c>
    </row>
    <row r="305" spans="1:48">
      <c r="A305" s="21" t="s">
        <v>876</v>
      </c>
      <c r="B305" t="s">
        <v>877</v>
      </c>
      <c r="C305" t="s">
        <v>873</v>
      </c>
      <c r="D305" s="33">
        <v>1</v>
      </c>
      <c r="E305" s="33">
        <v>0</v>
      </c>
      <c r="F305" s="33">
        <v>0</v>
      </c>
      <c r="G305" s="33">
        <v>0</v>
      </c>
      <c r="H305" s="34">
        <v>15.99</v>
      </c>
      <c r="I305">
        <v>3</v>
      </c>
      <c r="J305" s="35">
        <v>0</v>
      </c>
      <c r="K305" s="35">
        <v>0</v>
      </c>
      <c r="L305" s="35">
        <v>0</v>
      </c>
      <c r="M305">
        <v>3</v>
      </c>
      <c r="N305">
        <v>0</v>
      </c>
      <c r="O305">
        <v>2</v>
      </c>
      <c r="P305">
        <v>1117</v>
      </c>
      <c r="Q305">
        <v>1309</v>
      </c>
      <c r="R305">
        <v>1738</v>
      </c>
      <c r="S305">
        <v>379</v>
      </c>
      <c r="T305">
        <v>3</v>
      </c>
      <c r="U305">
        <v>5</v>
      </c>
      <c r="V305">
        <v>4</v>
      </c>
      <c r="W305">
        <v>2</v>
      </c>
      <c r="X305" s="23">
        <v>0.0026857654431513</v>
      </c>
      <c r="Y305" s="23">
        <v>0.00381970970206264</v>
      </c>
      <c r="Z305" s="23">
        <v>0.00230149597238205</v>
      </c>
      <c r="AA305" s="23">
        <v>0.00527704485488127</v>
      </c>
      <c r="AB305">
        <v>0.84</v>
      </c>
      <c r="AC305">
        <v>1.78</v>
      </c>
      <c r="AD305">
        <v>1.27</v>
      </c>
      <c r="AE305">
        <v>0.6</v>
      </c>
      <c r="AF305" s="23">
        <v>0.0525328330206379</v>
      </c>
      <c r="AG305" s="23" t="s">
        <v>878</v>
      </c>
      <c r="AH305" s="23" t="s">
        <v>424</v>
      </c>
      <c r="AI305" s="23" t="s">
        <v>321</v>
      </c>
      <c r="AJ305">
        <v>6</v>
      </c>
      <c r="AK305">
        <v>6</v>
      </c>
      <c r="AL305">
        <v>3</v>
      </c>
      <c r="AM305">
        <v>3</v>
      </c>
      <c r="AN305" s="23">
        <v>0.166666666666667</v>
      </c>
      <c r="AO305" s="23">
        <v>0</v>
      </c>
      <c r="AP305" s="23">
        <v>0</v>
      </c>
      <c r="AQ305" s="23">
        <v>0</v>
      </c>
      <c r="AR305" s="37">
        <v>0.142857142857143</v>
      </c>
      <c r="AS305" s="37">
        <v>8.57142857142857</v>
      </c>
      <c r="AT305" s="37">
        <v>-5.57142857142857</v>
      </c>
      <c r="AU305" s="33">
        <f t="shared" si="8"/>
        <v>21</v>
      </c>
      <c r="AV305" s="38">
        <f>IFERROR(时间!$B$4+AU305,"上周无销量")</f>
        <v>43339</v>
      </c>
    </row>
    <row r="306" spans="1:48">
      <c r="A306" s="21" t="s">
        <v>879</v>
      </c>
      <c r="B306" t="s">
        <v>880</v>
      </c>
      <c r="C306" t="s">
        <v>881</v>
      </c>
      <c r="D306" s="33">
        <v>4</v>
      </c>
      <c r="E306" s="33">
        <v>1</v>
      </c>
      <c r="F306" s="33">
        <v>1</v>
      </c>
      <c r="G306" s="33">
        <v>0</v>
      </c>
      <c r="H306" s="34">
        <v>15.99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3</v>
      </c>
      <c r="P306">
        <v>812</v>
      </c>
      <c r="Q306">
        <v>697</v>
      </c>
      <c r="R306">
        <v>991</v>
      </c>
      <c r="S306">
        <v>293</v>
      </c>
      <c r="T306">
        <v>1</v>
      </c>
      <c r="U306">
        <v>2</v>
      </c>
      <c r="V306">
        <v>2</v>
      </c>
      <c r="W306">
        <v>1</v>
      </c>
      <c r="X306" s="23">
        <v>0.00123152709359606</v>
      </c>
      <c r="Y306" s="23">
        <v>0.00286944045911047</v>
      </c>
      <c r="Z306" s="23">
        <v>0.00201816347124117</v>
      </c>
      <c r="AA306" s="23">
        <v>0.00341296928327645</v>
      </c>
      <c r="AB306">
        <v>0.25</v>
      </c>
      <c r="AC306">
        <v>1.01</v>
      </c>
      <c r="AD306">
        <v>0.6</v>
      </c>
      <c r="AE306">
        <v>0.3</v>
      </c>
      <c r="AF306" s="23">
        <v>0.00390869293308318</v>
      </c>
      <c r="AG306" s="23">
        <v>0.0631644777986241</v>
      </c>
      <c r="AH306" s="23">
        <v>0.0375234521575985</v>
      </c>
      <c r="AI306" s="23" t="s">
        <v>882</v>
      </c>
      <c r="AJ306">
        <v>11</v>
      </c>
      <c r="AK306">
        <v>4</v>
      </c>
      <c r="AL306">
        <v>6</v>
      </c>
      <c r="AM306">
        <v>6</v>
      </c>
      <c r="AN306" s="23">
        <v>0.363636363636364</v>
      </c>
      <c r="AO306" s="23">
        <v>0.25</v>
      </c>
      <c r="AP306" s="23">
        <v>0.166666666666667</v>
      </c>
      <c r="AQ306" s="23">
        <v>0</v>
      </c>
      <c r="AR306" s="37">
        <v>0.571428571428571</v>
      </c>
      <c r="AS306" s="37">
        <v>34.2857142857143</v>
      </c>
      <c r="AT306" s="37">
        <v>-33.2857142857143</v>
      </c>
      <c r="AU306" s="33">
        <f t="shared" si="8"/>
        <v>1</v>
      </c>
      <c r="AV306" s="38">
        <f>IFERROR(时间!$B$4+AU306,"上周无销量")</f>
        <v>43319</v>
      </c>
    </row>
    <row r="307" spans="1:48">
      <c r="A307" s="21" t="s">
        <v>883</v>
      </c>
      <c r="B307" t="s">
        <v>884</v>
      </c>
      <c r="C307" t="s">
        <v>881</v>
      </c>
      <c r="D307" s="33">
        <v>1</v>
      </c>
      <c r="E307" s="33">
        <v>1</v>
      </c>
      <c r="F307" s="33">
        <v>0</v>
      </c>
      <c r="G307" s="33">
        <v>0</v>
      </c>
      <c r="H307" s="34">
        <v>15.99</v>
      </c>
      <c r="I307">
        <v>9</v>
      </c>
      <c r="J307" s="35">
        <v>0</v>
      </c>
      <c r="K307" s="35">
        <v>0</v>
      </c>
      <c r="L307" s="35">
        <v>0</v>
      </c>
      <c r="M307">
        <v>9</v>
      </c>
      <c r="N307">
        <v>0</v>
      </c>
      <c r="O307">
        <v>9</v>
      </c>
      <c r="P307">
        <v>407</v>
      </c>
      <c r="Q307">
        <v>1135</v>
      </c>
      <c r="R307">
        <v>466</v>
      </c>
      <c r="S307">
        <v>191</v>
      </c>
      <c r="T307">
        <v>2</v>
      </c>
      <c r="U307">
        <v>2</v>
      </c>
      <c r="V307">
        <v>2</v>
      </c>
      <c r="W307">
        <v>0</v>
      </c>
      <c r="X307" s="23">
        <v>0.00491400491400491</v>
      </c>
      <c r="Y307" s="23">
        <v>0.00176211453744493</v>
      </c>
      <c r="Z307" s="23">
        <v>0.00429184549356223</v>
      </c>
      <c r="AA307" s="23">
        <v>0</v>
      </c>
      <c r="AB307">
        <v>0.68</v>
      </c>
      <c r="AC307">
        <v>0.93</v>
      </c>
      <c r="AD307">
        <v>0.56</v>
      </c>
      <c r="AE307">
        <v>0</v>
      </c>
      <c r="AF307" s="23">
        <v>0.042526579111945</v>
      </c>
      <c r="AG307" s="23">
        <v>0.0581613508442777</v>
      </c>
      <c r="AH307" s="23" t="s">
        <v>885</v>
      </c>
      <c r="AI307" s="23" t="s">
        <v>54</v>
      </c>
      <c r="AJ307">
        <v>4</v>
      </c>
      <c r="AK307">
        <v>5</v>
      </c>
      <c r="AL307">
        <v>4</v>
      </c>
      <c r="AM307">
        <v>5</v>
      </c>
      <c r="AN307" s="23">
        <v>0.25</v>
      </c>
      <c r="AO307" s="23">
        <v>0.2</v>
      </c>
      <c r="AP307" s="23">
        <v>0</v>
      </c>
      <c r="AQ307" s="23">
        <v>0</v>
      </c>
      <c r="AR307" s="37">
        <v>0.142857142857143</v>
      </c>
      <c r="AS307" s="37">
        <v>8.57142857142857</v>
      </c>
      <c r="AT307" s="37">
        <v>0.428571428571429</v>
      </c>
      <c r="AU307" s="33">
        <f t="shared" si="8"/>
        <v>63</v>
      </c>
      <c r="AV307" s="38">
        <f>IFERROR(时间!$B$4+AU307,"上周无销量")</f>
        <v>43381</v>
      </c>
    </row>
    <row r="308" spans="1:48">
      <c r="A308" s="21" t="s">
        <v>886</v>
      </c>
      <c r="B308" t="s">
        <v>887</v>
      </c>
      <c r="C308" t="s">
        <v>881</v>
      </c>
      <c r="D308" s="33">
        <v>1</v>
      </c>
      <c r="E308" s="33">
        <v>0</v>
      </c>
      <c r="F308" s="33">
        <v>0</v>
      </c>
      <c r="G308" s="33">
        <v>0</v>
      </c>
      <c r="H308" s="34">
        <v>15.99</v>
      </c>
      <c r="I308">
        <v>7</v>
      </c>
      <c r="J308" s="35">
        <v>0</v>
      </c>
      <c r="K308" s="35">
        <v>0</v>
      </c>
      <c r="L308" s="35">
        <v>0</v>
      </c>
      <c r="M308">
        <v>7</v>
      </c>
      <c r="N308">
        <v>0</v>
      </c>
      <c r="O308">
        <v>7</v>
      </c>
      <c r="P308">
        <v>92</v>
      </c>
      <c r="Q308">
        <v>198</v>
      </c>
      <c r="R308">
        <v>110</v>
      </c>
      <c r="S308">
        <v>67</v>
      </c>
      <c r="T308">
        <v>1</v>
      </c>
      <c r="U308">
        <v>0</v>
      </c>
      <c r="V308">
        <v>1</v>
      </c>
      <c r="W308">
        <v>0</v>
      </c>
      <c r="X308" s="23">
        <v>0.0108695652173913</v>
      </c>
      <c r="Y308" s="23">
        <v>0</v>
      </c>
      <c r="Z308" s="23">
        <v>0.00909090909090909</v>
      </c>
      <c r="AA308" s="23">
        <v>0</v>
      </c>
      <c r="AB308">
        <v>0.49</v>
      </c>
      <c r="AC308">
        <v>0</v>
      </c>
      <c r="AD308">
        <v>0.3</v>
      </c>
      <c r="AE308">
        <v>0</v>
      </c>
      <c r="AF308" s="23">
        <v>0.0306441525953721</v>
      </c>
      <c r="AG308" s="23" t="s">
        <v>54</v>
      </c>
      <c r="AH308" s="23" t="s">
        <v>882</v>
      </c>
      <c r="AI308" s="23" t="s">
        <v>54</v>
      </c>
      <c r="AJ308">
        <v>8</v>
      </c>
      <c r="AK308">
        <v>6</v>
      </c>
      <c r="AL308">
        <v>9</v>
      </c>
      <c r="AM308">
        <v>2</v>
      </c>
      <c r="AN308" s="23">
        <v>0.125</v>
      </c>
      <c r="AO308" s="23">
        <v>0</v>
      </c>
      <c r="AP308" s="23">
        <v>0</v>
      </c>
      <c r="AQ308" s="23">
        <v>0</v>
      </c>
      <c r="AR308" s="37">
        <v>0.142857142857143</v>
      </c>
      <c r="AS308" s="37">
        <v>8.57142857142857</v>
      </c>
      <c r="AT308" s="37">
        <v>-1.57142857142857</v>
      </c>
      <c r="AU308" s="33">
        <f t="shared" si="8"/>
        <v>49</v>
      </c>
      <c r="AV308" s="38">
        <f>IFERROR(时间!$B$4+AU308,"上周无销量")</f>
        <v>43367</v>
      </c>
    </row>
    <row r="309" spans="1:48">
      <c r="A309" s="21" t="s">
        <v>888</v>
      </c>
      <c r="B309" t="s">
        <v>889</v>
      </c>
      <c r="C309" t="s">
        <v>881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0</v>
      </c>
      <c r="J309" s="35">
        <v>0</v>
      </c>
      <c r="K309" s="35">
        <v>0</v>
      </c>
      <c r="L309" s="35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7">
        <v>0</v>
      </c>
      <c r="AS309" s="37">
        <v>0</v>
      </c>
      <c r="AT309" s="37">
        <v>0</v>
      </c>
      <c r="AU309" s="33" t="str">
        <f t="shared" si="8"/>
        <v>库存为0</v>
      </c>
      <c r="AV309" s="38" t="str">
        <f>IFERROR(时间!$B$4+AU309,"上周无销量")</f>
        <v>上周无销量</v>
      </c>
    </row>
    <row r="310" spans="1:48">
      <c r="A310" s="21" t="s">
        <v>890</v>
      </c>
      <c r="B310" t="s">
        <v>891</v>
      </c>
      <c r="C310" t="s">
        <v>881</v>
      </c>
      <c r="D310" s="33">
        <v>2</v>
      </c>
      <c r="E310" s="33">
        <v>0</v>
      </c>
      <c r="F310" s="33">
        <v>0</v>
      </c>
      <c r="G310" s="33">
        <v>0</v>
      </c>
      <c r="H310" s="34">
        <v>15.99</v>
      </c>
      <c r="I310">
        <v>5</v>
      </c>
      <c r="J310" s="35">
        <v>0</v>
      </c>
      <c r="K310" s="35">
        <v>0</v>
      </c>
      <c r="L310" s="35">
        <v>0</v>
      </c>
      <c r="M310">
        <v>5</v>
      </c>
      <c r="N310">
        <v>0</v>
      </c>
      <c r="O310">
        <v>5</v>
      </c>
      <c r="P310">
        <v>11632</v>
      </c>
      <c r="Q310">
        <v>15450</v>
      </c>
      <c r="R310">
        <v>13922</v>
      </c>
      <c r="S310">
        <v>4221</v>
      </c>
      <c r="T310">
        <v>47</v>
      </c>
      <c r="U310">
        <v>56</v>
      </c>
      <c r="V310">
        <v>50</v>
      </c>
      <c r="W310">
        <v>27</v>
      </c>
      <c r="X310" s="23">
        <v>0.00404057771664374</v>
      </c>
      <c r="Y310" s="23">
        <v>0.00362459546925566</v>
      </c>
      <c r="Z310" s="23">
        <v>0.00359143801177992</v>
      </c>
      <c r="AA310" s="23">
        <v>0.00639658848614072</v>
      </c>
      <c r="AB310">
        <v>16.42</v>
      </c>
      <c r="AC310">
        <v>20.18</v>
      </c>
      <c r="AD310">
        <v>17.5</v>
      </c>
      <c r="AE310">
        <v>8.07</v>
      </c>
      <c r="AF310" s="23">
        <v>0.513445903689806</v>
      </c>
      <c r="AG310" s="23" t="s">
        <v>892</v>
      </c>
      <c r="AH310" s="23" t="s">
        <v>893</v>
      </c>
      <c r="AI310" s="23" t="s">
        <v>894</v>
      </c>
      <c r="AJ310">
        <v>37</v>
      </c>
      <c r="AK310">
        <v>41</v>
      </c>
      <c r="AL310">
        <v>23</v>
      </c>
      <c r="AM310">
        <v>18</v>
      </c>
      <c r="AN310" s="23">
        <v>0.0540540540540541</v>
      </c>
      <c r="AO310" s="23">
        <v>0</v>
      </c>
      <c r="AP310" s="23">
        <v>0</v>
      </c>
      <c r="AQ310" s="23">
        <v>0</v>
      </c>
      <c r="AR310" s="37">
        <v>0.285714285714286</v>
      </c>
      <c r="AS310" s="37">
        <v>17.1428571428571</v>
      </c>
      <c r="AT310" s="37">
        <v>-12.1428571428571</v>
      </c>
      <c r="AU310" s="33">
        <f t="shared" si="8"/>
        <v>17</v>
      </c>
      <c r="AV310" s="38">
        <f>IFERROR(时间!$B$4+AU310,"上周无销量")</f>
        <v>43335</v>
      </c>
    </row>
    <row r="311" spans="1:48">
      <c r="A311" s="21" t="s">
        <v>895</v>
      </c>
      <c r="B311" t="s">
        <v>896</v>
      </c>
      <c r="C311" t="s">
        <v>881</v>
      </c>
      <c r="D311" s="33">
        <v>1</v>
      </c>
      <c r="E311" s="33">
        <v>0</v>
      </c>
      <c r="F311" s="33">
        <v>1</v>
      </c>
      <c r="G311" s="33">
        <v>0</v>
      </c>
      <c r="H311" s="34">
        <v>17.49</v>
      </c>
      <c r="I311">
        <v>2</v>
      </c>
      <c r="J311" s="35">
        <v>0</v>
      </c>
      <c r="K311" s="35">
        <v>0</v>
      </c>
      <c r="L311" s="35">
        <v>0</v>
      </c>
      <c r="M311">
        <v>2</v>
      </c>
      <c r="N311">
        <v>0</v>
      </c>
      <c r="O311">
        <v>2</v>
      </c>
      <c r="P311">
        <v>1219</v>
      </c>
      <c r="Q311">
        <v>1995</v>
      </c>
      <c r="R311">
        <v>2844</v>
      </c>
      <c r="S311">
        <v>1667</v>
      </c>
      <c r="T311">
        <v>7</v>
      </c>
      <c r="U311">
        <v>4</v>
      </c>
      <c r="V311">
        <v>8</v>
      </c>
      <c r="W311">
        <v>5</v>
      </c>
      <c r="X311" s="23">
        <v>0.00574241181296144</v>
      </c>
      <c r="Y311" s="23">
        <v>0.00200501253132832</v>
      </c>
      <c r="Z311" s="23">
        <v>0.00281293952180028</v>
      </c>
      <c r="AA311" s="23">
        <v>0.002999400119976</v>
      </c>
      <c r="AB311">
        <v>3.22</v>
      </c>
      <c r="AC311">
        <v>1.98</v>
      </c>
      <c r="AD311">
        <v>2.97</v>
      </c>
      <c r="AE311">
        <v>1.74</v>
      </c>
      <c r="AF311" s="23">
        <v>0.184105202973128</v>
      </c>
      <c r="AG311" s="23" t="s">
        <v>897</v>
      </c>
      <c r="AH311" s="23">
        <v>0.169811320754717</v>
      </c>
      <c r="AI311" s="23" t="s">
        <v>842</v>
      </c>
      <c r="AJ311">
        <v>15</v>
      </c>
      <c r="AK311">
        <v>12</v>
      </c>
      <c r="AL311">
        <v>8</v>
      </c>
      <c r="AM311">
        <v>8</v>
      </c>
      <c r="AN311" s="23">
        <v>0.0666666666666667</v>
      </c>
      <c r="AO311" s="23">
        <v>0</v>
      </c>
      <c r="AP311" s="23">
        <v>0.125</v>
      </c>
      <c r="AQ311" s="23">
        <v>0</v>
      </c>
      <c r="AR311" s="37">
        <v>0.142857142857143</v>
      </c>
      <c r="AS311" s="37">
        <v>8.57142857142857</v>
      </c>
      <c r="AT311" s="37">
        <v>-6.57142857142857</v>
      </c>
      <c r="AU311" s="33">
        <f t="shared" si="8"/>
        <v>14</v>
      </c>
      <c r="AV311" s="38">
        <f>IFERROR(时间!$B$4+AU311,"上周无销量")</f>
        <v>43332</v>
      </c>
    </row>
    <row r="312" spans="1:48">
      <c r="A312" s="21" t="s">
        <v>898</v>
      </c>
      <c r="B312" t="s">
        <v>899</v>
      </c>
      <c r="C312" t="s">
        <v>881</v>
      </c>
      <c r="D312" s="33">
        <v>1</v>
      </c>
      <c r="E312" s="33">
        <v>0</v>
      </c>
      <c r="F312" s="33">
        <v>0</v>
      </c>
      <c r="G312" s="33">
        <v>0</v>
      </c>
      <c r="H312" s="34">
        <v>15.99</v>
      </c>
      <c r="I312">
        <v>11</v>
      </c>
      <c r="J312" s="35">
        <v>0</v>
      </c>
      <c r="K312" s="35">
        <v>0</v>
      </c>
      <c r="L312" s="35">
        <v>0</v>
      </c>
      <c r="M312">
        <v>11</v>
      </c>
      <c r="N312">
        <v>0</v>
      </c>
      <c r="O312">
        <v>11</v>
      </c>
      <c r="P312">
        <v>2282</v>
      </c>
      <c r="Q312">
        <v>2144</v>
      </c>
      <c r="R312">
        <v>2235</v>
      </c>
      <c r="S312">
        <v>1039</v>
      </c>
      <c r="T312">
        <v>1</v>
      </c>
      <c r="U312">
        <v>6</v>
      </c>
      <c r="V312">
        <v>6</v>
      </c>
      <c r="W312">
        <v>3</v>
      </c>
      <c r="X312" s="23">
        <v>0.000438212094653812</v>
      </c>
      <c r="Y312" s="23">
        <v>0.00279850746268657</v>
      </c>
      <c r="Z312" s="23">
        <v>0.00268456375838926</v>
      </c>
      <c r="AA312" s="23">
        <v>0.00288739172281039</v>
      </c>
      <c r="AB312">
        <v>0.26</v>
      </c>
      <c r="AC312">
        <v>1.87</v>
      </c>
      <c r="AD312">
        <v>2.04</v>
      </c>
      <c r="AE312">
        <v>0.71</v>
      </c>
      <c r="AF312" s="23">
        <v>0.016260162601626</v>
      </c>
      <c r="AG312" s="23" t="s">
        <v>272</v>
      </c>
      <c r="AH312" s="23" t="s">
        <v>900</v>
      </c>
      <c r="AI312" s="23" t="s">
        <v>327</v>
      </c>
      <c r="AJ312">
        <v>4</v>
      </c>
      <c r="AK312">
        <v>7</v>
      </c>
      <c r="AL312">
        <v>4</v>
      </c>
      <c r="AM312">
        <v>3</v>
      </c>
      <c r="AN312" s="23">
        <v>0.25</v>
      </c>
      <c r="AO312" s="23">
        <v>0</v>
      </c>
      <c r="AP312" s="23">
        <v>0</v>
      </c>
      <c r="AQ312" s="23">
        <v>0</v>
      </c>
      <c r="AR312" s="37">
        <v>0.142857142857143</v>
      </c>
      <c r="AS312" s="37">
        <v>8.57142857142857</v>
      </c>
      <c r="AT312" s="37">
        <v>2.42857142857143</v>
      </c>
      <c r="AU312" s="33">
        <f t="shared" si="8"/>
        <v>77</v>
      </c>
      <c r="AV312" s="38">
        <f>IFERROR(时间!$B$4+AU312,"上周无销量")</f>
        <v>43395</v>
      </c>
    </row>
    <row r="313" spans="1:48">
      <c r="A313" s="21" t="s">
        <v>901</v>
      </c>
      <c r="B313" t="s">
        <v>902</v>
      </c>
      <c r="C313" t="s">
        <v>881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13</v>
      </c>
      <c r="J313" s="35">
        <v>0</v>
      </c>
      <c r="K313" s="35">
        <v>0</v>
      </c>
      <c r="L313" s="35">
        <v>0</v>
      </c>
      <c r="M313">
        <v>13</v>
      </c>
      <c r="N313">
        <v>0</v>
      </c>
      <c r="O313">
        <v>13</v>
      </c>
      <c r="P313">
        <v>8452</v>
      </c>
      <c r="Q313">
        <v>8624</v>
      </c>
      <c r="R313">
        <v>12636</v>
      </c>
      <c r="S313">
        <v>2098</v>
      </c>
      <c r="T313">
        <v>17</v>
      </c>
      <c r="U313">
        <v>19</v>
      </c>
      <c r="V313">
        <v>31</v>
      </c>
      <c r="W313">
        <v>9</v>
      </c>
      <c r="X313" s="23">
        <v>0.00201135825840038</v>
      </c>
      <c r="Y313" s="23">
        <v>0.00220315398886827</v>
      </c>
      <c r="Z313" s="23">
        <v>0.00245330800886356</v>
      </c>
      <c r="AA313" s="23">
        <v>0.00428979980934223</v>
      </c>
      <c r="AB313">
        <v>6.87</v>
      </c>
      <c r="AC313">
        <v>8.52</v>
      </c>
      <c r="AD313">
        <v>11.5</v>
      </c>
      <c r="AE313">
        <v>2.88</v>
      </c>
      <c r="AF313" s="23" t="s">
        <v>903</v>
      </c>
      <c r="AG313" s="23" t="s">
        <v>904</v>
      </c>
      <c r="AH313" s="23" t="s">
        <v>905</v>
      </c>
      <c r="AI313" s="23" t="s">
        <v>906</v>
      </c>
      <c r="AJ313">
        <v>9</v>
      </c>
      <c r="AK313">
        <v>7</v>
      </c>
      <c r="AL313">
        <v>8</v>
      </c>
      <c r="AM313">
        <v>6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13</v>
      </c>
      <c r="AU313" s="33" t="str">
        <f t="shared" si="8"/>
        <v>库存为13</v>
      </c>
      <c r="AV313" s="38" t="str">
        <f>IFERROR(时间!$B$4+AU313,"上周无销量")</f>
        <v>上周无销量</v>
      </c>
    </row>
    <row r="314" spans="1:48">
      <c r="A314" s="21" t="s">
        <v>907</v>
      </c>
      <c r="B314" t="s">
        <v>908</v>
      </c>
      <c r="C314" t="s">
        <v>881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10</v>
      </c>
      <c r="J314" s="35">
        <v>0</v>
      </c>
      <c r="K314" s="35">
        <v>0</v>
      </c>
      <c r="L314" s="35">
        <v>0</v>
      </c>
      <c r="M314">
        <v>10</v>
      </c>
      <c r="N314">
        <v>0</v>
      </c>
      <c r="O314">
        <v>10</v>
      </c>
      <c r="P314">
        <v>53</v>
      </c>
      <c r="Q314">
        <v>83</v>
      </c>
      <c r="R314">
        <v>75</v>
      </c>
      <c r="S314">
        <v>58</v>
      </c>
      <c r="T314">
        <v>0</v>
      </c>
      <c r="U314">
        <v>0</v>
      </c>
      <c r="V314">
        <v>0</v>
      </c>
      <c r="W314">
        <v>0</v>
      </c>
      <c r="X314" s="23">
        <v>0</v>
      </c>
      <c r="Y314" s="23">
        <v>0</v>
      </c>
      <c r="Z314" s="23">
        <v>0</v>
      </c>
      <c r="AA314" s="23">
        <v>0</v>
      </c>
      <c r="AB314">
        <v>0</v>
      </c>
      <c r="AC314">
        <v>0</v>
      </c>
      <c r="AD314">
        <v>0</v>
      </c>
      <c r="AE314">
        <v>0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4</v>
      </c>
      <c r="AK314">
        <v>2</v>
      </c>
      <c r="AL314">
        <v>2</v>
      </c>
      <c r="AM314">
        <v>2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10</v>
      </c>
      <c r="AU314" s="33" t="str">
        <f t="shared" si="8"/>
        <v>库存为10</v>
      </c>
      <c r="AV314" s="38" t="str">
        <f>IFERROR(时间!$B$4+AU314,"上周无销量")</f>
        <v>上周无销量</v>
      </c>
    </row>
    <row r="315" spans="1:48">
      <c r="A315" s="21" t="s">
        <v>909</v>
      </c>
      <c r="B315" t="s">
        <v>910</v>
      </c>
      <c r="C315" t="s">
        <v>911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7</v>
      </c>
      <c r="J315" s="35">
        <v>0</v>
      </c>
      <c r="K315" s="35">
        <v>0</v>
      </c>
      <c r="L315" s="35">
        <v>0</v>
      </c>
      <c r="M315">
        <v>7</v>
      </c>
      <c r="N315">
        <v>0</v>
      </c>
      <c r="O315">
        <v>7</v>
      </c>
      <c r="P315">
        <v>288</v>
      </c>
      <c r="Q315">
        <v>202</v>
      </c>
      <c r="R315">
        <v>383</v>
      </c>
      <c r="S315">
        <v>182</v>
      </c>
      <c r="T315">
        <v>1</v>
      </c>
      <c r="U315">
        <v>0</v>
      </c>
      <c r="V315">
        <v>1</v>
      </c>
      <c r="W315">
        <v>1</v>
      </c>
      <c r="X315" s="23">
        <v>0.00347222222222222</v>
      </c>
      <c r="Y315" s="23">
        <v>0</v>
      </c>
      <c r="Z315" s="23">
        <v>0.00261096605744125</v>
      </c>
      <c r="AA315" s="23">
        <v>0.00549450549450549</v>
      </c>
      <c r="AB315">
        <v>0.3</v>
      </c>
      <c r="AC315">
        <v>0</v>
      </c>
      <c r="AD315">
        <v>0.48</v>
      </c>
      <c r="AE315">
        <v>0.33</v>
      </c>
      <c r="AF315" s="23" t="s">
        <v>882</v>
      </c>
      <c r="AG315" s="23" t="s">
        <v>54</v>
      </c>
      <c r="AH315" s="23" t="s">
        <v>912</v>
      </c>
      <c r="AI315" s="23" t="s">
        <v>242</v>
      </c>
      <c r="AJ315">
        <v>7</v>
      </c>
      <c r="AK315">
        <v>1</v>
      </c>
      <c r="AL315">
        <v>4</v>
      </c>
      <c r="AM315">
        <v>1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7</v>
      </c>
      <c r="AU315" s="33" t="str">
        <f t="shared" si="8"/>
        <v>库存为7</v>
      </c>
      <c r="AV315" s="38" t="str">
        <f>IFERROR(时间!$B$4+AU315,"上周无销量")</f>
        <v>上周无销量</v>
      </c>
    </row>
    <row r="316" spans="1:48">
      <c r="A316" s="21" t="s">
        <v>913</v>
      </c>
      <c r="B316" t="s">
        <v>914</v>
      </c>
      <c r="C316" t="s">
        <v>911</v>
      </c>
      <c r="D316" s="33">
        <v>0</v>
      </c>
      <c r="E316" s="33">
        <v>0</v>
      </c>
      <c r="F316" s="33">
        <v>1</v>
      </c>
      <c r="G316" s="33">
        <v>0</v>
      </c>
      <c r="H316" s="34">
        <v>18.99</v>
      </c>
      <c r="I316">
        <v>9</v>
      </c>
      <c r="J316" s="35">
        <v>0</v>
      </c>
      <c r="K316" s="35">
        <v>0</v>
      </c>
      <c r="L316" s="35">
        <v>0</v>
      </c>
      <c r="M316">
        <v>9</v>
      </c>
      <c r="N316">
        <v>0</v>
      </c>
      <c r="O316">
        <v>9</v>
      </c>
      <c r="P316">
        <v>782</v>
      </c>
      <c r="Q316">
        <v>884</v>
      </c>
      <c r="R316">
        <v>591</v>
      </c>
      <c r="S316">
        <v>356</v>
      </c>
      <c r="T316">
        <v>2</v>
      </c>
      <c r="U316">
        <v>1</v>
      </c>
      <c r="V316">
        <v>5</v>
      </c>
      <c r="W316">
        <v>1</v>
      </c>
      <c r="X316" s="23">
        <v>0.00255754475703325</v>
      </c>
      <c r="Y316" s="23">
        <v>0.00113122171945701</v>
      </c>
      <c r="Z316" s="23">
        <v>0.00846023688663283</v>
      </c>
      <c r="AA316" s="23">
        <v>0.00280898876404494</v>
      </c>
      <c r="AB316">
        <v>0.44</v>
      </c>
      <c r="AC316">
        <v>0.43</v>
      </c>
      <c r="AD316">
        <v>2.27</v>
      </c>
      <c r="AE316">
        <v>0.05</v>
      </c>
      <c r="AF316" s="23" t="s">
        <v>294</v>
      </c>
      <c r="AG316" s="23" t="s">
        <v>915</v>
      </c>
      <c r="AH316" s="23">
        <v>0.119536598209584</v>
      </c>
      <c r="AI316" s="23" t="s">
        <v>303</v>
      </c>
      <c r="AJ316">
        <v>2</v>
      </c>
      <c r="AK316">
        <v>4</v>
      </c>
      <c r="AL316">
        <v>3</v>
      </c>
      <c r="AM316">
        <v>2</v>
      </c>
      <c r="AN316" s="23">
        <v>0</v>
      </c>
      <c r="AO316" s="23">
        <v>0</v>
      </c>
      <c r="AP316" s="23">
        <v>0.333333333333333</v>
      </c>
      <c r="AQ316" s="23">
        <v>0</v>
      </c>
      <c r="AR316" s="37">
        <v>0</v>
      </c>
      <c r="AS316" s="37">
        <v>0</v>
      </c>
      <c r="AT316" s="37">
        <v>9</v>
      </c>
      <c r="AU316" s="33" t="str">
        <f t="shared" si="8"/>
        <v>库存为9</v>
      </c>
      <c r="AV316" s="38" t="str">
        <f>IFERROR(时间!$B$4+AU316,"上周无销量")</f>
        <v>上周无销量</v>
      </c>
    </row>
    <row r="317" spans="1:48">
      <c r="A317" s="21" t="s">
        <v>916</v>
      </c>
      <c r="B317" t="s">
        <v>917</v>
      </c>
      <c r="C317" t="s">
        <v>911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10</v>
      </c>
      <c r="J317" s="35">
        <v>0</v>
      </c>
      <c r="K317" s="35">
        <v>0</v>
      </c>
      <c r="L317" s="35">
        <v>0</v>
      </c>
      <c r="M317">
        <v>10</v>
      </c>
      <c r="N317">
        <v>0</v>
      </c>
      <c r="O317">
        <v>10</v>
      </c>
      <c r="P317">
        <v>161</v>
      </c>
      <c r="Q317">
        <v>198</v>
      </c>
      <c r="R317">
        <v>271</v>
      </c>
      <c r="S317">
        <v>75</v>
      </c>
      <c r="T317">
        <v>0</v>
      </c>
      <c r="U317">
        <v>0</v>
      </c>
      <c r="V317">
        <v>1</v>
      </c>
      <c r="W317">
        <v>1</v>
      </c>
      <c r="X317" s="23">
        <v>0</v>
      </c>
      <c r="Y317" s="23">
        <v>0</v>
      </c>
      <c r="Z317" s="23">
        <v>0.003690036900369</v>
      </c>
      <c r="AA317" s="23">
        <v>0.0133333333333333</v>
      </c>
      <c r="AB317">
        <v>0</v>
      </c>
      <c r="AC317">
        <v>0</v>
      </c>
      <c r="AD317">
        <v>0.3</v>
      </c>
      <c r="AE317">
        <v>0.08</v>
      </c>
      <c r="AF317" s="23" t="s">
        <v>54</v>
      </c>
      <c r="AG317" s="23" t="s">
        <v>54</v>
      </c>
      <c r="AH317" s="23" t="s">
        <v>882</v>
      </c>
      <c r="AI317" s="23" t="s">
        <v>368</v>
      </c>
      <c r="AJ317">
        <v>1</v>
      </c>
      <c r="AK317">
        <v>4</v>
      </c>
      <c r="AL317">
        <v>6</v>
      </c>
      <c r="AM317">
        <v>4</v>
      </c>
      <c r="AN317" s="23">
        <v>0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10</v>
      </c>
      <c r="AU317" s="33" t="str">
        <f t="shared" si="8"/>
        <v>库存为10</v>
      </c>
      <c r="AV317" s="38" t="str">
        <f>IFERROR(时间!$B$4+AU317,"上周无销量")</f>
        <v>上周无销量</v>
      </c>
    </row>
    <row r="318" spans="1:48">
      <c r="A318" s="21" t="s">
        <v>918</v>
      </c>
      <c r="B318" t="s">
        <v>919</v>
      </c>
      <c r="C318" t="s">
        <v>911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4</v>
      </c>
      <c r="J318" s="35">
        <v>0</v>
      </c>
      <c r="K318" s="35">
        <v>0</v>
      </c>
      <c r="L318" s="35">
        <v>0</v>
      </c>
      <c r="M318">
        <v>4</v>
      </c>
      <c r="N318">
        <v>0</v>
      </c>
      <c r="O318">
        <v>4</v>
      </c>
      <c r="P318">
        <v>185</v>
      </c>
      <c r="Q318">
        <v>237</v>
      </c>
      <c r="R318">
        <v>271</v>
      </c>
      <c r="S318">
        <v>100</v>
      </c>
      <c r="T318">
        <v>0</v>
      </c>
      <c r="U318">
        <v>0</v>
      </c>
      <c r="V318">
        <v>0</v>
      </c>
      <c r="W318">
        <v>0</v>
      </c>
      <c r="X318" s="23">
        <v>0</v>
      </c>
      <c r="Y318" s="23">
        <v>0</v>
      </c>
      <c r="Z318" s="23">
        <v>0</v>
      </c>
      <c r="AA318" s="23">
        <v>0</v>
      </c>
      <c r="AB318">
        <v>0</v>
      </c>
      <c r="AC318">
        <v>0</v>
      </c>
      <c r="AD318">
        <v>0</v>
      </c>
      <c r="AE318">
        <v>0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4</v>
      </c>
      <c r="AK318">
        <v>1</v>
      </c>
      <c r="AL318">
        <v>2</v>
      </c>
      <c r="AM318">
        <v>4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4</v>
      </c>
      <c r="AU318" s="33" t="str">
        <f t="shared" si="8"/>
        <v>库存为4</v>
      </c>
      <c r="AV318" s="38" t="str">
        <f>IFERROR(时间!$B$4+AU318,"上周无销量")</f>
        <v>上周无销量</v>
      </c>
    </row>
    <row r="319" spans="1:48">
      <c r="A319" s="21" t="s">
        <v>920</v>
      </c>
      <c r="B319" t="s">
        <v>921</v>
      </c>
      <c r="C319" t="s">
        <v>911</v>
      </c>
      <c r="D319" s="33">
        <v>1</v>
      </c>
      <c r="E319" s="33">
        <v>0</v>
      </c>
      <c r="F319" s="33">
        <v>0</v>
      </c>
      <c r="G319" s="33">
        <v>0</v>
      </c>
      <c r="H319" s="34">
        <v>15.99</v>
      </c>
      <c r="I319">
        <v>4</v>
      </c>
      <c r="J319" s="35">
        <v>0</v>
      </c>
      <c r="K319" s="35">
        <v>0</v>
      </c>
      <c r="L319" s="35">
        <v>0</v>
      </c>
      <c r="M319">
        <v>4</v>
      </c>
      <c r="N319">
        <v>0</v>
      </c>
      <c r="O319">
        <v>4</v>
      </c>
      <c r="P319">
        <v>52</v>
      </c>
      <c r="Q319">
        <v>161</v>
      </c>
      <c r="R319">
        <v>239</v>
      </c>
      <c r="S319">
        <v>53</v>
      </c>
      <c r="T319">
        <v>0</v>
      </c>
      <c r="U319">
        <v>0</v>
      </c>
      <c r="V319">
        <v>1</v>
      </c>
      <c r="W319">
        <v>0</v>
      </c>
      <c r="X319" s="23">
        <v>0</v>
      </c>
      <c r="Y319" s="23">
        <v>0</v>
      </c>
      <c r="Z319" s="23">
        <v>0.00418410041841004</v>
      </c>
      <c r="AA319" s="23">
        <v>0</v>
      </c>
      <c r="AB319">
        <v>0</v>
      </c>
      <c r="AC319">
        <v>0</v>
      </c>
      <c r="AD319">
        <v>0.5</v>
      </c>
      <c r="AE319">
        <v>0</v>
      </c>
      <c r="AF319" s="23" t="s">
        <v>54</v>
      </c>
      <c r="AG319" s="23" t="s">
        <v>54</v>
      </c>
      <c r="AH319" s="23" t="s">
        <v>481</v>
      </c>
      <c r="AI319" s="23" t="s">
        <v>54</v>
      </c>
      <c r="AJ319">
        <v>7</v>
      </c>
      <c r="AK319">
        <v>5</v>
      </c>
      <c r="AL319">
        <v>3</v>
      </c>
      <c r="AM319">
        <v>3</v>
      </c>
      <c r="AN319" s="23">
        <v>0.142857142857143</v>
      </c>
      <c r="AO319" s="23">
        <v>0</v>
      </c>
      <c r="AP319" s="23">
        <v>0</v>
      </c>
      <c r="AQ319" s="23">
        <v>0</v>
      </c>
      <c r="AR319" s="37">
        <v>0.142857142857143</v>
      </c>
      <c r="AS319" s="37">
        <v>8.57142857142857</v>
      </c>
      <c r="AT319" s="37">
        <v>-4.57142857142857</v>
      </c>
      <c r="AU319" s="33">
        <f t="shared" si="8"/>
        <v>28</v>
      </c>
      <c r="AV319" s="38">
        <f>IFERROR(时间!$B$4+AU319,"上周无销量")</f>
        <v>43346</v>
      </c>
    </row>
    <row r="320" spans="1:48">
      <c r="A320" s="21" t="s">
        <v>922</v>
      </c>
      <c r="B320" t="s">
        <v>923</v>
      </c>
      <c r="C320" t="s">
        <v>911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26</v>
      </c>
      <c r="J320" s="35">
        <v>0</v>
      </c>
      <c r="K320" s="35">
        <v>0</v>
      </c>
      <c r="L320" s="35">
        <v>0</v>
      </c>
      <c r="M320">
        <v>26</v>
      </c>
      <c r="N320">
        <v>0</v>
      </c>
      <c r="O320">
        <v>26</v>
      </c>
      <c r="P320">
        <v>12966</v>
      </c>
      <c r="Q320">
        <v>16491</v>
      </c>
      <c r="R320">
        <v>19780</v>
      </c>
      <c r="S320">
        <v>4646</v>
      </c>
      <c r="T320">
        <v>30</v>
      </c>
      <c r="U320">
        <v>41</v>
      </c>
      <c r="V320">
        <v>46</v>
      </c>
      <c r="W320">
        <v>19</v>
      </c>
      <c r="X320" s="23">
        <v>0.002313743637205</v>
      </c>
      <c r="Y320" s="23">
        <v>0.00248620459644655</v>
      </c>
      <c r="Z320" s="23">
        <v>0.00232558139534884</v>
      </c>
      <c r="AA320" s="23">
        <v>0.00408953938872148</v>
      </c>
      <c r="AB320">
        <v>12.07</v>
      </c>
      <c r="AC320">
        <v>14.72</v>
      </c>
      <c r="AD320">
        <v>16.38</v>
      </c>
      <c r="AE320">
        <v>6.14</v>
      </c>
      <c r="AF320" s="23" t="s">
        <v>924</v>
      </c>
      <c r="AG320" s="23" t="s">
        <v>925</v>
      </c>
      <c r="AH320" s="23" t="s">
        <v>926</v>
      </c>
      <c r="AI320" s="23" t="s">
        <v>927</v>
      </c>
      <c r="AJ320">
        <v>15</v>
      </c>
      <c r="AK320">
        <v>24</v>
      </c>
      <c r="AL320">
        <v>17</v>
      </c>
      <c r="AM320">
        <v>12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26</v>
      </c>
      <c r="AU320" s="33" t="str">
        <f t="shared" si="8"/>
        <v>库存为26</v>
      </c>
      <c r="AV320" s="38" t="str">
        <f>IFERROR(时间!$B$4+AU320,"上周无销量")</f>
        <v>上周无销量</v>
      </c>
    </row>
    <row r="321" spans="1:48">
      <c r="A321" s="21" t="s">
        <v>928</v>
      </c>
      <c r="B321" t="s">
        <v>929</v>
      </c>
      <c r="C321" t="s">
        <v>911</v>
      </c>
      <c r="D321" s="33">
        <v>0</v>
      </c>
      <c r="E321" s="33">
        <v>0</v>
      </c>
      <c r="F321" s="33">
        <v>1</v>
      </c>
      <c r="G321" s="33">
        <v>0</v>
      </c>
      <c r="H321" s="34">
        <v>15.19</v>
      </c>
      <c r="I321">
        <v>27</v>
      </c>
      <c r="J321" s="35">
        <v>0</v>
      </c>
      <c r="K321" s="35">
        <v>0</v>
      </c>
      <c r="L321" s="35">
        <v>0</v>
      </c>
      <c r="M321">
        <v>27</v>
      </c>
      <c r="N321">
        <v>0</v>
      </c>
      <c r="O321">
        <v>27</v>
      </c>
      <c r="P321">
        <v>417</v>
      </c>
      <c r="Q321">
        <v>678</v>
      </c>
      <c r="R321">
        <v>1115</v>
      </c>
      <c r="S321">
        <v>384</v>
      </c>
      <c r="T321">
        <v>1</v>
      </c>
      <c r="U321">
        <v>0</v>
      </c>
      <c r="V321">
        <v>6</v>
      </c>
      <c r="W321">
        <v>0</v>
      </c>
      <c r="X321" s="23">
        <v>0.00239808153477218</v>
      </c>
      <c r="Y321" s="23">
        <v>0</v>
      </c>
      <c r="Z321" s="23">
        <v>0.00538116591928251</v>
      </c>
      <c r="AA321" s="23">
        <v>0</v>
      </c>
      <c r="AB321">
        <v>0.25</v>
      </c>
      <c r="AC321">
        <v>0</v>
      </c>
      <c r="AD321">
        <v>1.62</v>
      </c>
      <c r="AE321">
        <v>0</v>
      </c>
      <c r="AF321" s="23" t="s">
        <v>930</v>
      </c>
      <c r="AG321" s="23" t="s">
        <v>54</v>
      </c>
      <c r="AH321" s="23">
        <v>0.106649111257406</v>
      </c>
      <c r="AI321" s="23" t="s">
        <v>54</v>
      </c>
      <c r="AJ321">
        <v>2</v>
      </c>
      <c r="AK321">
        <v>3</v>
      </c>
      <c r="AL321">
        <v>3</v>
      </c>
      <c r="AM321">
        <v>5</v>
      </c>
      <c r="AN321" s="23">
        <v>0</v>
      </c>
      <c r="AO321" s="23">
        <v>0</v>
      </c>
      <c r="AP321" s="23">
        <v>0.333333333333333</v>
      </c>
      <c r="AQ321" s="23">
        <v>0</v>
      </c>
      <c r="AR321" s="37">
        <v>0</v>
      </c>
      <c r="AS321" s="37">
        <v>0</v>
      </c>
      <c r="AT321" s="37">
        <v>27</v>
      </c>
      <c r="AU321" s="33" t="str">
        <f t="shared" si="8"/>
        <v>库存为27</v>
      </c>
      <c r="AV321" s="38" t="str">
        <f>IFERROR(时间!$B$4+AU321,"上周无销量")</f>
        <v>上周无销量</v>
      </c>
    </row>
    <row r="322" spans="1:48">
      <c r="A322" s="21" t="s">
        <v>931</v>
      </c>
      <c r="B322" t="s">
        <v>932</v>
      </c>
      <c r="C322" t="s">
        <v>911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18</v>
      </c>
      <c r="J322" s="35">
        <v>0</v>
      </c>
      <c r="K322" s="35">
        <v>0</v>
      </c>
      <c r="L322" s="35">
        <v>0</v>
      </c>
      <c r="M322">
        <v>18</v>
      </c>
      <c r="N322">
        <v>0</v>
      </c>
      <c r="O322">
        <v>18</v>
      </c>
      <c r="P322">
        <v>609</v>
      </c>
      <c r="Q322">
        <v>589</v>
      </c>
      <c r="R322">
        <v>589</v>
      </c>
      <c r="S322">
        <v>338</v>
      </c>
      <c r="T322">
        <v>3</v>
      </c>
      <c r="U322">
        <v>3</v>
      </c>
      <c r="V322">
        <v>3</v>
      </c>
      <c r="W322">
        <v>3</v>
      </c>
      <c r="X322" s="23">
        <v>0.00492610837438424</v>
      </c>
      <c r="Y322" s="23">
        <v>0.00509337860780985</v>
      </c>
      <c r="Z322" s="23">
        <v>0.00509337860780985</v>
      </c>
      <c r="AA322" s="23">
        <v>0.00887573964497041</v>
      </c>
      <c r="AB322">
        <v>1.36</v>
      </c>
      <c r="AC322">
        <v>1.4</v>
      </c>
      <c r="AD322">
        <v>1.65</v>
      </c>
      <c r="AE322">
        <v>1.16</v>
      </c>
      <c r="AF322" s="23" t="s">
        <v>445</v>
      </c>
      <c r="AG322" s="23" t="s">
        <v>933</v>
      </c>
      <c r="AH322" s="23" t="s">
        <v>934</v>
      </c>
      <c r="AI322" s="23" t="s">
        <v>285</v>
      </c>
      <c r="AJ322">
        <v>9</v>
      </c>
      <c r="AK322">
        <v>4</v>
      </c>
      <c r="AL322">
        <v>1</v>
      </c>
      <c r="AM322">
        <v>5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18</v>
      </c>
      <c r="AU322" s="33" t="str">
        <f t="shared" si="8"/>
        <v>库存为18</v>
      </c>
      <c r="AV322" s="38" t="str">
        <f>IFERROR(时间!$B$4+AU322,"上周无销量")</f>
        <v>上周无销量</v>
      </c>
    </row>
    <row r="323" spans="1:48">
      <c r="A323" s="21" t="s">
        <v>935</v>
      </c>
      <c r="B323" t="s">
        <v>936</v>
      </c>
      <c r="C323" t="s">
        <v>911</v>
      </c>
      <c r="D323" s="33">
        <v>4</v>
      </c>
      <c r="E323" s="33">
        <v>1</v>
      </c>
      <c r="F323" s="33">
        <v>0</v>
      </c>
      <c r="G323" s="33">
        <v>0</v>
      </c>
      <c r="H323" s="34">
        <v>15.99</v>
      </c>
      <c r="I323">
        <v>10</v>
      </c>
      <c r="J323" s="35">
        <v>0</v>
      </c>
      <c r="K323" s="35">
        <v>0</v>
      </c>
      <c r="L323" s="35">
        <v>0</v>
      </c>
      <c r="M323">
        <v>10</v>
      </c>
      <c r="N323">
        <v>0</v>
      </c>
      <c r="O323">
        <v>9</v>
      </c>
      <c r="P323">
        <v>11055</v>
      </c>
      <c r="Q323">
        <v>3515</v>
      </c>
      <c r="R323">
        <v>4235</v>
      </c>
      <c r="S323">
        <v>1158</v>
      </c>
      <c r="T323">
        <v>39</v>
      </c>
      <c r="U323">
        <v>13</v>
      </c>
      <c r="V323">
        <v>17</v>
      </c>
      <c r="W323">
        <v>6</v>
      </c>
      <c r="X323" s="23">
        <v>0.00352781546811398</v>
      </c>
      <c r="Y323" s="23">
        <v>0.00369843527738265</v>
      </c>
      <c r="Z323" s="23">
        <v>0.00401416765053129</v>
      </c>
      <c r="AA323" s="23">
        <v>0.00518134715025907</v>
      </c>
      <c r="AB323">
        <v>15.87</v>
      </c>
      <c r="AC323">
        <v>5.23</v>
      </c>
      <c r="AD323">
        <v>6.04</v>
      </c>
      <c r="AE323">
        <v>1.37</v>
      </c>
      <c r="AF323" s="23">
        <v>0.24812382739212</v>
      </c>
      <c r="AG323" s="23">
        <v>0.3270794246404</v>
      </c>
      <c r="AH323" s="23" t="s">
        <v>937</v>
      </c>
      <c r="AI323" s="23" t="s">
        <v>685</v>
      </c>
      <c r="AJ323">
        <v>18</v>
      </c>
      <c r="AK323">
        <v>11</v>
      </c>
      <c r="AL323">
        <v>6</v>
      </c>
      <c r="AM323">
        <v>4</v>
      </c>
      <c r="AN323" s="23">
        <v>0.222222222222222</v>
      </c>
      <c r="AO323" s="23">
        <v>0.0909090909090909</v>
      </c>
      <c r="AP323" s="23">
        <v>0</v>
      </c>
      <c r="AQ323" s="23">
        <v>0</v>
      </c>
      <c r="AR323" s="37">
        <v>0.571428571428571</v>
      </c>
      <c r="AS323" s="37">
        <v>34.2857142857143</v>
      </c>
      <c r="AT323" s="37">
        <v>-24.2857142857143</v>
      </c>
      <c r="AU323" s="33">
        <f t="shared" si="8"/>
        <v>17</v>
      </c>
      <c r="AV323" s="38">
        <f>IFERROR(时间!$B$4+AU323,"上周无销量")</f>
        <v>43335</v>
      </c>
    </row>
    <row r="324" spans="1:48">
      <c r="A324" s="21" t="s">
        <v>938</v>
      </c>
      <c r="B324" t="s">
        <v>939</v>
      </c>
      <c r="C324" t="s">
        <v>940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0</v>
      </c>
      <c r="J324" s="35">
        <v>0</v>
      </c>
      <c r="K324" s="35">
        <v>0</v>
      </c>
      <c r="L324" s="35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7">
        <v>0</v>
      </c>
      <c r="AS324" s="37">
        <v>0</v>
      </c>
      <c r="AT324" s="37">
        <v>0</v>
      </c>
      <c r="AU324" s="33" t="str">
        <f t="shared" si="8"/>
        <v>库存为0</v>
      </c>
      <c r="AV324" s="38" t="str">
        <f>IFERROR(时间!$B$4+AU324,"上周无销量")</f>
        <v>上周无销量</v>
      </c>
    </row>
    <row r="325" spans="1:48">
      <c r="A325" s="21" t="s">
        <v>941</v>
      </c>
      <c r="B325" t="s">
        <v>942</v>
      </c>
      <c r="C325" t="s">
        <v>940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7">
        <v>0</v>
      </c>
      <c r="AS325" s="37">
        <v>0</v>
      </c>
      <c r="AT325" s="37">
        <v>0</v>
      </c>
      <c r="AU325" s="33" t="str">
        <f t="shared" ref="AU325:AU388" si="9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943</v>
      </c>
      <c r="B326" t="s">
        <v>944</v>
      </c>
      <c r="C326" t="s">
        <v>940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7">
        <v>0</v>
      </c>
      <c r="AS326" s="37">
        <v>0</v>
      </c>
      <c r="AT326" s="37">
        <v>0</v>
      </c>
      <c r="AU326" s="33" t="str">
        <f t="shared" si="9"/>
        <v>库存为0</v>
      </c>
      <c r="AV326" s="38" t="str">
        <f>IFERROR(时间!$B$4+AU326,"上周无销量")</f>
        <v>上周无销量</v>
      </c>
    </row>
    <row r="327" spans="1:48">
      <c r="A327" s="21" t="s">
        <v>945</v>
      </c>
      <c r="B327" t="s">
        <v>946</v>
      </c>
      <c r="C327" t="s">
        <v>911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19</v>
      </c>
      <c r="J327" s="35">
        <v>0</v>
      </c>
      <c r="K327" s="35">
        <v>0</v>
      </c>
      <c r="L327" s="35">
        <v>0</v>
      </c>
      <c r="M327">
        <v>19</v>
      </c>
      <c r="N327">
        <v>0</v>
      </c>
      <c r="O327">
        <v>19</v>
      </c>
      <c r="P327">
        <v>1838</v>
      </c>
      <c r="Q327">
        <v>1536</v>
      </c>
      <c r="R327">
        <v>6094</v>
      </c>
      <c r="S327">
        <v>4076</v>
      </c>
      <c r="T327">
        <v>10</v>
      </c>
      <c r="U327">
        <v>5</v>
      </c>
      <c r="V327">
        <v>13</v>
      </c>
      <c r="W327">
        <v>11</v>
      </c>
      <c r="X327" s="23">
        <v>0.00544069640914037</v>
      </c>
      <c r="Y327" s="23">
        <v>0.00325520833333333</v>
      </c>
      <c r="Z327" s="23">
        <v>0.00213324581555629</v>
      </c>
      <c r="AA327" s="23">
        <v>0.00269872423945044</v>
      </c>
      <c r="AB327">
        <v>3.41</v>
      </c>
      <c r="AC327">
        <v>1.77</v>
      </c>
      <c r="AD327">
        <v>4.33</v>
      </c>
      <c r="AE327">
        <v>3.68</v>
      </c>
      <c r="AF327" s="23" t="s">
        <v>947</v>
      </c>
      <c r="AG327" s="23" t="s">
        <v>948</v>
      </c>
      <c r="AH327" s="23" t="s">
        <v>949</v>
      </c>
      <c r="AI327" s="23" t="s">
        <v>950</v>
      </c>
      <c r="AJ327">
        <v>16</v>
      </c>
      <c r="AK327">
        <v>9</v>
      </c>
      <c r="AL327">
        <v>11</v>
      </c>
      <c r="AM327">
        <v>13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19</v>
      </c>
      <c r="AU327" s="33" t="str">
        <f t="shared" si="9"/>
        <v>库存为19</v>
      </c>
      <c r="AV327" s="38" t="str">
        <f>IFERROR(时间!$B$4+AU327,"上周无销量")</f>
        <v>上周无销量</v>
      </c>
    </row>
    <row r="328" spans="1:48">
      <c r="A328" s="21" t="s">
        <v>951</v>
      </c>
      <c r="B328" t="s">
        <v>952</v>
      </c>
      <c r="C328" t="s">
        <v>864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15</v>
      </c>
      <c r="J328" s="35">
        <v>0</v>
      </c>
      <c r="K328" s="35">
        <v>0</v>
      </c>
      <c r="L328" s="35">
        <v>0</v>
      </c>
      <c r="M328">
        <v>15</v>
      </c>
      <c r="N328">
        <v>0</v>
      </c>
      <c r="O328">
        <v>15</v>
      </c>
      <c r="P328">
        <v>18</v>
      </c>
      <c r="Q328">
        <v>15</v>
      </c>
      <c r="R328">
        <v>25</v>
      </c>
      <c r="S328">
        <v>154</v>
      </c>
      <c r="T328">
        <v>0</v>
      </c>
      <c r="U328">
        <v>0</v>
      </c>
      <c r="V328">
        <v>0</v>
      </c>
      <c r="W328">
        <v>0</v>
      </c>
      <c r="X328" s="23">
        <v>0</v>
      </c>
      <c r="Y328" s="23">
        <v>0</v>
      </c>
      <c r="Z328" s="23">
        <v>0</v>
      </c>
      <c r="AA328" s="23">
        <v>0</v>
      </c>
      <c r="AB328">
        <v>0</v>
      </c>
      <c r="AC328">
        <v>0</v>
      </c>
      <c r="AD328">
        <v>0</v>
      </c>
      <c r="AE328">
        <v>0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2</v>
      </c>
      <c r="AK328">
        <v>6</v>
      </c>
      <c r="AL328">
        <v>1</v>
      </c>
      <c r="AM328">
        <v>3</v>
      </c>
      <c r="AN328" s="23">
        <v>0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15</v>
      </c>
      <c r="AU328" s="33" t="str">
        <f t="shared" si="9"/>
        <v>库存为15</v>
      </c>
      <c r="AV328" s="38" t="str">
        <f>IFERROR(时间!$B$4+AU328,"上周无销量")</f>
        <v>上周无销量</v>
      </c>
    </row>
    <row r="329" spans="1:48">
      <c r="A329" s="21" t="s">
        <v>953</v>
      </c>
      <c r="B329" t="s">
        <v>954</v>
      </c>
      <c r="C329" t="s">
        <v>864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28</v>
      </c>
      <c r="J329" s="35">
        <v>0</v>
      </c>
      <c r="K329" s="35">
        <v>0</v>
      </c>
      <c r="L329" s="35">
        <v>0</v>
      </c>
      <c r="M329">
        <v>28</v>
      </c>
      <c r="N329">
        <v>0</v>
      </c>
      <c r="O329">
        <v>28</v>
      </c>
      <c r="P329">
        <v>25</v>
      </c>
      <c r="Q329">
        <v>14</v>
      </c>
      <c r="R329">
        <v>76</v>
      </c>
      <c r="S329">
        <v>359</v>
      </c>
      <c r="T329">
        <v>0</v>
      </c>
      <c r="U329">
        <v>0</v>
      </c>
      <c r="V329">
        <v>0</v>
      </c>
      <c r="W329">
        <v>1</v>
      </c>
      <c r="X329" s="23">
        <v>0</v>
      </c>
      <c r="Y329" s="23">
        <v>0</v>
      </c>
      <c r="Z329" s="23">
        <v>0</v>
      </c>
      <c r="AA329" s="23">
        <v>0.00278551532033426</v>
      </c>
      <c r="AB329">
        <v>0</v>
      </c>
      <c r="AC329">
        <v>0</v>
      </c>
      <c r="AD329">
        <v>0</v>
      </c>
      <c r="AE329">
        <v>0.5</v>
      </c>
      <c r="AF329" s="23" t="s">
        <v>54</v>
      </c>
      <c r="AG329" s="23" t="s">
        <v>54</v>
      </c>
      <c r="AH329" s="23" t="s">
        <v>54</v>
      </c>
      <c r="AI329" s="23" t="s">
        <v>481</v>
      </c>
      <c r="AJ329">
        <v>2</v>
      </c>
      <c r="AK329">
        <v>3</v>
      </c>
      <c r="AL329">
        <v>3</v>
      </c>
      <c r="AM329">
        <v>2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28</v>
      </c>
      <c r="AU329" s="33" t="str">
        <f t="shared" si="9"/>
        <v>库存为28</v>
      </c>
      <c r="AV329" s="38" t="str">
        <f>IFERROR(时间!$B$4+AU329,"上周无销量")</f>
        <v>上周无销量</v>
      </c>
    </row>
    <row r="330" spans="1:48">
      <c r="A330" s="21" t="s">
        <v>955</v>
      </c>
      <c r="B330" t="s">
        <v>956</v>
      </c>
      <c r="C330" t="s">
        <v>864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30</v>
      </c>
      <c r="J330" s="35">
        <v>0</v>
      </c>
      <c r="K330" s="35">
        <v>0</v>
      </c>
      <c r="L330" s="35">
        <v>0</v>
      </c>
      <c r="M330">
        <v>30</v>
      </c>
      <c r="N330">
        <v>0</v>
      </c>
      <c r="O330">
        <v>30</v>
      </c>
      <c r="P330">
        <v>6</v>
      </c>
      <c r="Q330">
        <v>0</v>
      </c>
      <c r="R330">
        <v>199</v>
      </c>
      <c r="S330">
        <v>968</v>
      </c>
      <c r="T330">
        <v>0</v>
      </c>
      <c r="U330">
        <v>0</v>
      </c>
      <c r="V330">
        <v>0</v>
      </c>
      <c r="W330">
        <v>1</v>
      </c>
      <c r="X330" s="23">
        <v>0</v>
      </c>
      <c r="Y330" s="23" t="s">
        <v>54</v>
      </c>
      <c r="Z330" s="23">
        <v>0</v>
      </c>
      <c r="AA330" s="23">
        <v>0.00103305785123967</v>
      </c>
      <c r="AB330">
        <v>0</v>
      </c>
      <c r="AC330">
        <v>0</v>
      </c>
      <c r="AD330">
        <v>0</v>
      </c>
      <c r="AE330">
        <v>0.05</v>
      </c>
      <c r="AF330" s="23" t="s">
        <v>54</v>
      </c>
      <c r="AG330" s="23" t="s">
        <v>54</v>
      </c>
      <c r="AH330" s="23" t="s">
        <v>54</v>
      </c>
      <c r="AI330" s="23" t="s">
        <v>303</v>
      </c>
      <c r="AJ330">
        <v>2</v>
      </c>
      <c r="AK330">
        <v>4</v>
      </c>
      <c r="AL330">
        <v>1</v>
      </c>
      <c r="AM330">
        <v>5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30</v>
      </c>
      <c r="AU330" s="33" t="str">
        <f t="shared" si="9"/>
        <v>库存为30</v>
      </c>
      <c r="AV330" s="38" t="str">
        <f>IFERROR(时间!$B$4+AU330,"上周无销量")</f>
        <v>上周无销量</v>
      </c>
    </row>
    <row r="331" spans="1:48">
      <c r="A331" s="21" t="s">
        <v>957</v>
      </c>
      <c r="B331" t="s">
        <v>958</v>
      </c>
      <c r="C331" t="s">
        <v>864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13</v>
      </c>
      <c r="J331" s="35">
        <v>0</v>
      </c>
      <c r="K331" s="35">
        <v>0</v>
      </c>
      <c r="L331" s="35">
        <v>0</v>
      </c>
      <c r="M331">
        <v>13</v>
      </c>
      <c r="N331">
        <v>0</v>
      </c>
      <c r="O331">
        <v>13</v>
      </c>
      <c r="P331">
        <v>91</v>
      </c>
      <c r="Q331">
        <v>61</v>
      </c>
      <c r="R331">
        <v>200</v>
      </c>
      <c r="S331">
        <v>993</v>
      </c>
      <c r="T331">
        <v>0</v>
      </c>
      <c r="U331">
        <v>0</v>
      </c>
      <c r="V331">
        <v>1</v>
      </c>
      <c r="W331">
        <v>1</v>
      </c>
      <c r="X331" s="23">
        <v>0</v>
      </c>
      <c r="Y331" s="23">
        <v>0</v>
      </c>
      <c r="Z331" s="23">
        <v>0.005</v>
      </c>
      <c r="AA331" s="23">
        <v>0.00100704934541793</v>
      </c>
      <c r="AB331">
        <v>0</v>
      </c>
      <c r="AC331">
        <v>0</v>
      </c>
      <c r="AD331">
        <v>0.45</v>
      </c>
      <c r="AE331">
        <v>0.39</v>
      </c>
      <c r="AF331" s="23" t="s">
        <v>54</v>
      </c>
      <c r="AG331" s="23" t="s">
        <v>54</v>
      </c>
      <c r="AH331" s="23" t="s">
        <v>208</v>
      </c>
      <c r="AI331" s="23" t="s">
        <v>275</v>
      </c>
      <c r="AJ331">
        <v>4</v>
      </c>
      <c r="AK331">
        <v>0</v>
      </c>
      <c r="AL331">
        <v>2</v>
      </c>
      <c r="AM331">
        <v>0</v>
      </c>
      <c r="AN331" s="23">
        <v>0</v>
      </c>
      <c r="AO331" s="23" t="s">
        <v>54</v>
      </c>
      <c r="AP331" s="23">
        <v>0</v>
      </c>
      <c r="AQ331" s="23" t="s">
        <v>54</v>
      </c>
      <c r="AR331" s="37">
        <v>0</v>
      </c>
      <c r="AS331" s="37">
        <v>0</v>
      </c>
      <c r="AT331" s="37">
        <v>13</v>
      </c>
      <c r="AU331" s="33" t="str">
        <f t="shared" si="9"/>
        <v>库存为13</v>
      </c>
      <c r="AV331" s="38" t="str">
        <f>IFERROR(时间!$B$4+AU331,"上周无销量")</f>
        <v>上周无销量</v>
      </c>
    </row>
    <row r="332" spans="1:48">
      <c r="A332" s="21" t="s">
        <v>959</v>
      </c>
      <c r="B332" t="s">
        <v>960</v>
      </c>
      <c r="C332" t="s">
        <v>864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9</v>
      </c>
      <c r="J332" s="35">
        <v>0</v>
      </c>
      <c r="K332" s="35">
        <v>0</v>
      </c>
      <c r="L332" s="35">
        <v>0</v>
      </c>
      <c r="M332">
        <v>9</v>
      </c>
      <c r="N332">
        <v>0</v>
      </c>
      <c r="O332">
        <v>9</v>
      </c>
      <c r="P332">
        <v>6</v>
      </c>
      <c r="Q332">
        <v>4</v>
      </c>
      <c r="R332">
        <v>234</v>
      </c>
      <c r="S332">
        <v>920</v>
      </c>
      <c r="T332">
        <v>0</v>
      </c>
      <c r="U332">
        <v>0</v>
      </c>
      <c r="V332">
        <v>0</v>
      </c>
      <c r="W332">
        <v>3</v>
      </c>
      <c r="X332" s="23">
        <v>0</v>
      </c>
      <c r="Y332" s="23">
        <v>0</v>
      </c>
      <c r="Z332" s="23">
        <v>0</v>
      </c>
      <c r="AA332" s="23">
        <v>0.00326086956521739</v>
      </c>
      <c r="AB332">
        <v>0</v>
      </c>
      <c r="AC332">
        <v>0</v>
      </c>
      <c r="AD332">
        <v>0</v>
      </c>
      <c r="AE332">
        <v>1.41</v>
      </c>
      <c r="AF332" s="23" t="s">
        <v>54</v>
      </c>
      <c r="AG332" s="23" t="s">
        <v>54</v>
      </c>
      <c r="AH332" s="23" t="s">
        <v>54</v>
      </c>
      <c r="AI332" s="23" t="s">
        <v>961</v>
      </c>
      <c r="AJ332">
        <v>2</v>
      </c>
      <c r="AK332">
        <v>1</v>
      </c>
      <c r="AL332">
        <v>2</v>
      </c>
      <c r="AM332">
        <v>1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9</v>
      </c>
      <c r="AU332" s="33" t="str">
        <f t="shared" si="9"/>
        <v>库存为9</v>
      </c>
      <c r="AV332" s="38" t="str">
        <f>IFERROR(时间!$B$4+AU332,"上周无销量")</f>
        <v>上周无销量</v>
      </c>
    </row>
    <row r="333" spans="1:48">
      <c r="A333" s="21" t="s">
        <v>962</v>
      </c>
      <c r="B333" t="s">
        <v>963</v>
      </c>
      <c r="C333" t="s">
        <v>911</v>
      </c>
      <c r="D333" s="33">
        <v>1</v>
      </c>
      <c r="E333" s="33">
        <v>0</v>
      </c>
      <c r="F333" s="33">
        <v>2</v>
      </c>
      <c r="G333" s="33">
        <v>0</v>
      </c>
      <c r="H333" s="34">
        <v>16.6566666666667</v>
      </c>
      <c r="I333">
        <v>28</v>
      </c>
      <c r="J333" s="35">
        <v>0</v>
      </c>
      <c r="K333" s="35">
        <v>0</v>
      </c>
      <c r="L333" s="35">
        <v>0</v>
      </c>
      <c r="M333">
        <v>28</v>
      </c>
      <c r="N333">
        <v>0</v>
      </c>
      <c r="O333">
        <v>27</v>
      </c>
      <c r="P333">
        <v>1683</v>
      </c>
      <c r="Q333">
        <v>1231</v>
      </c>
      <c r="R333">
        <v>2041</v>
      </c>
      <c r="S333">
        <v>547</v>
      </c>
      <c r="T333">
        <v>6</v>
      </c>
      <c r="U333">
        <v>3</v>
      </c>
      <c r="V333">
        <v>1</v>
      </c>
      <c r="W333">
        <v>2</v>
      </c>
      <c r="X333" s="23">
        <v>0.0035650623885918</v>
      </c>
      <c r="Y333" s="23">
        <v>0.00243704305442729</v>
      </c>
      <c r="Z333" s="23">
        <v>0.000489955903968643</v>
      </c>
      <c r="AA333" s="23">
        <v>0.0036563071297989</v>
      </c>
      <c r="AB333">
        <v>2.11</v>
      </c>
      <c r="AC333">
        <v>1.36</v>
      </c>
      <c r="AD333">
        <v>0.34</v>
      </c>
      <c r="AE333">
        <v>0.6</v>
      </c>
      <c r="AF333" s="23">
        <v>0.126676005603362</v>
      </c>
      <c r="AG333" s="23" t="s">
        <v>445</v>
      </c>
      <c r="AH333" s="23">
        <v>0.0102061236742045</v>
      </c>
      <c r="AI333" s="23" t="s">
        <v>321</v>
      </c>
      <c r="AJ333">
        <v>11</v>
      </c>
      <c r="AK333">
        <v>10</v>
      </c>
      <c r="AL333">
        <v>10</v>
      </c>
      <c r="AM333">
        <v>7</v>
      </c>
      <c r="AN333" s="23">
        <v>0.0909090909090909</v>
      </c>
      <c r="AO333" s="23">
        <v>0</v>
      </c>
      <c r="AP333" s="23">
        <v>0.2</v>
      </c>
      <c r="AQ333" s="23">
        <v>0</v>
      </c>
      <c r="AR333" s="37">
        <v>0.142857142857143</v>
      </c>
      <c r="AS333" s="37">
        <v>8.57142857142857</v>
      </c>
      <c r="AT333" s="37">
        <v>19.4285714285714</v>
      </c>
      <c r="AU333" s="33">
        <f t="shared" si="9"/>
        <v>196</v>
      </c>
      <c r="AV333" s="38">
        <f>IFERROR(时间!$B$4+AU333,"上周无销量")</f>
        <v>43514</v>
      </c>
    </row>
    <row r="334" spans="1:48">
      <c r="A334" s="21" t="s">
        <v>964</v>
      </c>
      <c r="B334" t="s">
        <v>965</v>
      </c>
      <c r="C334" t="s">
        <v>911</v>
      </c>
      <c r="D334" s="33">
        <v>3</v>
      </c>
      <c r="E334" s="33">
        <v>2</v>
      </c>
      <c r="F334" s="33">
        <v>3</v>
      </c>
      <c r="G334" s="33">
        <v>0</v>
      </c>
      <c r="H334" s="34">
        <v>16.365</v>
      </c>
      <c r="I334">
        <v>7</v>
      </c>
      <c r="J334" s="35">
        <v>0</v>
      </c>
      <c r="K334" s="35">
        <v>0</v>
      </c>
      <c r="L334" s="35">
        <v>0</v>
      </c>
      <c r="M334">
        <v>7</v>
      </c>
      <c r="N334">
        <v>0</v>
      </c>
      <c r="O334">
        <v>7</v>
      </c>
      <c r="P334">
        <v>183</v>
      </c>
      <c r="Q334">
        <v>206</v>
      </c>
      <c r="R334">
        <v>334</v>
      </c>
      <c r="S334">
        <v>164</v>
      </c>
      <c r="T334">
        <v>0</v>
      </c>
      <c r="U334">
        <v>2</v>
      </c>
      <c r="V334">
        <v>0</v>
      </c>
      <c r="W334">
        <v>1</v>
      </c>
      <c r="X334" s="23">
        <v>0</v>
      </c>
      <c r="Y334" s="23">
        <v>0.00970873786407767</v>
      </c>
      <c r="Z334" s="23">
        <v>0</v>
      </c>
      <c r="AA334" s="23">
        <v>0.00609756097560976</v>
      </c>
      <c r="AB334">
        <v>0</v>
      </c>
      <c r="AC334">
        <v>1.02</v>
      </c>
      <c r="AD334">
        <v>0</v>
      </c>
      <c r="AE334">
        <v>0.46</v>
      </c>
      <c r="AF334" s="23" t="s">
        <v>54</v>
      </c>
      <c r="AG334" s="23">
        <v>0.0311640696608616</v>
      </c>
      <c r="AH334" s="23" t="s">
        <v>54</v>
      </c>
      <c r="AI334" s="23" t="s">
        <v>845</v>
      </c>
      <c r="AJ334">
        <v>7</v>
      </c>
      <c r="AK334">
        <v>7</v>
      </c>
      <c r="AL334">
        <v>5</v>
      </c>
      <c r="AM334">
        <v>3</v>
      </c>
      <c r="AN334" s="23">
        <v>0.428571428571429</v>
      </c>
      <c r="AO334" s="23">
        <v>0.285714285714286</v>
      </c>
      <c r="AP334" s="23">
        <v>0.6</v>
      </c>
      <c r="AQ334" s="23">
        <v>0</v>
      </c>
      <c r="AR334" s="37">
        <v>0.428571428571429</v>
      </c>
      <c r="AS334" s="37">
        <v>25.7142857142857</v>
      </c>
      <c r="AT334" s="37">
        <v>-18.7142857142857</v>
      </c>
      <c r="AU334" s="33">
        <f t="shared" si="9"/>
        <v>16</v>
      </c>
      <c r="AV334" s="38">
        <f>IFERROR(时间!$B$4+AU334,"上周无销量")</f>
        <v>43334</v>
      </c>
    </row>
    <row r="335" spans="1:48">
      <c r="A335" s="21" t="s">
        <v>966</v>
      </c>
      <c r="B335" t="s">
        <v>967</v>
      </c>
      <c r="C335" t="s">
        <v>911</v>
      </c>
      <c r="D335" s="33">
        <v>0</v>
      </c>
      <c r="E335" s="33">
        <v>2</v>
      </c>
      <c r="F335" s="33">
        <v>1</v>
      </c>
      <c r="G335" s="33">
        <v>0</v>
      </c>
      <c r="H335" s="34">
        <v>16.3233333333333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>
        <v>0</v>
      </c>
      <c r="Q335">
        <v>2394</v>
      </c>
      <c r="R335">
        <v>2239</v>
      </c>
      <c r="S335">
        <v>461</v>
      </c>
      <c r="T335">
        <v>0</v>
      </c>
      <c r="U335">
        <v>7</v>
      </c>
      <c r="V335">
        <v>4</v>
      </c>
      <c r="W335">
        <v>1</v>
      </c>
      <c r="X335" s="23" t="s">
        <v>54</v>
      </c>
      <c r="Y335" s="23">
        <v>0.00292397660818713</v>
      </c>
      <c r="Z335" s="23">
        <v>0.00178651183564091</v>
      </c>
      <c r="AA335" s="23">
        <v>0.00216919739696312</v>
      </c>
      <c r="AB335">
        <v>0</v>
      </c>
      <c r="AC335">
        <v>2.52</v>
      </c>
      <c r="AD335">
        <v>1.39</v>
      </c>
      <c r="AE335">
        <v>0.22</v>
      </c>
      <c r="AF335" s="23" t="s">
        <v>54</v>
      </c>
      <c r="AG335" s="23">
        <v>0.0771901163977947</v>
      </c>
      <c r="AH335" s="23">
        <v>0.0851541760261386</v>
      </c>
      <c r="AI335" s="23" t="s">
        <v>546</v>
      </c>
      <c r="AJ335">
        <v>0</v>
      </c>
      <c r="AK335">
        <v>5</v>
      </c>
      <c r="AL335">
        <v>2</v>
      </c>
      <c r="AM335">
        <v>5</v>
      </c>
      <c r="AN335" s="23" t="s">
        <v>54</v>
      </c>
      <c r="AO335" s="23">
        <v>0.4</v>
      </c>
      <c r="AP335" s="23">
        <v>0.5</v>
      </c>
      <c r="AQ335" s="23">
        <v>0</v>
      </c>
      <c r="AR335" s="37">
        <v>0</v>
      </c>
      <c r="AS335" s="37">
        <v>0</v>
      </c>
      <c r="AT335" s="37">
        <v>0</v>
      </c>
      <c r="AU335" s="33" t="str">
        <f t="shared" si="9"/>
        <v>库存为0</v>
      </c>
      <c r="AV335" s="38" t="str">
        <f>IFERROR(时间!$B$4+AU335,"上周无销量")</f>
        <v>上周无销量</v>
      </c>
    </row>
    <row r="336" spans="1:48">
      <c r="A336" s="21" t="s">
        <v>968</v>
      </c>
      <c r="B336" t="s">
        <v>969</v>
      </c>
      <c r="C336" t="s">
        <v>911</v>
      </c>
      <c r="D336" s="33">
        <v>0</v>
      </c>
      <c r="E336" s="33">
        <v>3</v>
      </c>
      <c r="F336" s="33">
        <v>1</v>
      </c>
      <c r="G336" s="33">
        <v>0</v>
      </c>
      <c r="H336" s="34">
        <v>16.24</v>
      </c>
      <c r="I336">
        <v>12</v>
      </c>
      <c r="J336" s="35">
        <v>0</v>
      </c>
      <c r="K336" s="35">
        <v>0</v>
      </c>
      <c r="L336" s="35">
        <v>1</v>
      </c>
      <c r="M336">
        <v>13</v>
      </c>
      <c r="N336">
        <v>0</v>
      </c>
      <c r="O336">
        <v>9</v>
      </c>
      <c r="P336">
        <v>19783</v>
      </c>
      <c r="Q336">
        <v>16787</v>
      </c>
      <c r="R336">
        <v>19139</v>
      </c>
      <c r="S336">
        <v>15384</v>
      </c>
      <c r="T336">
        <v>54</v>
      </c>
      <c r="U336">
        <v>55</v>
      </c>
      <c r="V336">
        <v>65</v>
      </c>
      <c r="W336">
        <v>33</v>
      </c>
      <c r="X336" s="23">
        <v>0.00272961633725926</v>
      </c>
      <c r="Y336" s="23">
        <v>0.00327634479061178</v>
      </c>
      <c r="Z336" s="23">
        <v>0.0033962066983646</v>
      </c>
      <c r="AA336" s="23">
        <v>0.00214508580343214</v>
      </c>
      <c r="AB336">
        <v>19.23</v>
      </c>
      <c r="AC336">
        <v>21.36</v>
      </c>
      <c r="AD336">
        <v>23.61</v>
      </c>
      <c r="AE336">
        <v>11.51</v>
      </c>
      <c r="AF336" s="23" t="s">
        <v>970</v>
      </c>
      <c r="AG336" s="23">
        <v>0.438423645320197</v>
      </c>
      <c r="AH336" s="23">
        <v>1.45381773399015</v>
      </c>
      <c r="AI336" s="23" t="s">
        <v>971</v>
      </c>
      <c r="AJ336">
        <v>32</v>
      </c>
      <c r="AK336">
        <v>44</v>
      </c>
      <c r="AL336">
        <v>13</v>
      </c>
      <c r="AM336">
        <v>13</v>
      </c>
      <c r="AN336" s="23">
        <v>0</v>
      </c>
      <c r="AO336" s="23">
        <v>0.0681818181818182</v>
      </c>
      <c r="AP336" s="23">
        <v>0.0769230769230769</v>
      </c>
      <c r="AQ336" s="23">
        <v>0</v>
      </c>
      <c r="AR336" s="37">
        <v>0</v>
      </c>
      <c r="AS336" s="37">
        <v>0</v>
      </c>
      <c r="AT336" s="37">
        <v>13</v>
      </c>
      <c r="AU336" s="33" t="str">
        <f t="shared" si="9"/>
        <v>库存为13</v>
      </c>
      <c r="AV336" s="38" t="str">
        <f>IFERROR(时间!$B$4+AU336,"上周无销量")</f>
        <v>上周无销量</v>
      </c>
    </row>
    <row r="337" spans="1:48">
      <c r="A337" s="21" t="s">
        <v>972</v>
      </c>
      <c r="B337" t="s">
        <v>973</v>
      </c>
      <c r="C337" t="s">
        <v>911</v>
      </c>
      <c r="D337" s="33">
        <v>1</v>
      </c>
      <c r="E337" s="33">
        <v>0</v>
      </c>
      <c r="F337" s="33">
        <v>1</v>
      </c>
      <c r="G337" s="33">
        <v>0</v>
      </c>
      <c r="H337" s="34">
        <v>16.49</v>
      </c>
      <c r="I337">
        <v>3</v>
      </c>
      <c r="J337" s="35">
        <v>0</v>
      </c>
      <c r="K337" s="35">
        <v>0</v>
      </c>
      <c r="L337" s="35">
        <v>0</v>
      </c>
      <c r="M337">
        <v>3</v>
      </c>
      <c r="N337">
        <v>0</v>
      </c>
      <c r="O337">
        <v>1</v>
      </c>
      <c r="P337">
        <v>976</v>
      </c>
      <c r="Q337">
        <v>903</v>
      </c>
      <c r="R337">
        <v>1173</v>
      </c>
      <c r="S337">
        <v>503</v>
      </c>
      <c r="T337">
        <v>4</v>
      </c>
      <c r="U337">
        <v>8</v>
      </c>
      <c r="V337">
        <v>3</v>
      </c>
      <c r="W337">
        <v>2</v>
      </c>
      <c r="X337" s="23">
        <v>0.00409836065573771</v>
      </c>
      <c r="Y337" s="23">
        <v>0.008859357696567</v>
      </c>
      <c r="Z337" s="23">
        <v>0.00255754475703325</v>
      </c>
      <c r="AA337" s="23">
        <v>0.00397614314115308</v>
      </c>
      <c r="AB337">
        <v>2.1</v>
      </c>
      <c r="AC337">
        <v>2.85</v>
      </c>
      <c r="AD337">
        <v>1.22</v>
      </c>
      <c r="AE337">
        <v>0.66</v>
      </c>
      <c r="AF337" s="23">
        <v>0.127349909035779</v>
      </c>
      <c r="AG337" s="23" t="s">
        <v>974</v>
      </c>
      <c r="AH337" s="23">
        <v>0.0739842328684051</v>
      </c>
      <c r="AI337" s="23" t="s">
        <v>225</v>
      </c>
      <c r="AJ337">
        <v>12</v>
      </c>
      <c r="AK337">
        <v>12</v>
      </c>
      <c r="AL337">
        <v>2</v>
      </c>
      <c r="AM337">
        <v>3</v>
      </c>
      <c r="AN337" s="23">
        <v>0.0833333333333333</v>
      </c>
      <c r="AO337" s="23">
        <v>0</v>
      </c>
      <c r="AP337" s="23">
        <v>0.5</v>
      </c>
      <c r="AQ337" s="23">
        <v>0</v>
      </c>
      <c r="AR337" s="37">
        <v>0.142857142857143</v>
      </c>
      <c r="AS337" s="37">
        <v>8.57142857142857</v>
      </c>
      <c r="AT337" s="37">
        <v>-5.57142857142857</v>
      </c>
      <c r="AU337" s="33">
        <f t="shared" si="9"/>
        <v>21</v>
      </c>
      <c r="AV337" s="38">
        <f>IFERROR(时间!$B$4+AU337,"上周无销量")</f>
        <v>43339</v>
      </c>
    </row>
    <row r="338" spans="1:48">
      <c r="A338" s="21" t="s">
        <v>975</v>
      </c>
      <c r="B338" t="s">
        <v>976</v>
      </c>
      <c r="C338" t="s">
        <v>911</v>
      </c>
      <c r="D338" s="33">
        <v>0</v>
      </c>
      <c r="E338" s="33">
        <v>0</v>
      </c>
      <c r="F338" s="33">
        <v>1</v>
      </c>
      <c r="G338" s="33">
        <v>0</v>
      </c>
      <c r="H338" s="34">
        <v>15.99</v>
      </c>
      <c r="I338">
        <v>2</v>
      </c>
      <c r="J338" s="35">
        <v>0</v>
      </c>
      <c r="K338" s="35">
        <v>0</v>
      </c>
      <c r="L338" s="35">
        <v>0</v>
      </c>
      <c r="M338">
        <v>2</v>
      </c>
      <c r="N338">
        <v>0</v>
      </c>
      <c r="O338">
        <v>2</v>
      </c>
      <c r="P338">
        <v>2250</v>
      </c>
      <c r="Q338">
        <v>3558</v>
      </c>
      <c r="R338">
        <v>6282</v>
      </c>
      <c r="S338">
        <v>2495</v>
      </c>
      <c r="T338">
        <v>13</v>
      </c>
      <c r="U338">
        <v>15</v>
      </c>
      <c r="V338">
        <v>13</v>
      </c>
      <c r="W338">
        <v>4</v>
      </c>
      <c r="X338" s="23">
        <v>0.00577777777777778</v>
      </c>
      <c r="Y338" s="23">
        <v>0.00421585160202361</v>
      </c>
      <c r="Z338" s="23">
        <v>0.00206940464820121</v>
      </c>
      <c r="AA338" s="23">
        <v>0.00160320641282565</v>
      </c>
      <c r="AB338">
        <v>4.82</v>
      </c>
      <c r="AC338">
        <v>5.41</v>
      </c>
      <c r="AD338">
        <v>4</v>
      </c>
      <c r="AE338">
        <v>1.26</v>
      </c>
      <c r="AF338" s="23" t="s">
        <v>977</v>
      </c>
      <c r="AG338" s="23" t="s">
        <v>978</v>
      </c>
      <c r="AH338" s="23">
        <v>0.250156347717323</v>
      </c>
      <c r="AI338" s="23" t="s">
        <v>979</v>
      </c>
      <c r="AJ338">
        <v>14</v>
      </c>
      <c r="AK338">
        <v>15</v>
      </c>
      <c r="AL338">
        <v>8</v>
      </c>
      <c r="AM338">
        <v>7</v>
      </c>
      <c r="AN338" s="23">
        <v>0</v>
      </c>
      <c r="AO338" s="23">
        <v>0</v>
      </c>
      <c r="AP338" s="23">
        <v>0.125</v>
      </c>
      <c r="AQ338" s="23">
        <v>0</v>
      </c>
      <c r="AR338" s="37">
        <v>0</v>
      </c>
      <c r="AS338" s="37">
        <v>0</v>
      </c>
      <c r="AT338" s="37">
        <v>2</v>
      </c>
      <c r="AU338" s="33" t="str">
        <f t="shared" si="9"/>
        <v>库存为2</v>
      </c>
      <c r="AV338" s="38" t="str">
        <f>IFERROR(时间!$B$4+AU338,"上周无销量")</f>
        <v>上周无销量</v>
      </c>
    </row>
    <row r="339" spans="1:48">
      <c r="A339" s="21" t="s">
        <v>980</v>
      </c>
      <c r="B339" t="s">
        <v>981</v>
      </c>
      <c r="C339" t="s">
        <v>911</v>
      </c>
      <c r="D339" s="33">
        <v>2</v>
      </c>
      <c r="E339" s="33">
        <v>1</v>
      </c>
      <c r="F339" s="33">
        <v>0</v>
      </c>
      <c r="G339" s="33">
        <v>0</v>
      </c>
      <c r="H339" s="34">
        <v>15.99</v>
      </c>
      <c r="I339">
        <v>24</v>
      </c>
      <c r="J339" s="35">
        <v>0</v>
      </c>
      <c r="K339" s="35">
        <v>0</v>
      </c>
      <c r="L339" s="35">
        <v>0</v>
      </c>
      <c r="M339">
        <v>24</v>
      </c>
      <c r="N339">
        <v>0</v>
      </c>
      <c r="O339">
        <v>25</v>
      </c>
      <c r="P339">
        <v>1062</v>
      </c>
      <c r="Q339">
        <v>1583</v>
      </c>
      <c r="R339">
        <v>1744</v>
      </c>
      <c r="S339">
        <v>519</v>
      </c>
      <c r="T339">
        <v>5</v>
      </c>
      <c r="U339">
        <v>4</v>
      </c>
      <c r="V339">
        <v>3</v>
      </c>
      <c r="W339">
        <v>3</v>
      </c>
      <c r="X339" s="23">
        <v>0.00470809792843691</v>
      </c>
      <c r="Y339" s="23">
        <v>0.00252684775742262</v>
      </c>
      <c r="Z339" s="23">
        <v>0.00172018348623853</v>
      </c>
      <c r="AA339" s="23">
        <v>0.00578034682080925</v>
      </c>
      <c r="AB339">
        <v>1.8</v>
      </c>
      <c r="AC339">
        <v>1.6</v>
      </c>
      <c r="AD339">
        <v>0.48</v>
      </c>
      <c r="AE339">
        <v>0.68</v>
      </c>
      <c r="AF339" s="23">
        <v>0.0562851782363977</v>
      </c>
      <c r="AG339" s="23">
        <v>0.100062539086929</v>
      </c>
      <c r="AH339" s="23" t="s">
        <v>912</v>
      </c>
      <c r="AI339" s="23" t="s">
        <v>383</v>
      </c>
      <c r="AJ339">
        <v>9</v>
      </c>
      <c r="AK339">
        <v>4</v>
      </c>
      <c r="AL339">
        <v>4</v>
      </c>
      <c r="AM339">
        <v>5</v>
      </c>
      <c r="AN339" s="23">
        <v>0.222222222222222</v>
      </c>
      <c r="AO339" s="23">
        <v>0.25</v>
      </c>
      <c r="AP339" s="23">
        <v>0</v>
      </c>
      <c r="AQ339" s="23">
        <v>0</v>
      </c>
      <c r="AR339" s="37">
        <v>0.285714285714286</v>
      </c>
      <c r="AS339" s="37">
        <v>17.1428571428571</v>
      </c>
      <c r="AT339" s="37">
        <v>6.85714285714286</v>
      </c>
      <c r="AU339" s="33">
        <f t="shared" si="9"/>
        <v>84</v>
      </c>
      <c r="AV339" s="38">
        <f>IFERROR(时间!$B$4+AU339,"上周无销量")</f>
        <v>43402</v>
      </c>
    </row>
    <row r="340" spans="1:48">
      <c r="A340" s="21" t="s">
        <v>982</v>
      </c>
      <c r="B340" t="s">
        <v>983</v>
      </c>
      <c r="C340" t="s">
        <v>911</v>
      </c>
      <c r="D340" s="33">
        <v>1</v>
      </c>
      <c r="E340" s="33">
        <v>0</v>
      </c>
      <c r="F340" s="33">
        <v>0</v>
      </c>
      <c r="G340" s="33">
        <v>0</v>
      </c>
      <c r="H340" s="34">
        <v>15.99</v>
      </c>
      <c r="I340">
        <v>10</v>
      </c>
      <c r="J340" s="35">
        <v>0</v>
      </c>
      <c r="K340" s="35">
        <v>0</v>
      </c>
      <c r="L340" s="35">
        <v>0</v>
      </c>
      <c r="M340">
        <v>10</v>
      </c>
      <c r="N340">
        <v>0</v>
      </c>
      <c r="O340">
        <v>10</v>
      </c>
      <c r="P340">
        <v>531</v>
      </c>
      <c r="Q340">
        <v>1857</v>
      </c>
      <c r="R340">
        <v>669</v>
      </c>
      <c r="S340">
        <v>354</v>
      </c>
      <c r="T340">
        <v>4</v>
      </c>
      <c r="U340">
        <v>0</v>
      </c>
      <c r="V340">
        <v>1</v>
      </c>
      <c r="W340">
        <v>0</v>
      </c>
      <c r="X340" s="23">
        <v>0.00753295668549906</v>
      </c>
      <c r="Y340" s="23">
        <v>0</v>
      </c>
      <c r="Z340" s="23">
        <v>0.00149476831091181</v>
      </c>
      <c r="AA340" s="23">
        <v>0</v>
      </c>
      <c r="AB340">
        <v>1.42</v>
      </c>
      <c r="AC340">
        <v>0</v>
      </c>
      <c r="AD340">
        <v>0.06</v>
      </c>
      <c r="AE340">
        <v>0</v>
      </c>
      <c r="AF340" s="23">
        <v>0.0888055034396498</v>
      </c>
      <c r="AG340" s="23" t="s">
        <v>54</v>
      </c>
      <c r="AH340" s="23" t="s">
        <v>393</v>
      </c>
      <c r="AI340" s="23" t="s">
        <v>54</v>
      </c>
      <c r="AJ340">
        <v>2</v>
      </c>
      <c r="AK340">
        <v>8</v>
      </c>
      <c r="AL340">
        <v>3</v>
      </c>
      <c r="AM340">
        <v>4</v>
      </c>
      <c r="AN340" s="23">
        <v>0.5</v>
      </c>
      <c r="AO340" s="23">
        <v>0</v>
      </c>
      <c r="AP340" s="23">
        <v>0</v>
      </c>
      <c r="AQ340" s="23">
        <v>0</v>
      </c>
      <c r="AR340" s="37">
        <v>0.142857142857143</v>
      </c>
      <c r="AS340" s="37">
        <v>8.57142857142857</v>
      </c>
      <c r="AT340" s="37">
        <v>1.42857142857143</v>
      </c>
      <c r="AU340" s="33">
        <f t="shared" si="9"/>
        <v>70</v>
      </c>
      <c r="AV340" s="38">
        <f>IFERROR(时间!$B$4+AU340,"上周无销量")</f>
        <v>43388</v>
      </c>
    </row>
    <row r="341" spans="1:48">
      <c r="A341" s="21" t="s">
        <v>984</v>
      </c>
      <c r="B341" t="s">
        <v>985</v>
      </c>
      <c r="C341" t="s">
        <v>911</v>
      </c>
      <c r="D341" s="33">
        <v>0</v>
      </c>
      <c r="E341" s="33">
        <v>0</v>
      </c>
      <c r="F341" s="33">
        <v>1</v>
      </c>
      <c r="G341" s="33">
        <v>0</v>
      </c>
      <c r="H341" s="34">
        <v>16.99</v>
      </c>
      <c r="I341">
        <v>1</v>
      </c>
      <c r="J341" s="35">
        <v>0</v>
      </c>
      <c r="K341" s="35">
        <v>0</v>
      </c>
      <c r="L341" s="35">
        <v>0</v>
      </c>
      <c r="M341">
        <v>1</v>
      </c>
      <c r="N341">
        <v>0</v>
      </c>
      <c r="O341">
        <v>1</v>
      </c>
      <c r="P341">
        <v>1450</v>
      </c>
      <c r="Q341">
        <v>549</v>
      </c>
      <c r="R341">
        <v>836</v>
      </c>
      <c r="S341">
        <v>301</v>
      </c>
      <c r="T341">
        <v>4</v>
      </c>
      <c r="U341">
        <v>2</v>
      </c>
      <c r="V341">
        <v>1</v>
      </c>
      <c r="W341">
        <v>0</v>
      </c>
      <c r="X341" s="23">
        <v>0.00275862068965517</v>
      </c>
      <c r="Y341" s="23">
        <v>0.00364298724954463</v>
      </c>
      <c r="Z341" s="23">
        <v>0.00119617224880383</v>
      </c>
      <c r="AA341" s="23">
        <v>0</v>
      </c>
      <c r="AB341">
        <v>1.43</v>
      </c>
      <c r="AC341">
        <v>0.49</v>
      </c>
      <c r="AD341">
        <v>0.38</v>
      </c>
      <c r="AE341">
        <v>0</v>
      </c>
      <c r="AF341" s="23" t="s">
        <v>986</v>
      </c>
      <c r="AG341" s="23" t="s">
        <v>238</v>
      </c>
      <c r="AH341" s="23">
        <v>0.0223660977045321</v>
      </c>
      <c r="AI341" s="23" t="s">
        <v>54</v>
      </c>
      <c r="AJ341">
        <v>5</v>
      </c>
      <c r="AK341">
        <v>4</v>
      </c>
      <c r="AL341">
        <v>1</v>
      </c>
      <c r="AM341">
        <v>3</v>
      </c>
      <c r="AN341" s="23">
        <v>0</v>
      </c>
      <c r="AO341" s="23">
        <v>0</v>
      </c>
      <c r="AP341" s="23">
        <v>1</v>
      </c>
      <c r="AQ341" s="23">
        <v>0</v>
      </c>
      <c r="AR341" s="37">
        <v>0</v>
      </c>
      <c r="AS341" s="37">
        <v>0</v>
      </c>
      <c r="AT341" s="37">
        <v>1</v>
      </c>
      <c r="AU341" s="33" t="str">
        <f t="shared" si="9"/>
        <v>库存为1</v>
      </c>
      <c r="AV341" s="38" t="str">
        <f>IFERROR(时间!$B$4+AU341,"上周无销量")</f>
        <v>上周无销量</v>
      </c>
    </row>
    <row r="342" spans="1:48">
      <c r="A342" s="21" t="s">
        <v>987</v>
      </c>
      <c r="B342" t="s">
        <v>988</v>
      </c>
      <c r="C342" t="s">
        <v>911</v>
      </c>
      <c r="D342" s="33">
        <v>0</v>
      </c>
      <c r="E342" s="33">
        <v>0</v>
      </c>
      <c r="F342" s="33">
        <v>1</v>
      </c>
      <c r="G342" s="33">
        <v>0</v>
      </c>
      <c r="H342" s="34">
        <v>16.99</v>
      </c>
      <c r="I342">
        <v>22</v>
      </c>
      <c r="J342" s="35">
        <v>0</v>
      </c>
      <c r="K342" s="35">
        <v>0</v>
      </c>
      <c r="L342" s="35">
        <v>0</v>
      </c>
      <c r="M342">
        <v>22</v>
      </c>
      <c r="N342">
        <v>0</v>
      </c>
      <c r="O342">
        <v>22</v>
      </c>
      <c r="P342">
        <v>1571</v>
      </c>
      <c r="Q342">
        <v>771</v>
      </c>
      <c r="R342">
        <v>1072</v>
      </c>
      <c r="S342">
        <v>257</v>
      </c>
      <c r="T342">
        <v>2</v>
      </c>
      <c r="U342">
        <v>3</v>
      </c>
      <c r="V342">
        <v>1</v>
      </c>
      <c r="W342">
        <v>1</v>
      </c>
      <c r="X342" s="23">
        <v>0.00127307447485678</v>
      </c>
      <c r="Y342" s="23">
        <v>0.00389105058365759</v>
      </c>
      <c r="Z342" s="23">
        <v>0.000932835820895522</v>
      </c>
      <c r="AA342" s="23">
        <v>0.00389105058365759</v>
      </c>
      <c r="AB342">
        <v>1.06</v>
      </c>
      <c r="AC342">
        <v>1.38</v>
      </c>
      <c r="AD342">
        <v>0.29</v>
      </c>
      <c r="AE342">
        <v>0.08</v>
      </c>
      <c r="AF342" s="23" t="s">
        <v>989</v>
      </c>
      <c r="AG342" s="23" t="s">
        <v>990</v>
      </c>
      <c r="AH342" s="23">
        <v>0.0170688640376692</v>
      </c>
      <c r="AI342" s="23" t="s">
        <v>368</v>
      </c>
      <c r="AJ342">
        <v>5</v>
      </c>
      <c r="AK342">
        <v>8</v>
      </c>
      <c r="AL342">
        <v>6</v>
      </c>
      <c r="AM342">
        <v>2</v>
      </c>
      <c r="AN342" s="23">
        <v>0</v>
      </c>
      <c r="AO342" s="23">
        <v>0</v>
      </c>
      <c r="AP342" s="23">
        <v>0.166666666666667</v>
      </c>
      <c r="AQ342" s="23">
        <v>0</v>
      </c>
      <c r="AR342" s="37">
        <v>0</v>
      </c>
      <c r="AS342" s="37">
        <v>0</v>
      </c>
      <c r="AT342" s="37">
        <v>22</v>
      </c>
      <c r="AU342" s="33" t="str">
        <f t="shared" si="9"/>
        <v>库存为22</v>
      </c>
      <c r="AV342" s="38" t="str">
        <f>IFERROR(时间!$B$4+AU342,"上周无销量")</f>
        <v>上周无销量</v>
      </c>
    </row>
    <row r="343" spans="1:48">
      <c r="A343" s="21" t="s">
        <v>991</v>
      </c>
      <c r="B343" t="s">
        <v>992</v>
      </c>
      <c r="C343" t="s">
        <v>911</v>
      </c>
      <c r="D343" s="33">
        <v>1</v>
      </c>
      <c r="E343" s="33">
        <v>0</v>
      </c>
      <c r="F343" s="33">
        <v>0</v>
      </c>
      <c r="G343" s="33">
        <v>0</v>
      </c>
      <c r="H343" s="34">
        <v>15.99</v>
      </c>
      <c r="I343">
        <v>9</v>
      </c>
      <c r="J343" s="35">
        <v>0</v>
      </c>
      <c r="K343" s="35">
        <v>0</v>
      </c>
      <c r="L343" s="35">
        <v>0</v>
      </c>
      <c r="M343">
        <v>9</v>
      </c>
      <c r="N343">
        <v>0</v>
      </c>
      <c r="O343">
        <v>10</v>
      </c>
      <c r="P343">
        <v>1310</v>
      </c>
      <c r="Q343">
        <v>1570</v>
      </c>
      <c r="R343">
        <v>1004</v>
      </c>
      <c r="S343">
        <v>352</v>
      </c>
      <c r="T343">
        <v>4</v>
      </c>
      <c r="U343">
        <v>7</v>
      </c>
      <c r="V343">
        <v>3</v>
      </c>
      <c r="W343">
        <v>1</v>
      </c>
      <c r="X343" s="23">
        <v>0.00305343511450382</v>
      </c>
      <c r="Y343" s="23">
        <v>0.00445859872611465</v>
      </c>
      <c r="Z343" s="23">
        <v>0.00298804780876494</v>
      </c>
      <c r="AA343" s="23">
        <v>0.00284090909090909</v>
      </c>
      <c r="AB343">
        <v>1.2</v>
      </c>
      <c r="AC343">
        <v>2.62</v>
      </c>
      <c r="AD343">
        <v>0.87</v>
      </c>
      <c r="AE343">
        <v>0.37</v>
      </c>
      <c r="AF343" s="23">
        <v>0.075046904315197</v>
      </c>
      <c r="AG343" s="23" t="s">
        <v>993</v>
      </c>
      <c r="AH343" s="23" t="s">
        <v>453</v>
      </c>
      <c r="AI343" s="23" t="s">
        <v>482</v>
      </c>
      <c r="AJ343">
        <v>4</v>
      </c>
      <c r="AK343">
        <v>12</v>
      </c>
      <c r="AL343">
        <v>1</v>
      </c>
      <c r="AM343">
        <v>4</v>
      </c>
      <c r="AN343" s="23">
        <v>0.25</v>
      </c>
      <c r="AO343" s="23">
        <v>0</v>
      </c>
      <c r="AP343" s="23">
        <v>0</v>
      </c>
      <c r="AQ343" s="23">
        <v>0</v>
      </c>
      <c r="AR343" s="37">
        <v>0.142857142857143</v>
      </c>
      <c r="AS343" s="37">
        <v>8.57142857142857</v>
      </c>
      <c r="AT343" s="37">
        <v>0.428571428571429</v>
      </c>
      <c r="AU343" s="33">
        <f t="shared" si="9"/>
        <v>63</v>
      </c>
      <c r="AV343" s="38">
        <f>IFERROR(时间!$B$4+AU343,"上周无销量")</f>
        <v>43381</v>
      </c>
    </row>
    <row r="344" spans="1:48">
      <c r="A344" s="21" t="s">
        <v>994</v>
      </c>
      <c r="B344" t="s">
        <v>995</v>
      </c>
      <c r="C344" t="s">
        <v>911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7">
        <v>0</v>
      </c>
      <c r="AS344" s="37">
        <v>0</v>
      </c>
      <c r="AT344" s="37">
        <v>0</v>
      </c>
      <c r="AU344" s="33" t="str">
        <f t="shared" si="9"/>
        <v>库存为0</v>
      </c>
      <c r="AV344" s="38" t="str">
        <f>IFERROR(时间!$B$4+AU344,"上周无销量")</f>
        <v>上周无销量</v>
      </c>
    </row>
    <row r="345" spans="1:48">
      <c r="A345" s="21" t="s">
        <v>996</v>
      </c>
      <c r="B345" t="s">
        <v>997</v>
      </c>
      <c r="C345" t="s">
        <v>864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14</v>
      </c>
      <c r="J345" s="35">
        <v>0</v>
      </c>
      <c r="K345" s="35">
        <v>0</v>
      </c>
      <c r="L345" s="35">
        <v>0</v>
      </c>
      <c r="M345">
        <v>14</v>
      </c>
      <c r="N345">
        <v>0</v>
      </c>
      <c r="O345">
        <v>14</v>
      </c>
      <c r="P345">
        <v>61</v>
      </c>
      <c r="Q345">
        <v>49</v>
      </c>
      <c r="R345">
        <v>121</v>
      </c>
      <c r="S345">
        <v>387</v>
      </c>
      <c r="T345">
        <v>0</v>
      </c>
      <c r="U345">
        <v>0</v>
      </c>
      <c r="V345">
        <v>1</v>
      </c>
      <c r="W345">
        <v>0</v>
      </c>
      <c r="X345" s="23">
        <v>0</v>
      </c>
      <c r="Y345" s="23">
        <v>0</v>
      </c>
      <c r="Z345" s="23">
        <v>0.00826446280991736</v>
      </c>
      <c r="AA345" s="23">
        <v>0</v>
      </c>
      <c r="AB345">
        <v>0</v>
      </c>
      <c r="AC345">
        <v>0</v>
      </c>
      <c r="AD345">
        <v>0.15</v>
      </c>
      <c r="AE345">
        <v>0</v>
      </c>
      <c r="AF345" s="23" t="s">
        <v>54</v>
      </c>
      <c r="AG345" s="23" t="s">
        <v>54</v>
      </c>
      <c r="AH345" s="23" t="s">
        <v>476</v>
      </c>
      <c r="AI345" s="23" t="s">
        <v>54</v>
      </c>
      <c r="AJ345">
        <v>2</v>
      </c>
      <c r="AK345">
        <v>4</v>
      </c>
      <c r="AL345">
        <v>1</v>
      </c>
      <c r="AM345">
        <v>1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14</v>
      </c>
      <c r="AU345" s="33" t="str">
        <f t="shared" si="9"/>
        <v>库存为14</v>
      </c>
      <c r="AV345" s="38" t="str">
        <f>IFERROR(时间!$B$4+AU345,"上周无销量")</f>
        <v>上周无销量</v>
      </c>
    </row>
    <row r="346" spans="1:48">
      <c r="A346" s="21" t="s">
        <v>998</v>
      </c>
      <c r="B346" t="s">
        <v>999</v>
      </c>
      <c r="C346" t="s">
        <v>864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28</v>
      </c>
      <c r="J346" s="35">
        <v>0</v>
      </c>
      <c r="K346" s="35">
        <v>0</v>
      </c>
      <c r="L346" s="35">
        <v>1</v>
      </c>
      <c r="M346">
        <v>29</v>
      </c>
      <c r="N346">
        <v>0</v>
      </c>
      <c r="O346">
        <v>29</v>
      </c>
      <c r="P346">
        <v>34</v>
      </c>
      <c r="Q346">
        <v>0</v>
      </c>
      <c r="R346">
        <v>133</v>
      </c>
      <c r="S346">
        <v>826</v>
      </c>
      <c r="T346">
        <v>0</v>
      </c>
      <c r="U346">
        <v>0</v>
      </c>
      <c r="V346">
        <v>0</v>
      </c>
      <c r="W346">
        <v>2</v>
      </c>
      <c r="X346" s="23">
        <v>0</v>
      </c>
      <c r="Y346" s="23" t="s">
        <v>54</v>
      </c>
      <c r="Z346" s="23">
        <v>0</v>
      </c>
      <c r="AA346" s="23">
        <v>0.00242130750605327</v>
      </c>
      <c r="AB346">
        <v>0</v>
      </c>
      <c r="AC346">
        <v>0</v>
      </c>
      <c r="AD346">
        <v>0</v>
      </c>
      <c r="AE346">
        <v>0.63</v>
      </c>
      <c r="AF346" s="23" t="s">
        <v>54</v>
      </c>
      <c r="AG346" s="23" t="s">
        <v>54</v>
      </c>
      <c r="AH346" s="23" t="s">
        <v>54</v>
      </c>
      <c r="AI346" s="23" t="s">
        <v>554</v>
      </c>
      <c r="AJ346">
        <v>2</v>
      </c>
      <c r="AK346">
        <v>1</v>
      </c>
      <c r="AL346">
        <v>1</v>
      </c>
      <c r="AM346">
        <v>1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29</v>
      </c>
      <c r="AU346" s="33" t="str">
        <f t="shared" si="9"/>
        <v>库存为29</v>
      </c>
      <c r="AV346" s="38" t="str">
        <f>IFERROR(时间!$B$4+AU346,"上周无销量")</f>
        <v>上周无销量</v>
      </c>
    </row>
    <row r="347" spans="1:48">
      <c r="A347" s="21" t="s">
        <v>1000</v>
      </c>
      <c r="B347" t="s">
        <v>1001</v>
      </c>
      <c r="C347" t="s">
        <v>864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27</v>
      </c>
      <c r="J347" s="35">
        <v>0</v>
      </c>
      <c r="K347" s="35">
        <v>0</v>
      </c>
      <c r="L347" s="35">
        <v>0</v>
      </c>
      <c r="M347">
        <v>27</v>
      </c>
      <c r="N347">
        <v>0</v>
      </c>
      <c r="O347">
        <v>27</v>
      </c>
      <c r="P347">
        <v>96</v>
      </c>
      <c r="Q347">
        <v>100</v>
      </c>
      <c r="R347">
        <v>148</v>
      </c>
      <c r="S347">
        <v>519</v>
      </c>
      <c r="T347">
        <v>0</v>
      </c>
      <c r="U347">
        <v>0</v>
      </c>
      <c r="V347">
        <v>0</v>
      </c>
      <c r="W347">
        <v>1</v>
      </c>
      <c r="X347" s="23">
        <v>0</v>
      </c>
      <c r="Y347" s="23">
        <v>0</v>
      </c>
      <c r="Z347" s="23">
        <v>0</v>
      </c>
      <c r="AA347" s="23">
        <v>0.00192678227360308</v>
      </c>
      <c r="AB347">
        <v>0</v>
      </c>
      <c r="AC347">
        <v>0</v>
      </c>
      <c r="AD347">
        <v>0</v>
      </c>
      <c r="AE347">
        <v>0.24</v>
      </c>
      <c r="AF347" s="23" t="s">
        <v>54</v>
      </c>
      <c r="AG347" s="23" t="s">
        <v>54</v>
      </c>
      <c r="AH347" s="23" t="s">
        <v>54</v>
      </c>
      <c r="AI347" s="23" t="s">
        <v>454</v>
      </c>
      <c r="AJ347">
        <v>2</v>
      </c>
      <c r="AK347">
        <v>3</v>
      </c>
      <c r="AL347">
        <v>2</v>
      </c>
      <c r="AM347">
        <v>3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27</v>
      </c>
      <c r="AU347" s="33" t="str">
        <f t="shared" si="9"/>
        <v>库存为27</v>
      </c>
      <c r="AV347" s="38" t="str">
        <f>IFERROR(时间!$B$4+AU347,"上周无销量")</f>
        <v>上周无销量</v>
      </c>
    </row>
    <row r="348" spans="1:48">
      <c r="A348" s="21" t="s">
        <v>1002</v>
      </c>
      <c r="B348" t="s">
        <v>1003</v>
      </c>
      <c r="C348" t="s">
        <v>940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14</v>
      </c>
      <c r="J348" s="35">
        <v>0</v>
      </c>
      <c r="K348" s="35">
        <v>0</v>
      </c>
      <c r="L348" s="35">
        <v>0</v>
      </c>
      <c r="M348">
        <v>14</v>
      </c>
      <c r="N348">
        <v>0</v>
      </c>
      <c r="O348">
        <v>14</v>
      </c>
      <c r="P348">
        <v>67</v>
      </c>
      <c r="Q348">
        <v>42</v>
      </c>
      <c r="R348">
        <v>123</v>
      </c>
      <c r="S348">
        <v>584</v>
      </c>
      <c r="T348">
        <v>0</v>
      </c>
      <c r="U348">
        <v>1</v>
      </c>
      <c r="V348">
        <v>0</v>
      </c>
      <c r="W348">
        <v>0</v>
      </c>
      <c r="X348" s="23">
        <v>0</v>
      </c>
      <c r="Y348" s="23">
        <v>0.0238095238095238</v>
      </c>
      <c r="Z348" s="23">
        <v>0</v>
      </c>
      <c r="AA348" s="23">
        <v>0</v>
      </c>
      <c r="AB348">
        <v>0</v>
      </c>
      <c r="AC348">
        <v>0.15</v>
      </c>
      <c r="AD348">
        <v>0</v>
      </c>
      <c r="AE348">
        <v>0</v>
      </c>
      <c r="AF348" s="23" t="s">
        <v>54</v>
      </c>
      <c r="AG348" s="23" t="s">
        <v>476</v>
      </c>
      <c r="AH348" s="23" t="s">
        <v>54</v>
      </c>
      <c r="AI348" s="23" t="s">
        <v>54</v>
      </c>
      <c r="AJ348">
        <v>2</v>
      </c>
      <c r="AK348">
        <v>4</v>
      </c>
      <c r="AL348">
        <v>2</v>
      </c>
      <c r="AM348">
        <v>2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14</v>
      </c>
      <c r="AU348" s="33" t="str">
        <f t="shared" si="9"/>
        <v>库存为14</v>
      </c>
      <c r="AV348" s="38" t="str">
        <f>IFERROR(时间!$B$4+AU348,"上周无销量")</f>
        <v>上周无销量</v>
      </c>
    </row>
    <row r="349" spans="1:48">
      <c r="A349" s="21" t="s">
        <v>1004</v>
      </c>
      <c r="B349" t="s">
        <v>1005</v>
      </c>
      <c r="C349" t="s">
        <v>940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10</v>
      </c>
      <c r="J349" s="35">
        <v>0</v>
      </c>
      <c r="K349" s="35">
        <v>0</v>
      </c>
      <c r="L349" s="35">
        <v>0</v>
      </c>
      <c r="M349">
        <v>10</v>
      </c>
      <c r="N349">
        <v>0</v>
      </c>
      <c r="O349">
        <v>10</v>
      </c>
      <c r="P349">
        <v>1</v>
      </c>
      <c r="Q349">
        <v>1</v>
      </c>
      <c r="R349">
        <v>194</v>
      </c>
      <c r="S349">
        <v>931</v>
      </c>
      <c r="T349">
        <v>0</v>
      </c>
      <c r="U349">
        <v>0</v>
      </c>
      <c r="V349">
        <v>0</v>
      </c>
      <c r="W349">
        <v>2</v>
      </c>
      <c r="X349" s="23">
        <v>0</v>
      </c>
      <c r="Y349" s="23">
        <v>0</v>
      </c>
      <c r="Z349" s="23">
        <v>0</v>
      </c>
      <c r="AA349" s="23">
        <v>0.00214822771213749</v>
      </c>
      <c r="AB349">
        <v>0</v>
      </c>
      <c r="AC349">
        <v>0</v>
      </c>
      <c r="AD349">
        <v>0</v>
      </c>
      <c r="AE349">
        <v>0.97</v>
      </c>
      <c r="AF349" s="23" t="s">
        <v>54</v>
      </c>
      <c r="AG349" s="23" t="s">
        <v>54</v>
      </c>
      <c r="AH349" s="23" t="s">
        <v>54</v>
      </c>
      <c r="AI349" s="23" t="s">
        <v>580</v>
      </c>
      <c r="AJ349">
        <v>2</v>
      </c>
      <c r="AK349">
        <v>2</v>
      </c>
      <c r="AL349">
        <v>2</v>
      </c>
      <c r="AM349">
        <v>2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10</v>
      </c>
      <c r="AU349" s="33" t="str">
        <f t="shared" si="9"/>
        <v>库存为10</v>
      </c>
      <c r="AV349" s="38" t="str">
        <f>IFERROR(时间!$B$4+AU349,"上周无销量")</f>
        <v>上周无销量</v>
      </c>
    </row>
    <row r="350" spans="1:48">
      <c r="A350" s="21" t="s">
        <v>1006</v>
      </c>
      <c r="B350" t="s">
        <v>1007</v>
      </c>
      <c r="C350" t="s">
        <v>1008</v>
      </c>
      <c r="D350" s="33">
        <v>0</v>
      </c>
      <c r="E350" s="33">
        <v>0</v>
      </c>
      <c r="F350" s="33">
        <v>0</v>
      </c>
      <c r="G350" s="33">
        <v>1</v>
      </c>
      <c r="H350" s="34">
        <v>9.99</v>
      </c>
      <c r="I350">
        <v>25</v>
      </c>
      <c r="J350" s="35">
        <v>0</v>
      </c>
      <c r="K350" s="35">
        <v>0</v>
      </c>
      <c r="L350" s="35">
        <v>0</v>
      </c>
      <c r="M350">
        <v>25</v>
      </c>
      <c r="N350">
        <v>0</v>
      </c>
      <c r="O350">
        <v>25</v>
      </c>
      <c r="P350">
        <v>2465</v>
      </c>
      <c r="Q350">
        <v>0</v>
      </c>
      <c r="R350">
        <v>2</v>
      </c>
      <c r="S350">
        <v>13</v>
      </c>
      <c r="T350">
        <v>11</v>
      </c>
      <c r="U350">
        <v>0</v>
      </c>
      <c r="V350">
        <v>0</v>
      </c>
      <c r="W350">
        <v>0</v>
      </c>
      <c r="X350" s="23">
        <v>0.00446247464503043</v>
      </c>
      <c r="Y350" s="23" t="s">
        <v>54</v>
      </c>
      <c r="Z350" s="23">
        <v>0</v>
      </c>
      <c r="AA350" s="23">
        <v>0</v>
      </c>
      <c r="AB350">
        <v>5.87</v>
      </c>
      <c r="AC350">
        <v>0</v>
      </c>
      <c r="AD350">
        <v>0</v>
      </c>
      <c r="AE350">
        <v>0</v>
      </c>
      <c r="AF350" s="23" t="s">
        <v>1009</v>
      </c>
      <c r="AG350" s="23" t="s">
        <v>54</v>
      </c>
      <c r="AH350" s="23" t="s">
        <v>54</v>
      </c>
      <c r="AI350" s="23" t="s">
        <v>54</v>
      </c>
      <c r="AJ350">
        <v>7</v>
      </c>
      <c r="AK350">
        <v>2</v>
      </c>
      <c r="AL350">
        <v>4</v>
      </c>
      <c r="AM350">
        <v>6</v>
      </c>
      <c r="AN350" s="23">
        <v>0</v>
      </c>
      <c r="AO350" s="23">
        <v>0</v>
      </c>
      <c r="AP350" s="23">
        <v>0</v>
      </c>
      <c r="AQ350" s="23">
        <v>0.166666666666667</v>
      </c>
      <c r="AR350" s="37">
        <v>0</v>
      </c>
      <c r="AS350" s="37">
        <v>0</v>
      </c>
      <c r="AT350" s="37">
        <v>25</v>
      </c>
      <c r="AU350" s="33" t="str">
        <f t="shared" si="9"/>
        <v>库存为25</v>
      </c>
      <c r="AV350" s="38" t="str">
        <f>IFERROR(时间!$B$4+AU350,"上周无销量")</f>
        <v>上周无销量</v>
      </c>
    </row>
    <row r="351" spans="1:48">
      <c r="A351" s="21" t="s">
        <v>1010</v>
      </c>
      <c r="B351" t="s">
        <v>1011</v>
      </c>
      <c r="C351" t="s">
        <v>1012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46</v>
      </c>
      <c r="J351" s="35">
        <v>0</v>
      </c>
      <c r="K351" s="35">
        <v>0</v>
      </c>
      <c r="L351" s="35">
        <v>0</v>
      </c>
      <c r="M351">
        <v>46</v>
      </c>
      <c r="N351">
        <v>0</v>
      </c>
      <c r="O351">
        <v>46</v>
      </c>
      <c r="P351">
        <v>0</v>
      </c>
      <c r="Q351">
        <v>0</v>
      </c>
      <c r="R351">
        <v>0</v>
      </c>
      <c r="S351">
        <v>27</v>
      </c>
      <c r="T351">
        <v>0</v>
      </c>
      <c r="U351">
        <v>0</v>
      </c>
      <c r="V351">
        <v>0</v>
      </c>
      <c r="W351">
        <v>0</v>
      </c>
      <c r="X351" s="23" t="s">
        <v>54</v>
      </c>
      <c r="Y351" s="23" t="s">
        <v>54</v>
      </c>
      <c r="Z351" s="23" t="s">
        <v>54</v>
      </c>
      <c r="AA351" s="23">
        <v>0</v>
      </c>
      <c r="AB351">
        <v>0</v>
      </c>
      <c r="AC351">
        <v>0</v>
      </c>
      <c r="AD351">
        <v>0</v>
      </c>
      <c r="AE351">
        <v>0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1</v>
      </c>
      <c r="AK351">
        <v>0</v>
      </c>
      <c r="AL351">
        <v>1</v>
      </c>
      <c r="AM351">
        <v>8</v>
      </c>
      <c r="AN351" s="23">
        <v>0</v>
      </c>
      <c r="AO351" s="23" t="s">
        <v>54</v>
      </c>
      <c r="AP351" s="23">
        <v>0</v>
      </c>
      <c r="AQ351" s="23">
        <v>0</v>
      </c>
      <c r="AR351" s="37">
        <v>0</v>
      </c>
      <c r="AS351" s="37">
        <v>0</v>
      </c>
      <c r="AT351" s="37">
        <v>46</v>
      </c>
      <c r="AU351" s="33" t="str">
        <f t="shared" si="9"/>
        <v>库存为46</v>
      </c>
      <c r="AV351" s="38" t="str">
        <f>IFERROR(时间!$B$4+AU351,"上周无销量")</f>
        <v>上周无销量</v>
      </c>
    </row>
    <row r="352" spans="1:48">
      <c r="A352" s="21" t="s">
        <v>1013</v>
      </c>
      <c r="B352" t="s">
        <v>1014</v>
      </c>
      <c r="C352" t="s">
        <v>1015</v>
      </c>
      <c r="D352" s="33">
        <v>1</v>
      </c>
      <c r="E352" s="33">
        <v>0</v>
      </c>
      <c r="F352" s="33">
        <v>0</v>
      </c>
      <c r="G352" s="33">
        <v>0</v>
      </c>
      <c r="H352" s="34">
        <v>15.99</v>
      </c>
      <c r="I352">
        <v>17</v>
      </c>
      <c r="J352" s="35">
        <v>0</v>
      </c>
      <c r="K352" s="35">
        <v>0</v>
      </c>
      <c r="L352" s="35">
        <v>0</v>
      </c>
      <c r="M352">
        <v>17</v>
      </c>
      <c r="N352">
        <v>0</v>
      </c>
      <c r="O352">
        <v>17</v>
      </c>
      <c r="P352">
        <v>0</v>
      </c>
      <c r="Q352">
        <v>0</v>
      </c>
      <c r="R352">
        <v>3</v>
      </c>
      <c r="S352">
        <v>19</v>
      </c>
      <c r="T352">
        <v>0</v>
      </c>
      <c r="U352">
        <v>0</v>
      </c>
      <c r="V352">
        <v>0</v>
      </c>
      <c r="W352">
        <v>0</v>
      </c>
      <c r="X352" s="23" t="s">
        <v>54</v>
      </c>
      <c r="Y352" s="23" t="s">
        <v>54</v>
      </c>
      <c r="Z352" s="23">
        <v>0</v>
      </c>
      <c r="AA352" s="23">
        <v>0</v>
      </c>
      <c r="AB352">
        <v>0</v>
      </c>
      <c r="AC352">
        <v>0</v>
      </c>
      <c r="AD352">
        <v>0</v>
      </c>
      <c r="AE352">
        <v>0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3</v>
      </c>
      <c r="AK352">
        <v>0</v>
      </c>
      <c r="AL352">
        <v>2</v>
      </c>
      <c r="AM352">
        <v>2</v>
      </c>
      <c r="AN352" s="23">
        <v>0.333333333333333</v>
      </c>
      <c r="AO352" s="23" t="s">
        <v>54</v>
      </c>
      <c r="AP352" s="23">
        <v>0</v>
      </c>
      <c r="AQ352" s="23">
        <v>0</v>
      </c>
      <c r="AR352" s="37">
        <v>0.142857142857143</v>
      </c>
      <c r="AS352" s="37">
        <v>8.57142857142857</v>
      </c>
      <c r="AT352" s="37">
        <v>8.42857142857143</v>
      </c>
      <c r="AU352" s="33">
        <f t="shared" si="9"/>
        <v>119</v>
      </c>
      <c r="AV352" s="38">
        <f>IFERROR(时间!$B$4+AU352,"上周无销量")</f>
        <v>43437</v>
      </c>
    </row>
    <row r="353" spans="1:48">
      <c r="A353" s="21" t="s">
        <v>1016</v>
      </c>
      <c r="B353" t="s">
        <v>1017</v>
      </c>
      <c r="C353" t="s">
        <v>1015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18</v>
      </c>
      <c r="J353" s="35">
        <v>0</v>
      </c>
      <c r="K353" s="35">
        <v>0</v>
      </c>
      <c r="L353" s="35">
        <v>0</v>
      </c>
      <c r="M353">
        <v>18</v>
      </c>
      <c r="N353">
        <v>0</v>
      </c>
      <c r="O353">
        <v>18</v>
      </c>
      <c r="P353">
        <v>0</v>
      </c>
      <c r="Q353">
        <v>0</v>
      </c>
      <c r="R353">
        <v>0</v>
      </c>
      <c r="S353">
        <v>7</v>
      </c>
      <c r="T353">
        <v>0</v>
      </c>
      <c r="U353">
        <v>0</v>
      </c>
      <c r="V353">
        <v>0</v>
      </c>
      <c r="W353">
        <v>0</v>
      </c>
      <c r="X353" s="23" t="s">
        <v>54</v>
      </c>
      <c r="Y353" s="23" t="s">
        <v>54</v>
      </c>
      <c r="Z353" s="23" t="s">
        <v>54</v>
      </c>
      <c r="AA353" s="23">
        <v>0</v>
      </c>
      <c r="AB353">
        <v>0</v>
      </c>
      <c r="AC353">
        <v>0</v>
      </c>
      <c r="AD353">
        <v>0</v>
      </c>
      <c r="AE353">
        <v>0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1</v>
      </c>
      <c r="AK353">
        <v>1</v>
      </c>
      <c r="AL353">
        <v>1</v>
      </c>
      <c r="AM353">
        <v>3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18</v>
      </c>
      <c r="AU353" s="33" t="str">
        <f t="shared" si="9"/>
        <v>库存为18</v>
      </c>
      <c r="AV353" s="38" t="str">
        <f>IFERROR(时间!$B$4+AU353,"上周无销量")</f>
        <v>上周无销量</v>
      </c>
    </row>
    <row r="354" spans="1:48">
      <c r="A354" s="21" t="s">
        <v>1018</v>
      </c>
      <c r="B354" t="s">
        <v>1019</v>
      </c>
      <c r="C354" t="s">
        <v>1015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20</v>
      </c>
      <c r="J354" s="35">
        <v>0</v>
      </c>
      <c r="K354" s="35">
        <v>0</v>
      </c>
      <c r="L354" s="35">
        <v>0</v>
      </c>
      <c r="M354">
        <v>20</v>
      </c>
      <c r="N354">
        <v>0</v>
      </c>
      <c r="O354">
        <v>20</v>
      </c>
      <c r="P354">
        <v>564</v>
      </c>
      <c r="Q354">
        <v>536</v>
      </c>
      <c r="R354">
        <v>356</v>
      </c>
      <c r="S354">
        <v>16</v>
      </c>
      <c r="T354">
        <v>6</v>
      </c>
      <c r="U354">
        <v>5</v>
      </c>
      <c r="V354">
        <v>1</v>
      </c>
      <c r="W354">
        <v>0</v>
      </c>
      <c r="X354" s="23">
        <v>0.0106382978723404</v>
      </c>
      <c r="Y354" s="23">
        <v>0.00932835820895522</v>
      </c>
      <c r="Z354" s="23">
        <v>0.00280898876404494</v>
      </c>
      <c r="AA354" s="23">
        <v>0</v>
      </c>
      <c r="AB354">
        <v>2.24</v>
      </c>
      <c r="AC354">
        <v>2.48</v>
      </c>
      <c r="AD354">
        <v>0.41</v>
      </c>
      <c r="AE354">
        <v>0</v>
      </c>
      <c r="AF354" s="23" t="s">
        <v>246</v>
      </c>
      <c r="AG354" s="23" t="s">
        <v>1020</v>
      </c>
      <c r="AH354" s="23" t="s">
        <v>267</v>
      </c>
      <c r="AI354" s="23" t="s">
        <v>54</v>
      </c>
      <c r="AJ354">
        <v>4</v>
      </c>
      <c r="AK354">
        <v>2</v>
      </c>
      <c r="AL354">
        <v>3</v>
      </c>
      <c r="AM354">
        <v>4</v>
      </c>
      <c r="AN354" s="23">
        <v>0</v>
      </c>
      <c r="AO354" s="23">
        <v>0</v>
      </c>
      <c r="AP354" s="23">
        <v>0</v>
      </c>
      <c r="AQ354" s="23">
        <v>0</v>
      </c>
      <c r="AR354" s="37">
        <v>0</v>
      </c>
      <c r="AS354" s="37">
        <v>0</v>
      </c>
      <c r="AT354" s="37">
        <v>20</v>
      </c>
      <c r="AU354" s="33" t="str">
        <f t="shared" si="9"/>
        <v>库存为20</v>
      </c>
      <c r="AV354" s="38" t="str">
        <f>IFERROR(时间!$B$4+AU354,"上周无销量")</f>
        <v>上周无销量</v>
      </c>
    </row>
    <row r="355" spans="1:48">
      <c r="A355" s="21" t="s">
        <v>1021</v>
      </c>
      <c r="B355" t="s">
        <v>1022</v>
      </c>
      <c r="C355" t="s">
        <v>1023</v>
      </c>
      <c r="D355" s="33">
        <v>0</v>
      </c>
      <c r="E355" s="33">
        <v>1</v>
      </c>
      <c r="F355" s="33">
        <v>0</v>
      </c>
      <c r="G355" s="33">
        <v>0</v>
      </c>
      <c r="H355" s="34">
        <v>15.99</v>
      </c>
      <c r="I355">
        <v>14</v>
      </c>
      <c r="J355" s="35">
        <v>0</v>
      </c>
      <c r="K355" s="35">
        <v>0</v>
      </c>
      <c r="L355" s="35">
        <v>0</v>
      </c>
      <c r="M355">
        <v>14</v>
      </c>
      <c r="N355">
        <v>0</v>
      </c>
      <c r="O355">
        <v>14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3</v>
      </c>
      <c r="AK355">
        <v>6</v>
      </c>
      <c r="AL355">
        <v>1</v>
      </c>
      <c r="AM355">
        <v>2</v>
      </c>
      <c r="AN355" s="23">
        <v>0</v>
      </c>
      <c r="AO355" s="23">
        <v>0.166666666666667</v>
      </c>
      <c r="AP355" s="23">
        <v>0</v>
      </c>
      <c r="AQ355" s="23">
        <v>0</v>
      </c>
      <c r="AR355" s="37">
        <v>0</v>
      </c>
      <c r="AS355" s="37">
        <v>0</v>
      </c>
      <c r="AT355" s="37">
        <v>14</v>
      </c>
      <c r="AU355" s="33" t="str">
        <f t="shared" si="9"/>
        <v>库存为14</v>
      </c>
      <c r="AV355" s="38" t="str">
        <f>IFERROR(时间!$B$4+AU355,"上周无销量")</f>
        <v>上周无销量</v>
      </c>
    </row>
    <row r="356" spans="1:48">
      <c r="A356" s="21" t="s">
        <v>1024</v>
      </c>
      <c r="B356" t="s">
        <v>1025</v>
      </c>
      <c r="C356" t="s">
        <v>1023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9</v>
      </c>
      <c r="J356" s="35">
        <v>0</v>
      </c>
      <c r="K356" s="35">
        <v>0</v>
      </c>
      <c r="L356" s="35">
        <v>0</v>
      </c>
      <c r="M356">
        <v>9</v>
      </c>
      <c r="N356">
        <v>0</v>
      </c>
      <c r="O356">
        <v>9</v>
      </c>
      <c r="P356">
        <v>202</v>
      </c>
      <c r="Q356">
        <v>557</v>
      </c>
      <c r="R356">
        <v>397</v>
      </c>
      <c r="S356">
        <v>37</v>
      </c>
      <c r="T356">
        <v>0</v>
      </c>
      <c r="U356">
        <v>0</v>
      </c>
      <c r="V356">
        <v>1</v>
      </c>
      <c r="W356">
        <v>0</v>
      </c>
      <c r="X356" s="23">
        <v>0</v>
      </c>
      <c r="Y356" s="23">
        <v>0</v>
      </c>
      <c r="Z356" s="23">
        <v>0.00251889168765743</v>
      </c>
      <c r="AA356" s="23">
        <v>0</v>
      </c>
      <c r="AB356">
        <v>0</v>
      </c>
      <c r="AC356">
        <v>0</v>
      </c>
      <c r="AD356">
        <v>0.73</v>
      </c>
      <c r="AE356">
        <v>0</v>
      </c>
      <c r="AF356" s="23" t="s">
        <v>54</v>
      </c>
      <c r="AG356" s="23" t="s">
        <v>54</v>
      </c>
      <c r="AH356" s="23" t="s">
        <v>1026</v>
      </c>
      <c r="AI356" s="23" t="s">
        <v>54</v>
      </c>
      <c r="AJ356">
        <v>4</v>
      </c>
      <c r="AK356">
        <v>9</v>
      </c>
      <c r="AL356">
        <v>1</v>
      </c>
      <c r="AM356">
        <v>2</v>
      </c>
      <c r="AN356" s="23">
        <v>0</v>
      </c>
      <c r="AO356" s="23">
        <v>0</v>
      </c>
      <c r="AP356" s="23">
        <v>0</v>
      </c>
      <c r="AQ356" s="23">
        <v>0</v>
      </c>
      <c r="AR356" s="37">
        <v>0</v>
      </c>
      <c r="AS356" s="37">
        <v>0</v>
      </c>
      <c r="AT356" s="37">
        <v>9</v>
      </c>
      <c r="AU356" s="33" t="str">
        <f t="shared" si="9"/>
        <v>库存为9</v>
      </c>
      <c r="AV356" s="38" t="str">
        <f>IFERROR(时间!$B$4+AU356,"上周无销量")</f>
        <v>上周无销量</v>
      </c>
    </row>
    <row r="357" spans="1:48">
      <c r="A357" s="21" t="s">
        <v>1027</v>
      </c>
      <c r="B357" t="s">
        <v>1028</v>
      </c>
      <c r="C357" t="s">
        <v>1023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5</v>
      </c>
      <c r="J357" s="35">
        <v>0</v>
      </c>
      <c r="K357" s="35">
        <v>0</v>
      </c>
      <c r="L357" s="35">
        <v>0</v>
      </c>
      <c r="M357">
        <v>5</v>
      </c>
      <c r="N357">
        <v>0</v>
      </c>
      <c r="O357">
        <v>5</v>
      </c>
      <c r="P357">
        <v>1274</v>
      </c>
      <c r="Q357">
        <v>1399</v>
      </c>
      <c r="R357">
        <v>934</v>
      </c>
      <c r="S357">
        <v>253</v>
      </c>
      <c r="T357">
        <v>1</v>
      </c>
      <c r="U357">
        <v>3</v>
      </c>
      <c r="V357">
        <v>1</v>
      </c>
      <c r="W357">
        <v>0</v>
      </c>
      <c r="X357" s="23">
        <v>0.000784929356357928</v>
      </c>
      <c r="Y357" s="23">
        <v>0.00214438884917798</v>
      </c>
      <c r="Z357" s="23">
        <v>0.00107066381156317</v>
      </c>
      <c r="AA357" s="23">
        <v>0</v>
      </c>
      <c r="AB357">
        <v>0.12</v>
      </c>
      <c r="AC357">
        <v>1.5</v>
      </c>
      <c r="AD357">
        <v>0.29</v>
      </c>
      <c r="AE357">
        <v>0</v>
      </c>
      <c r="AF357" s="23" t="s">
        <v>289</v>
      </c>
      <c r="AG357" s="23" t="s">
        <v>1029</v>
      </c>
      <c r="AH357" s="23" t="s">
        <v>675</v>
      </c>
      <c r="AI357" s="23" t="s">
        <v>54</v>
      </c>
      <c r="AJ357">
        <v>5</v>
      </c>
      <c r="AK357">
        <v>4</v>
      </c>
      <c r="AL357">
        <v>5</v>
      </c>
      <c r="AM357">
        <v>3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5</v>
      </c>
      <c r="AU357" s="33" t="str">
        <f t="shared" si="9"/>
        <v>库存为5</v>
      </c>
      <c r="AV357" s="38" t="str">
        <f>IFERROR(时间!$B$4+AU357,"上周无销量")</f>
        <v>上周无销量</v>
      </c>
    </row>
    <row r="358" spans="1:48">
      <c r="A358" s="21" t="s">
        <v>1030</v>
      </c>
      <c r="B358" t="s">
        <v>1031</v>
      </c>
      <c r="C358" t="s">
        <v>1023</v>
      </c>
      <c r="D358" s="33">
        <v>0</v>
      </c>
      <c r="E358" s="33">
        <v>1</v>
      </c>
      <c r="F358" s="33">
        <v>0</v>
      </c>
      <c r="G358" s="33">
        <v>0</v>
      </c>
      <c r="H358" s="34">
        <v>15.99</v>
      </c>
      <c r="I358">
        <v>17</v>
      </c>
      <c r="J358" s="35">
        <v>0</v>
      </c>
      <c r="K358" s="35">
        <v>0</v>
      </c>
      <c r="L358" s="35">
        <v>0</v>
      </c>
      <c r="M358">
        <v>17</v>
      </c>
      <c r="N358">
        <v>0</v>
      </c>
      <c r="O358">
        <v>17</v>
      </c>
      <c r="P358">
        <v>325</v>
      </c>
      <c r="Q358">
        <v>280</v>
      </c>
      <c r="R358">
        <v>601</v>
      </c>
      <c r="S358">
        <v>486</v>
      </c>
      <c r="T358">
        <v>0</v>
      </c>
      <c r="U358">
        <v>0</v>
      </c>
      <c r="V358">
        <v>0</v>
      </c>
      <c r="W358">
        <v>0</v>
      </c>
      <c r="X358" s="23">
        <v>0</v>
      </c>
      <c r="Y358" s="23">
        <v>0</v>
      </c>
      <c r="Z358" s="23">
        <v>0</v>
      </c>
      <c r="AA358" s="23">
        <v>0</v>
      </c>
      <c r="AB358">
        <v>0</v>
      </c>
      <c r="AC358">
        <v>0</v>
      </c>
      <c r="AD358">
        <v>0</v>
      </c>
      <c r="AE358">
        <v>0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2</v>
      </c>
      <c r="AK358">
        <v>2</v>
      </c>
      <c r="AL358">
        <v>2</v>
      </c>
      <c r="AM358">
        <v>2</v>
      </c>
      <c r="AN358" s="23">
        <v>0</v>
      </c>
      <c r="AO358" s="23">
        <v>0.5</v>
      </c>
      <c r="AP358" s="23">
        <v>0</v>
      </c>
      <c r="AQ358" s="23">
        <v>0</v>
      </c>
      <c r="AR358" s="37">
        <v>0</v>
      </c>
      <c r="AS358" s="37">
        <v>0</v>
      </c>
      <c r="AT358" s="37">
        <v>17</v>
      </c>
      <c r="AU358" s="33" t="str">
        <f t="shared" si="9"/>
        <v>库存为17</v>
      </c>
      <c r="AV358" s="38" t="str">
        <f>IFERROR(时间!$B$4+AU358,"上周无销量")</f>
        <v>上周无销量</v>
      </c>
    </row>
    <row r="359" spans="1:48">
      <c r="A359" s="21" t="s">
        <v>1032</v>
      </c>
      <c r="B359" t="s">
        <v>1033</v>
      </c>
      <c r="C359" t="s">
        <v>1023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14</v>
      </c>
      <c r="J359" s="35">
        <v>0</v>
      </c>
      <c r="K359" s="35">
        <v>0</v>
      </c>
      <c r="L359" s="35">
        <v>0</v>
      </c>
      <c r="M359">
        <v>14</v>
      </c>
      <c r="N359">
        <v>0</v>
      </c>
      <c r="O359">
        <v>14</v>
      </c>
      <c r="P359">
        <v>67</v>
      </c>
      <c r="Q359">
        <v>77</v>
      </c>
      <c r="R359">
        <v>101</v>
      </c>
      <c r="S359">
        <v>122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>
        <v>0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5</v>
      </c>
      <c r="AK359">
        <v>1</v>
      </c>
      <c r="AL359">
        <v>1</v>
      </c>
      <c r="AM359">
        <v>2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14</v>
      </c>
      <c r="AU359" s="33" t="str">
        <f t="shared" si="9"/>
        <v>库存为14</v>
      </c>
      <c r="AV359" s="38" t="str">
        <f>IFERROR(时间!$B$4+AU359,"上周无销量")</f>
        <v>上周无销量</v>
      </c>
    </row>
    <row r="360" spans="1:48">
      <c r="A360" s="21" t="s">
        <v>1034</v>
      </c>
      <c r="B360" t="s">
        <v>1035</v>
      </c>
      <c r="C360" t="s">
        <v>1023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9</v>
      </c>
      <c r="J360" s="35">
        <v>0</v>
      </c>
      <c r="K360" s="35">
        <v>0</v>
      </c>
      <c r="L360" s="35">
        <v>0</v>
      </c>
      <c r="M360">
        <v>9</v>
      </c>
      <c r="N360">
        <v>0</v>
      </c>
      <c r="O360">
        <v>9</v>
      </c>
      <c r="P360">
        <v>68</v>
      </c>
      <c r="Q360">
        <v>54</v>
      </c>
      <c r="R360">
        <v>368</v>
      </c>
      <c r="S360">
        <v>244</v>
      </c>
      <c r="T360">
        <v>0</v>
      </c>
      <c r="U360">
        <v>0</v>
      </c>
      <c r="V360">
        <v>0</v>
      </c>
      <c r="W360">
        <v>0</v>
      </c>
      <c r="X360" s="23">
        <v>0</v>
      </c>
      <c r="Y360" s="23">
        <v>0</v>
      </c>
      <c r="Z360" s="23">
        <v>0</v>
      </c>
      <c r="AA360" s="23">
        <v>0</v>
      </c>
      <c r="AB360">
        <v>0</v>
      </c>
      <c r="AC360">
        <v>0</v>
      </c>
      <c r="AD360">
        <v>0</v>
      </c>
      <c r="AE360">
        <v>0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3</v>
      </c>
      <c r="AK360">
        <v>5</v>
      </c>
      <c r="AL360">
        <v>1</v>
      </c>
      <c r="AM360">
        <v>3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9</v>
      </c>
      <c r="AU360" s="33" t="str">
        <f t="shared" si="9"/>
        <v>库存为9</v>
      </c>
      <c r="AV360" s="38" t="str">
        <f>IFERROR(时间!$B$4+AU360,"上周无销量")</f>
        <v>上周无销量</v>
      </c>
    </row>
    <row r="361" spans="1:48">
      <c r="A361" s="21" t="s">
        <v>1036</v>
      </c>
      <c r="B361" t="s">
        <v>1037</v>
      </c>
      <c r="C361" t="s">
        <v>1023</v>
      </c>
      <c r="D361" s="33">
        <v>0</v>
      </c>
      <c r="E361" s="33">
        <v>1</v>
      </c>
      <c r="F361" s="33">
        <v>0</v>
      </c>
      <c r="G361" s="33">
        <v>0</v>
      </c>
      <c r="H361" s="34">
        <v>15.99</v>
      </c>
      <c r="I361">
        <v>4</v>
      </c>
      <c r="J361" s="35">
        <v>0</v>
      </c>
      <c r="K361" s="35">
        <v>0</v>
      </c>
      <c r="L361" s="35">
        <v>0</v>
      </c>
      <c r="M361">
        <v>4</v>
      </c>
      <c r="N361">
        <v>0</v>
      </c>
      <c r="O361">
        <v>4</v>
      </c>
      <c r="P361">
        <v>77</v>
      </c>
      <c r="Q361">
        <v>169</v>
      </c>
      <c r="R361">
        <v>109</v>
      </c>
      <c r="S361">
        <v>61</v>
      </c>
      <c r="T361">
        <v>1</v>
      </c>
      <c r="U361">
        <v>0</v>
      </c>
      <c r="V361">
        <v>0</v>
      </c>
      <c r="W361">
        <v>0</v>
      </c>
      <c r="X361" s="23">
        <v>0.012987012987013</v>
      </c>
      <c r="Y361" s="23">
        <v>0</v>
      </c>
      <c r="Z361" s="23">
        <v>0</v>
      </c>
      <c r="AA361" s="23">
        <v>0</v>
      </c>
      <c r="AB361">
        <v>0.3</v>
      </c>
      <c r="AC361">
        <v>0</v>
      </c>
      <c r="AD361">
        <v>0</v>
      </c>
      <c r="AE361">
        <v>0</v>
      </c>
      <c r="AF361" s="23" t="s">
        <v>882</v>
      </c>
      <c r="AG361" s="23" t="s">
        <v>54</v>
      </c>
      <c r="AH361" s="23" t="s">
        <v>54</v>
      </c>
      <c r="AI361" s="23" t="s">
        <v>54</v>
      </c>
      <c r="AJ361">
        <v>4</v>
      </c>
      <c r="AK361">
        <v>6</v>
      </c>
      <c r="AL361">
        <v>2</v>
      </c>
      <c r="AM361">
        <v>4</v>
      </c>
      <c r="AN361" s="23">
        <v>0</v>
      </c>
      <c r="AO361" s="23">
        <v>0.166666666666667</v>
      </c>
      <c r="AP361" s="23">
        <v>0</v>
      </c>
      <c r="AQ361" s="23">
        <v>0</v>
      </c>
      <c r="AR361" s="37">
        <v>0</v>
      </c>
      <c r="AS361" s="37">
        <v>0</v>
      </c>
      <c r="AT361" s="37">
        <v>4</v>
      </c>
      <c r="AU361" s="33" t="str">
        <f t="shared" si="9"/>
        <v>库存为4</v>
      </c>
      <c r="AV361" s="38" t="str">
        <f>IFERROR(时间!$B$4+AU361,"上周无销量")</f>
        <v>上周无销量</v>
      </c>
    </row>
    <row r="362" spans="1:48">
      <c r="A362" s="21" t="s">
        <v>1038</v>
      </c>
      <c r="B362" t="s">
        <v>1039</v>
      </c>
      <c r="C362" t="s">
        <v>1023</v>
      </c>
      <c r="D362" s="33">
        <v>0</v>
      </c>
      <c r="E362" s="33">
        <v>0</v>
      </c>
      <c r="F362" s="33">
        <v>0</v>
      </c>
      <c r="G362" s="33">
        <v>1</v>
      </c>
      <c r="H362" s="34">
        <v>15.99</v>
      </c>
      <c r="I362">
        <v>17</v>
      </c>
      <c r="J362" s="35">
        <v>0</v>
      </c>
      <c r="K362" s="35">
        <v>0</v>
      </c>
      <c r="L362" s="35">
        <v>0</v>
      </c>
      <c r="M362">
        <v>17</v>
      </c>
      <c r="N362">
        <v>0</v>
      </c>
      <c r="O362">
        <v>16</v>
      </c>
      <c r="P362">
        <v>978</v>
      </c>
      <c r="Q362">
        <v>763</v>
      </c>
      <c r="R362">
        <v>1348</v>
      </c>
      <c r="S362">
        <v>387</v>
      </c>
      <c r="T362">
        <v>3</v>
      </c>
      <c r="U362">
        <v>6</v>
      </c>
      <c r="V362">
        <v>1</v>
      </c>
      <c r="W362">
        <v>1</v>
      </c>
      <c r="X362" s="23">
        <v>0.00306748466257669</v>
      </c>
      <c r="Y362" s="23">
        <v>0.00786369593709043</v>
      </c>
      <c r="Z362" s="23">
        <v>0.000741839762611276</v>
      </c>
      <c r="AA362" s="23">
        <v>0.00258397932816537</v>
      </c>
      <c r="AB362">
        <v>1</v>
      </c>
      <c r="AC362">
        <v>2.25</v>
      </c>
      <c r="AD362">
        <v>0.5</v>
      </c>
      <c r="AE362">
        <v>0.38</v>
      </c>
      <c r="AF362" s="23" t="s">
        <v>676</v>
      </c>
      <c r="AG362" s="23" t="s">
        <v>1040</v>
      </c>
      <c r="AH362" s="23" t="s">
        <v>481</v>
      </c>
      <c r="AI362" s="23">
        <v>0.0237648530331457</v>
      </c>
      <c r="AJ362">
        <v>11</v>
      </c>
      <c r="AK362">
        <v>9</v>
      </c>
      <c r="AL362">
        <v>3</v>
      </c>
      <c r="AM362">
        <v>4</v>
      </c>
      <c r="AN362" s="23">
        <v>0</v>
      </c>
      <c r="AO362" s="23">
        <v>0</v>
      </c>
      <c r="AP362" s="23">
        <v>0</v>
      </c>
      <c r="AQ362" s="23">
        <v>0.25</v>
      </c>
      <c r="AR362" s="37">
        <v>0</v>
      </c>
      <c r="AS362" s="37">
        <v>0</v>
      </c>
      <c r="AT362" s="37">
        <v>17</v>
      </c>
      <c r="AU362" s="33" t="str">
        <f t="shared" si="9"/>
        <v>库存为17</v>
      </c>
      <c r="AV362" s="38" t="str">
        <f>IFERROR(时间!$B$4+AU362,"上周无销量")</f>
        <v>上周无销量</v>
      </c>
    </row>
    <row r="363" spans="1:48">
      <c r="A363" s="21" t="s">
        <v>1041</v>
      </c>
      <c r="B363" t="s">
        <v>1042</v>
      </c>
      <c r="C363" t="s">
        <v>1043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1</v>
      </c>
      <c r="J363" s="35">
        <v>0</v>
      </c>
      <c r="K363" s="35">
        <v>0</v>
      </c>
      <c r="L363" s="35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3</v>
      </c>
      <c r="AK363">
        <v>4</v>
      </c>
      <c r="AL363">
        <v>1</v>
      </c>
      <c r="AM363">
        <v>2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1</v>
      </c>
      <c r="AU363" s="33" t="str">
        <f t="shared" si="9"/>
        <v>库存为1</v>
      </c>
      <c r="AV363" s="38" t="str">
        <f>IFERROR(时间!$B$4+AU363,"上周无销量")</f>
        <v>上周无销量</v>
      </c>
    </row>
    <row r="364" spans="1:48">
      <c r="A364" s="21" t="s">
        <v>1044</v>
      </c>
      <c r="B364" t="s">
        <v>1045</v>
      </c>
      <c r="C364" t="s">
        <v>1046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1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3</v>
      </c>
      <c r="AL364">
        <v>0</v>
      </c>
      <c r="AM364">
        <v>2</v>
      </c>
      <c r="AN364" s="23">
        <v>0</v>
      </c>
      <c r="AO364" s="23">
        <v>0</v>
      </c>
      <c r="AP364" s="23" t="s">
        <v>54</v>
      </c>
      <c r="AQ364" s="23">
        <v>0</v>
      </c>
      <c r="AR364" s="37">
        <v>0</v>
      </c>
      <c r="AS364" s="37">
        <v>0</v>
      </c>
      <c r="AT364" s="37">
        <v>1</v>
      </c>
      <c r="AU364" s="33" t="str">
        <f t="shared" si="9"/>
        <v>库存为1</v>
      </c>
      <c r="AV364" s="38" t="str">
        <f>IFERROR(时间!$B$4+AU364,"上周无销量")</f>
        <v>上周无销量</v>
      </c>
    </row>
    <row r="365" spans="1:48">
      <c r="A365" s="21" t="s">
        <v>1047</v>
      </c>
      <c r="B365" t="s">
        <v>1048</v>
      </c>
      <c r="C365" t="s">
        <v>1046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1</v>
      </c>
      <c r="J365" s="35">
        <v>0</v>
      </c>
      <c r="K365" s="35">
        <v>0</v>
      </c>
      <c r="L365" s="35">
        <v>0</v>
      </c>
      <c r="M365">
        <v>1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4</v>
      </c>
      <c r="AK365">
        <v>6</v>
      </c>
      <c r="AL365">
        <v>1</v>
      </c>
      <c r="AM365">
        <v>3</v>
      </c>
      <c r="AN365" s="23">
        <v>0</v>
      </c>
      <c r="AO365" s="23">
        <v>0</v>
      </c>
      <c r="AP365" s="23">
        <v>0</v>
      </c>
      <c r="AQ365" s="23">
        <v>0</v>
      </c>
      <c r="AR365" s="37">
        <v>0</v>
      </c>
      <c r="AS365" s="37">
        <v>0</v>
      </c>
      <c r="AT365" s="37">
        <v>1</v>
      </c>
      <c r="AU365" s="33" t="str">
        <f t="shared" si="9"/>
        <v>库存为1</v>
      </c>
      <c r="AV365" s="38" t="str">
        <f>IFERROR(时间!$B$4+AU365,"上周无销量")</f>
        <v>上周无销量</v>
      </c>
    </row>
    <row r="366" spans="1:48">
      <c r="A366" s="21" t="s">
        <v>1049</v>
      </c>
      <c r="B366" t="s">
        <v>1050</v>
      </c>
      <c r="C366" t="s">
        <v>1046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1</v>
      </c>
      <c r="J366" s="35">
        <v>0</v>
      </c>
      <c r="K366" s="35">
        <v>0</v>
      </c>
      <c r="L366" s="35">
        <v>0</v>
      </c>
      <c r="M366">
        <v>1</v>
      </c>
      <c r="N366">
        <v>0</v>
      </c>
      <c r="O366">
        <v>1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4</v>
      </c>
      <c r="AK366">
        <v>5</v>
      </c>
      <c r="AL366">
        <v>3</v>
      </c>
      <c r="AM366">
        <v>4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1</v>
      </c>
      <c r="AU366" s="33" t="str">
        <f t="shared" si="9"/>
        <v>库存为1</v>
      </c>
      <c r="AV366" s="38" t="str">
        <f>IFERROR(时间!$B$4+AU366,"上周无销量")</f>
        <v>上周无销量</v>
      </c>
    </row>
    <row r="367" spans="1:48">
      <c r="A367" s="21" t="s">
        <v>1051</v>
      </c>
      <c r="B367" t="s">
        <v>1052</v>
      </c>
      <c r="C367" t="s">
        <v>1053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1</v>
      </c>
      <c r="J367" s="35">
        <v>0</v>
      </c>
      <c r="K367" s="35">
        <v>0</v>
      </c>
      <c r="L367" s="35">
        <v>0</v>
      </c>
      <c r="M367">
        <v>1</v>
      </c>
      <c r="N367">
        <v>0</v>
      </c>
      <c r="O367">
        <v>1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3</v>
      </c>
      <c r="AK367">
        <v>1</v>
      </c>
      <c r="AL367">
        <v>1</v>
      </c>
      <c r="AM367">
        <v>1</v>
      </c>
      <c r="AN367" s="23">
        <v>0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1</v>
      </c>
      <c r="AU367" s="33" t="str">
        <f t="shared" si="9"/>
        <v>库存为1</v>
      </c>
      <c r="AV367" s="38" t="str">
        <f>IFERROR(时间!$B$4+AU367,"上周无销量")</f>
        <v>上周无销量</v>
      </c>
    </row>
    <row r="368" spans="1:48">
      <c r="A368" s="21" t="s">
        <v>1054</v>
      </c>
      <c r="B368" t="s">
        <v>1055</v>
      </c>
      <c r="C368" t="s">
        <v>1056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4</v>
      </c>
      <c r="J368" s="35">
        <v>0</v>
      </c>
      <c r="K368" s="35">
        <v>0</v>
      </c>
      <c r="L368" s="35">
        <v>0</v>
      </c>
      <c r="M368">
        <v>4</v>
      </c>
      <c r="N368">
        <v>0</v>
      </c>
      <c r="O368">
        <v>4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2</v>
      </c>
      <c r="AK368">
        <v>5</v>
      </c>
      <c r="AL368">
        <v>4</v>
      </c>
      <c r="AM368">
        <v>2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4</v>
      </c>
      <c r="AU368" s="33" t="str">
        <f t="shared" si="9"/>
        <v>库存为4</v>
      </c>
      <c r="AV368" s="38" t="str">
        <f>IFERROR(时间!$B$4+AU368,"上周无销量")</f>
        <v>上周无销量</v>
      </c>
    </row>
    <row r="369" spans="1:48">
      <c r="A369" s="21" t="s">
        <v>1057</v>
      </c>
      <c r="B369" t="s">
        <v>1058</v>
      </c>
      <c r="C369" t="s">
        <v>1056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2</v>
      </c>
      <c r="J369" s="35">
        <v>0</v>
      </c>
      <c r="K369" s="35">
        <v>0</v>
      </c>
      <c r="L369" s="35">
        <v>0</v>
      </c>
      <c r="M369">
        <v>2</v>
      </c>
      <c r="N369">
        <v>0</v>
      </c>
      <c r="O369">
        <v>2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2</v>
      </c>
      <c r="AK369">
        <v>2</v>
      </c>
      <c r="AL369">
        <v>1</v>
      </c>
      <c r="AM369">
        <v>1</v>
      </c>
      <c r="AN369" s="23">
        <v>0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2</v>
      </c>
      <c r="AU369" s="33" t="str">
        <f t="shared" si="9"/>
        <v>库存为2</v>
      </c>
      <c r="AV369" s="38" t="str">
        <f>IFERROR(时间!$B$4+AU369,"上周无销量")</f>
        <v>上周无销量</v>
      </c>
    </row>
    <row r="370" spans="1:48">
      <c r="A370" s="21" t="s">
        <v>1059</v>
      </c>
      <c r="B370" t="s">
        <v>1060</v>
      </c>
      <c r="C370" t="s">
        <v>1056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4</v>
      </c>
      <c r="J370" s="35">
        <v>0</v>
      </c>
      <c r="K370" s="35">
        <v>0</v>
      </c>
      <c r="L370" s="35">
        <v>0</v>
      </c>
      <c r="M370">
        <v>4</v>
      </c>
      <c r="N370">
        <v>0</v>
      </c>
      <c r="O370">
        <v>4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1</v>
      </c>
      <c r="AK370">
        <v>3</v>
      </c>
      <c r="AL370">
        <v>4</v>
      </c>
      <c r="AM370">
        <v>2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4</v>
      </c>
      <c r="AU370" s="33" t="str">
        <f t="shared" si="9"/>
        <v>库存为4</v>
      </c>
      <c r="AV370" s="38" t="str">
        <f>IFERROR(时间!$B$4+AU370,"上周无销量")</f>
        <v>上周无销量</v>
      </c>
    </row>
    <row r="371" spans="1:48">
      <c r="A371" s="21" t="s">
        <v>1061</v>
      </c>
      <c r="B371" t="s">
        <v>1062</v>
      </c>
      <c r="C371" t="s">
        <v>1056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5</v>
      </c>
      <c r="J371" s="35">
        <v>0</v>
      </c>
      <c r="K371" s="35">
        <v>0</v>
      </c>
      <c r="L371" s="35">
        <v>0</v>
      </c>
      <c r="M371">
        <v>5</v>
      </c>
      <c r="N371">
        <v>0</v>
      </c>
      <c r="O371">
        <v>5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2</v>
      </c>
      <c r="AK371">
        <v>1</v>
      </c>
      <c r="AL371">
        <v>0</v>
      </c>
      <c r="AM371">
        <v>1</v>
      </c>
      <c r="AN371" s="23">
        <v>0</v>
      </c>
      <c r="AO371" s="23">
        <v>0</v>
      </c>
      <c r="AP371" s="23" t="s">
        <v>54</v>
      </c>
      <c r="AQ371" s="23">
        <v>0</v>
      </c>
      <c r="AR371" s="37">
        <v>0</v>
      </c>
      <c r="AS371" s="37">
        <v>0</v>
      </c>
      <c r="AT371" s="37">
        <v>5</v>
      </c>
      <c r="AU371" s="33" t="str">
        <f t="shared" si="9"/>
        <v>库存为5</v>
      </c>
      <c r="AV371" s="38" t="str">
        <f>IFERROR(时间!$B$4+AU371,"上周无销量")</f>
        <v>上周无销量</v>
      </c>
    </row>
    <row r="372" spans="1:48">
      <c r="A372" s="21" t="s">
        <v>1063</v>
      </c>
      <c r="B372" t="s">
        <v>1064</v>
      </c>
      <c r="C372" t="s">
        <v>1056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1</v>
      </c>
      <c r="J372" s="35">
        <v>0</v>
      </c>
      <c r="K372" s="35">
        <v>0</v>
      </c>
      <c r="L372" s="35">
        <v>0</v>
      </c>
      <c r="M372">
        <v>1</v>
      </c>
      <c r="N372">
        <v>0</v>
      </c>
      <c r="O372">
        <v>1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2</v>
      </c>
      <c r="AK372">
        <v>2</v>
      </c>
      <c r="AL372">
        <v>1</v>
      </c>
      <c r="AM372">
        <v>1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1</v>
      </c>
      <c r="AU372" s="33" t="str">
        <f t="shared" si="9"/>
        <v>库存为1</v>
      </c>
      <c r="AV372" s="38" t="str">
        <f>IFERROR(时间!$B$4+AU372,"上周无销量")</f>
        <v>上周无销量</v>
      </c>
    </row>
    <row r="373" spans="1:48">
      <c r="A373" s="21" t="s">
        <v>1065</v>
      </c>
      <c r="B373" t="s">
        <v>1066</v>
      </c>
      <c r="C373" t="s">
        <v>1056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3</v>
      </c>
      <c r="J373" s="35">
        <v>0</v>
      </c>
      <c r="K373" s="35">
        <v>0</v>
      </c>
      <c r="L373" s="35">
        <v>0</v>
      </c>
      <c r="M373">
        <v>3</v>
      </c>
      <c r="N373">
        <v>0</v>
      </c>
      <c r="O373">
        <v>3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3</v>
      </c>
      <c r="AK373">
        <v>4</v>
      </c>
      <c r="AL373">
        <v>3</v>
      </c>
      <c r="AM373">
        <v>5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3</v>
      </c>
      <c r="AU373" s="33" t="str">
        <f t="shared" si="9"/>
        <v>库存为3</v>
      </c>
      <c r="AV373" s="38" t="str">
        <f>IFERROR(时间!$B$4+AU373,"上周无销量")</f>
        <v>上周无销量</v>
      </c>
    </row>
    <row r="374" spans="1:48">
      <c r="A374" s="21" t="s">
        <v>1067</v>
      </c>
      <c r="B374" t="s">
        <v>1068</v>
      </c>
      <c r="C374" t="s">
        <v>1056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4</v>
      </c>
      <c r="J374" s="35">
        <v>0</v>
      </c>
      <c r="K374" s="35">
        <v>0</v>
      </c>
      <c r="L374" s="35">
        <v>0</v>
      </c>
      <c r="M374">
        <v>4</v>
      </c>
      <c r="N374">
        <v>0</v>
      </c>
      <c r="O374">
        <v>4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2</v>
      </c>
      <c r="AK374">
        <v>1</v>
      </c>
      <c r="AL374">
        <v>3</v>
      </c>
      <c r="AM374">
        <v>2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4</v>
      </c>
      <c r="AU374" s="33" t="str">
        <f t="shared" si="9"/>
        <v>库存为4</v>
      </c>
      <c r="AV374" s="38" t="str">
        <f>IFERROR(时间!$B$4+AU374,"上周无销量")</f>
        <v>上周无销量</v>
      </c>
    </row>
    <row r="375" spans="1:48">
      <c r="A375" s="21" t="s">
        <v>1069</v>
      </c>
      <c r="B375" t="s">
        <v>1070</v>
      </c>
      <c r="C375" t="s">
        <v>1071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2</v>
      </c>
      <c r="J375" s="35">
        <v>0</v>
      </c>
      <c r="K375" s="35">
        <v>0</v>
      </c>
      <c r="L375" s="35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</v>
      </c>
      <c r="AK375">
        <v>1</v>
      </c>
      <c r="AL375">
        <v>2</v>
      </c>
      <c r="AM375">
        <v>1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2</v>
      </c>
      <c r="AU375" s="33" t="str">
        <f t="shared" si="9"/>
        <v>库存为2</v>
      </c>
      <c r="AV375" s="38" t="str">
        <f>IFERROR(时间!$B$4+AU375,"上周无销量")</f>
        <v>上周无销量</v>
      </c>
    </row>
    <row r="376" spans="1:48">
      <c r="A376" s="21" t="s">
        <v>1072</v>
      </c>
      <c r="B376" t="s">
        <v>1073</v>
      </c>
      <c r="C376" t="s">
        <v>1071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1</v>
      </c>
      <c r="J376" s="35">
        <v>0</v>
      </c>
      <c r="K376" s="35">
        <v>0</v>
      </c>
      <c r="L376" s="35">
        <v>0</v>
      </c>
      <c r="M376">
        <v>1</v>
      </c>
      <c r="N376">
        <v>0</v>
      </c>
      <c r="O376">
        <v>1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3</v>
      </c>
      <c r="AK376">
        <v>2</v>
      </c>
      <c r="AL376">
        <v>6</v>
      </c>
      <c r="AM376">
        <v>2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1</v>
      </c>
      <c r="AU376" s="33" t="str">
        <f t="shared" si="9"/>
        <v>库存为1</v>
      </c>
      <c r="AV376" s="38" t="str">
        <f>IFERROR(时间!$B$4+AU376,"上周无销量")</f>
        <v>上周无销量</v>
      </c>
    </row>
    <row r="377" spans="1:48">
      <c r="A377" s="21" t="s">
        <v>1074</v>
      </c>
      <c r="B377" t="s">
        <v>1075</v>
      </c>
      <c r="C377" t="s">
        <v>1071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2</v>
      </c>
      <c r="J377" s="35">
        <v>0</v>
      </c>
      <c r="K377" s="35">
        <v>0</v>
      </c>
      <c r="L377" s="35">
        <v>0</v>
      </c>
      <c r="M377">
        <v>2</v>
      </c>
      <c r="N377">
        <v>0</v>
      </c>
      <c r="O377">
        <v>2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4</v>
      </c>
      <c r="AK377">
        <v>2</v>
      </c>
      <c r="AL377">
        <v>2</v>
      </c>
      <c r="AM377">
        <v>2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2</v>
      </c>
      <c r="AU377" s="33" t="str">
        <f t="shared" si="9"/>
        <v>库存为2</v>
      </c>
      <c r="AV377" s="38" t="str">
        <f>IFERROR(时间!$B$4+AU377,"上周无销量")</f>
        <v>上周无销量</v>
      </c>
    </row>
    <row r="378" spans="1:48">
      <c r="A378" s="21" t="s">
        <v>1076</v>
      </c>
      <c r="B378" t="s">
        <v>1077</v>
      </c>
      <c r="C378" t="s">
        <v>1078</v>
      </c>
      <c r="D378" s="33">
        <v>1</v>
      </c>
      <c r="E378" s="33">
        <v>0</v>
      </c>
      <c r="F378" s="33">
        <v>0</v>
      </c>
      <c r="G378" s="33">
        <v>0</v>
      </c>
      <c r="H378" s="34">
        <v>13.99</v>
      </c>
      <c r="I378">
        <v>7</v>
      </c>
      <c r="J378" s="35">
        <v>0</v>
      </c>
      <c r="K378" s="35">
        <v>0</v>
      </c>
      <c r="L378" s="35">
        <v>0</v>
      </c>
      <c r="M378">
        <v>7</v>
      </c>
      <c r="N378">
        <v>0</v>
      </c>
      <c r="O378">
        <v>8</v>
      </c>
      <c r="P378">
        <v>0</v>
      </c>
      <c r="Q378">
        <v>1545</v>
      </c>
      <c r="R378">
        <v>921</v>
      </c>
      <c r="S378">
        <v>336</v>
      </c>
      <c r="T378">
        <v>0</v>
      </c>
      <c r="U378">
        <v>4</v>
      </c>
      <c r="V378">
        <v>8</v>
      </c>
      <c r="W378">
        <v>1</v>
      </c>
      <c r="X378" s="23" t="s">
        <v>54</v>
      </c>
      <c r="Y378" s="23">
        <v>0.00258899676375405</v>
      </c>
      <c r="Z378" s="23">
        <v>0.00868621064060804</v>
      </c>
      <c r="AA378" s="23">
        <v>0.00297619047619048</v>
      </c>
      <c r="AB378">
        <v>0</v>
      </c>
      <c r="AC378">
        <v>3</v>
      </c>
      <c r="AD378">
        <v>7.76</v>
      </c>
      <c r="AE378">
        <v>0.8</v>
      </c>
      <c r="AF378" s="23" t="s">
        <v>54</v>
      </c>
      <c r="AG378" s="23" t="s">
        <v>803</v>
      </c>
      <c r="AH378" s="23" t="s">
        <v>1079</v>
      </c>
      <c r="AI378" s="23" t="s">
        <v>435</v>
      </c>
      <c r="AJ378">
        <v>16</v>
      </c>
      <c r="AK378">
        <v>14</v>
      </c>
      <c r="AL378">
        <v>14</v>
      </c>
      <c r="AM378">
        <v>10</v>
      </c>
      <c r="AN378" s="23">
        <v>0.0625</v>
      </c>
      <c r="AO378" s="23">
        <v>0</v>
      </c>
      <c r="AP378" s="23">
        <v>0</v>
      </c>
      <c r="AQ378" s="23">
        <v>0</v>
      </c>
      <c r="AR378" s="37">
        <v>0.142857142857143</v>
      </c>
      <c r="AS378" s="37">
        <v>8.57142857142857</v>
      </c>
      <c r="AT378" s="37">
        <v>-1.57142857142857</v>
      </c>
      <c r="AU378" s="33">
        <f t="shared" si="9"/>
        <v>49</v>
      </c>
      <c r="AV378" s="38">
        <f>IFERROR(时间!$B$4+AU378,"上周无销量")</f>
        <v>43367</v>
      </c>
    </row>
    <row r="379" spans="1:48">
      <c r="A379" s="21" t="s">
        <v>1080</v>
      </c>
      <c r="B379" t="s">
        <v>1081</v>
      </c>
      <c r="C379" t="s">
        <v>1082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1</v>
      </c>
      <c r="J379" s="35">
        <v>0</v>
      </c>
      <c r="K379" s="35">
        <v>0</v>
      </c>
      <c r="L379" s="35">
        <v>0</v>
      </c>
      <c r="M379">
        <v>1</v>
      </c>
      <c r="N379">
        <v>0</v>
      </c>
      <c r="O379">
        <v>1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3</v>
      </c>
      <c r="AK379">
        <v>3</v>
      </c>
      <c r="AL379">
        <v>5</v>
      </c>
      <c r="AM379">
        <v>2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1</v>
      </c>
      <c r="AU379" s="33" t="str">
        <f t="shared" si="9"/>
        <v>库存为1</v>
      </c>
      <c r="AV379" s="38" t="str">
        <f>IFERROR(时间!$B$4+AU379,"上周无销量")</f>
        <v>上周无销量</v>
      </c>
    </row>
    <row r="380" spans="1:48">
      <c r="A380" s="21" t="s">
        <v>1083</v>
      </c>
      <c r="B380" t="s">
        <v>1084</v>
      </c>
      <c r="C380" t="s">
        <v>1085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5</v>
      </c>
      <c r="J380" s="35">
        <v>0</v>
      </c>
      <c r="K380" s="35">
        <v>0</v>
      </c>
      <c r="L380" s="35">
        <v>0</v>
      </c>
      <c r="M380">
        <v>5</v>
      </c>
      <c r="N380">
        <v>0</v>
      </c>
      <c r="O380">
        <v>5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1</v>
      </c>
      <c r="AL380">
        <v>4</v>
      </c>
      <c r="AM380">
        <v>2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5</v>
      </c>
      <c r="AU380" s="33" t="str">
        <f t="shared" si="9"/>
        <v>库存为5</v>
      </c>
      <c r="AV380" s="38" t="str">
        <f>IFERROR(时间!$B$4+AU380,"上周无销量")</f>
        <v>上周无销量</v>
      </c>
    </row>
    <row r="381" spans="1:48">
      <c r="A381" s="21" t="s">
        <v>1086</v>
      </c>
      <c r="B381" t="s">
        <v>1087</v>
      </c>
      <c r="C381" t="s">
        <v>1085</v>
      </c>
      <c r="D381" s="33">
        <v>0</v>
      </c>
      <c r="E381" s="33">
        <v>0</v>
      </c>
      <c r="F381" s="33">
        <v>0</v>
      </c>
      <c r="G381" s="33">
        <v>1</v>
      </c>
      <c r="H381" s="34">
        <v>20.99</v>
      </c>
      <c r="I381">
        <v>4</v>
      </c>
      <c r="J381" s="35">
        <v>0</v>
      </c>
      <c r="K381" s="35">
        <v>0</v>
      </c>
      <c r="L381" s="35">
        <v>0</v>
      </c>
      <c r="M381">
        <v>4</v>
      </c>
      <c r="N381">
        <v>0</v>
      </c>
      <c r="O381">
        <v>4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2</v>
      </c>
      <c r="AK381">
        <v>1</v>
      </c>
      <c r="AL381">
        <v>3</v>
      </c>
      <c r="AM381">
        <v>2</v>
      </c>
      <c r="AN381" s="23">
        <v>0</v>
      </c>
      <c r="AO381" s="23">
        <v>0</v>
      </c>
      <c r="AP381" s="23">
        <v>0</v>
      </c>
      <c r="AQ381" s="23">
        <v>0.5</v>
      </c>
      <c r="AR381" s="37">
        <v>0</v>
      </c>
      <c r="AS381" s="37">
        <v>0</v>
      </c>
      <c r="AT381" s="37">
        <v>4</v>
      </c>
      <c r="AU381" s="33" t="str">
        <f t="shared" si="9"/>
        <v>库存为4</v>
      </c>
      <c r="AV381" s="38" t="str">
        <f>IFERROR(时间!$B$4+AU381,"上周无销量")</f>
        <v>上周无销量</v>
      </c>
    </row>
    <row r="382" spans="1:48">
      <c r="A382" s="21" t="s">
        <v>1088</v>
      </c>
      <c r="B382" t="s">
        <v>1089</v>
      </c>
      <c r="C382" t="s">
        <v>1085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10</v>
      </c>
      <c r="J382" s="35">
        <v>0</v>
      </c>
      <c r="K382" s="35">
        <v>0</v>
      </c>
      <c r="L382" s="35">
        <v>0</v>
      </c>
      <c r="M382">
        <v>10</v>
      </c>
      <c r="N382">
        <v>0</v>
      </c>
      <c r="O382">
        <v>10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4</v>
      </c>
      <c r="AL382">
        <v>4</v>
      </c>
      <c r="AM382">
        <v>2</v>
      </c>
      <c r="AN382" s="23" t="s">
        <v>54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10</v>
      </c>
      <c r="AU382" s="33" t="str">
        <f t="shared" si="9"/>
        <v>库存为10</v>
      </c>
      <c r="AV382" s="38" t="str">
        <f>IFERROR(时间!$B$4+AU382,"上周无销量")</f>
        <v>上周无销量</v>
      </c>
    </row>
    <row r="383" spans="1:48">
      <c r="A383" s="21" t="s">
        <v>1090</v>
      </c>
      <c r="B383" t="s">
        <v>1091</v>
      </c>
      <c r="C383" t="s">
        <v>1092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2</v>
      </c>
      <c r="J383" s="35">
        <v>0</v>
      </c>
      <c r="K383" s="35">
        <v>0</v>
      </c>
      <c r="L383" s="35">
        <v>0</v>
      </c>
      <c r="M383">
        <v>2</v>
      </c>
      <c r="N383">
        <v>0</v>
      </c>
      <c r="O383">
        <v>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4</v>
      </c>
      <c r="AK383">
        <v>2</v>
      </c>
      <c r="AL383">
        <v>6</v>
      </c>
      <c r="AM383">
        <v>4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2</v>
      </c>
      <c r="AU383" s="33" t="str">
        <f t="shared" si="9"/>
        <v>库存为2</v>
      </c>
      <c r="AV383" s="38" t="str">
        <f>IFERROR(时间!$B$4+AU383,"上周无销量")</f>
        <v>上周无销量</v>
      </c>
    </row>
    <row r="384" spans="1:48">
      <c r="A384" s="21" t="s">
        <v>1093</v>
      </c>
      <c r="B384" t="s">
        <v>1094</v>
      </c>
      <c r="C384" t="s">
        <v>1095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38</v>
      </c>
      <c r="J384" s="35">
        <v>0</v>
      </c>
      <c r="K384" s="35">
        <v>0</v>
      </c>
      <c r="L384" s="35">
        <v>0</v>
      </c>
      <c r="M384">
        <v>38</v>
      </c>
      <c r="N384">
        <v>0</v>
      </c>
      <c r="O384">
        <v>38</v>
      </c>
      <c r="P384">
        <v>0</v>
      </c>
      <c r="Q384">
        <v>0</v>
      </c>
      <c r="R384">
        <v>1</v>
      </c>
      <c r="S384">
        <v>12</v>
      </c>
      <c r="T384">
        <v>0</v>
      </c>
      <c r="U384">
        <v>0</v>
      </c>
      <c r="V384">
        <v>0</v>
      </c>
      <c r="W384">
        <v>0</v>
      </c>
      <c r="X384" s="23" t="s">
        <v>54</v>
      </c>
      <c r="Y384" s="23" t="s">
        <v>54</v>
      </c>
      <c r="Z384" s="23">
        <v>0</v>
      </c>
      <c r="AA384" s="23">
        <v>0</v>
      </c>
      <c r="AB384">
        <v>0</v>
      </c>
      <c r="AC384">
        <v>0</v>
      </c>
      <c r="AD384">
        <v>0</v>
      </c>
      <c r="AE384">
        <v>0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5</v>
      </c>
      <c r="AL384">
        <v>0</v>
      </c>
      <c r="AM384">
        <v>1</v>
      </c>
      <c r="AN384" s="23" t="s">
        <v>54</v>
      </c>
      <c r="AO384" s="23">
        <v>0</v>
      </c>
      <c r="AP384" s="23" t="s">
        <v>54</v>
      </c>
      <c r="AQ384" s="23">
        <v>0</v>
      </c>
      <c r="AR384" s="37">
        <v>0</v>
      </c>
      <c r="AS384" s="37">
        <v>0</v>
      </c>
      <c r="AT384" s="37">
        <v>38</v>
      </c>
      <c r="AU384" s="33" t="str">
        <f t="shared" si="9"/>
        <v>库存为38</v>
      </c>
      <c r="AV384" s="38" t="str">
        <f>IFERROR(时间!$B$4+AU384,"上周无销量")</f>
        <v>上周无销量</v>
      </c>
    </row>
    <row r="385" spans="1:48">
      <c r="A385" s="21" t="s">
        <v>1096</v>
      </c>
      <c r="B385" t="s">
        <v>1097</v>
      </c>
      <c r="C385" t="s">
        <v>1095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44</v>
      </c>
      <c r="J385" s="35">
        <v>0</v>
      </c>
      <c r="K385" s="35">
        <v>0</v>
      </c>
      <c r="L385" s="35">
        <v>0</v>
      </c>
      <c r="M385">
        <v>44</v>
      </c>
      <c r="N385">
        <v>0</v>
      </c>
      <c r="O385">
        <v>44</v>
      </c>
      <c r="P385">
        <v>0</v>
      </c>
      <c r="Q385">
        <v>0</v>
      </c>
      <c r="R385">
        <v>0</v>
      </c>
      <c r="S385">
        <v>14</v>
      </c>
      <c r="T385">
        <v>0</v>
      </c>
      <c r="U385">
        <v>0</v>
      </c>
      <c r="V385">
        <v>0</v>
      </c>
      <c r="W385">
        <v>0</v>
      </c>
      <c r="X385" s="23" t="s">
        <v>54</v>
      </c>
      <c r="Y385" s="23" t="s">
        <v>54</v>
      </c>
      <c r="Z385" s="23" t="s">
        <v>54</v>
      </c>
      <c r="AA385" s="23">
        <v>0</v>
      </c>
      <c r="AB385">
        <v>0</v>
      </c>
      <c r="AC385">
        <v>0</v>
      </c>
      <c r="AD385">
        <v>0</v>
      </c>
      <c r="AE385">
        <v>0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</v>
      </c>
      <c r="AK385">
        <v>6</v>
      </c>
      <c r="AL385">
        <v>1</v>
      </c>
      <c r="AM385">
        <v>2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44</v>
      </c>
      <c r="AU385" s="33" t="str">
        <f t="shared" si="9"/>
        <v>库存为44</v>
      </c>
      <c r="AV385" s="38" t="str">
        <f>IFERROR(时间!$B$4+AU385,"上周无销量")</f>
        <v>上周无销量</v>
      </c>
    </row>
    <row r="386" spans="1:48">
      <c r="A386" s="21" t="s">
        <v>1098</v>
      </c>
      <c r="B386" t="s">
        <v>1099</v>
      </c>
      <c r="C386" t="s">
        <v>1095</v>
      </c>
      <c r="D386" s="33">
        <v>0</v>
      </c>
      <c r="E386" s="33">
        <v>1</v>
      </c>
      <c r="F386" s="33">
        <v>0</v>
      </c>
      <c r="G386" s="33">
        <v>0</v>
      </c>
      <c r="H386" s="34">
        <v>10</v>
      </c>
      <c r="I386">
        <v>115</v>
      </c>
      <c r="J386" s="35">
        <v>0</v>
      </c>
      <c r="K386" s="35">
        <v>0</v>
      </c>
      <c r="L386" s="35">
        <v>0</v>
      </c>
      <c r="M386">
        <v>115</v>
      </c>
      <c r="N386">
        <v>0</v>
      </c>
      <c r="O386">
        <v>115</v>
      </c>
      <c r="P386">
        <v>0</v>
      </c>
      <c r="Q386">
        <v>0</v>
      </c>
      <c r="R386">
        <v>4</v>
      </c>
      <c r="S386">
        <v>56</v>
      </c>
      <c r="T386">
        <v>0</v>
      </c>
      <c r="U386">
        <v>0</v>
      </c>
      <c r="V386">
        <v>0</v>
      </c>
      <c r="W386">
        <v>0</v>
      </c>
      <c r="X386" s="23" t="s">
        <v>54</v>
      </c>
      <c r="Y386" s="23" t="s">
        <v>54</v>
      </c>
      <c r="Z386" s="23">
        <v>0</v>
      </c>
      <c r="AA386" s="23">
        <v>0</v>
      </c>
      <c r="AB386">
        <v>0</v>
      </c>
      <c r="AC386">
        <v>0</v>
      </c>
      <c r="AD386">
        <v>0</v>
      </c>
      <c r="AE386">
        <v>0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3</v>
      </c>
      <c r="AK386">
        <v>8</v>
      </c>
      <c r="AL386">
        <v>0</v>
      </c>
      <c r="AM386">
        <v>2</v>
      </c>
      <c r="AN386" s="23">
        <v>0</v>
      </c>
      <c r="AO386" s="23">
        <v>0.125</v>
      </c>
      <c r="AP386" s="23" t="s">
        <v>54</v>
      </c>
      <c r="AQ386" s="23">
        <v>0</v>
      </c>
      <c r="AR386" s="37">
        <v>0</v>
      </c>
      <c r="AS386" s="37">
        <v>0</v>
      </c>
      <c r="AT386" s="37">
        <v>115</v>
      </c>
      <c r="AU386" s="33" t="str">
        <f t="shared" si="9"/>
        <v>库存为115</v>
      </c>
      <c r="AV386" s="38" t="str">
        <f>IFERROR(时间!$B$4+AU386,"上周无销量")</f>
        <v>上周无销量</v>
      </c>
    </row>
    <row r="387" spans="1:48">
      <c r="A387" s="21" t="s">
        <v>1100</v>
      </c>
      <c r="B387" t="s">
        <v>1101</v>
      </c>
      <c r="C387" t="s">
        <v>1095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10</v>
      </c>
      <c r="J387" s="35">
        <v>0</v>
      </c>
      <c r="K387" s="35">
        <v>0</v>
      </c>
      <c r="L387" s="35">
        <v>0</v>
      </c>
      <c r="M387">
        <v>10</v>
      </c>
      <c r="N387">
        <v>0</v>
      </c>
      <c r="O387">
        <v>10</v>
      </c>
      <c r="P387">
        <v>241</v>
      </c>
      <c r="Q387">
        <v>232</v>
      </c>
      <c r="R387">
        <v>149</v>
      </c>
      <c r="S387">
        <v>36</v>
      </c>
      <c r="T387">
        <v>0</v>
      </c>
      <c r="U387">
        <v>0</v>
      </c>
      <c r="V387">
        <v>0</v>
      </c>
      <c r="W387">
        <v>0</v>
      </c>
      <c r="X387" s="23">
        <v>0</v>
      </c>
      <c r="Y387" s="23">
        <v>0</v>
      </c>
      <c r="Z387" s="23">
        <v>0</v>
      </c>
      <c r="AA387" s="23">
        <v>0</v>
      </c>
      <c r="AB387">
        <v>0</v>
      </c>
      <c r="AC387">
        <v>0</v>
      </c>
      <c r="AD387">
        <v>0</v>
      </c>
      <c r="AE387">
        <v>0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4</v>
      </c>
      <c r="AK387">
        <v>5</v>
      </c>
      <c r="AL387">
        <v>0</v>
      </c>
      <c r="AM387">
        <v>3</v>
      </c>
      <c r="AN387" s="23">
        <v>0</v>
      </c>
      <c r="AO387" s="23">
        <v>0</v>
      </c>
      <c r="AP387" s="23" t="s">
        <v>54</v>
      </c>
      <c r="AQ387" s="23">
        <v>0</v>
      </c>
      <c r="AR387" s="37">
        <v>0</v>
      </c>
      <c r="AS387" s="37">
        <v>0</v>
      </c>
      <c r="AT387" s="37">
        <v>10</v>
      </c>
      <c r="AU387" s="33" t="str">
        <f t="shared" si="9"/>
        <v>库存为10</v>
      </c>
      <c r="AV387" s="38" t="str">
        <f>IFERROR(时间!$B$4+AU387,"上周无销量")</f>
        <v>上周无销量</v>
      </c>
    </row>
    <row r="388" spans="1:48">
      <c r="A388" s="21" t="s">
        <v>1102</v>
      </c>
      <c r="B388" t="s">
        <v>1103</v>
      </c>
      <c r="C388" t="s">
        <v>1095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4</v>
      </c>
      <c r="J388" s="35">
        <v>0</v>
      </c>
      <c r="K388" s="35">
        <v>0</v>
      </c>
      <c r="L388" s="35">
        <v>0</v>
      </c>
      <c r="M388">
        <v>4</v>
      </c>
      <c r="N388">
        <v>0</v>
      </c>
      <c r="O388">
        <v>4</v>
      </c>
      <c r="P388">
        <v>0</v>
      </c>
      <c r="Q388">
        <v>0</v>
      </c>
      <c r="R388">
        <v>1</v>
      </c>
      <c r="S388">
        <v>8</v>
      </c>
      <c r="T388">
        <v>0</v>
      </c>
      <c r="U388">
        <v>0</v>
      </c>
      <c r="V388">
        <v>0</v>
      </c>
      <c r="W388">
        <v>0</v>
      </c>
      <c r="X388" s="23" t="s">
        <v>54</v>
      </c>
      <c r="Y388" s="23" t="s">
        <v>54</v>
      </c>
      <c r="Z388" s="23">
        <v>0</v>
      </c>
      <c r="AA388" s="23">
        <v>0</v>
      </c>
      <c r="AB388">
        <v>0</v>
      </c>
      <c r="AC388">
        <v>0</v>
      </c>
      <c r="AD388">
        <v>0</v>
      </c>
      <c r="AE388">
        <v>0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3</v>
      </c>
      <c r="AK388">
        <v>7</v>
      </c>
      <c r="AL388">
        <v>0</v>
      </c>
      <c r="AM388">
        <v>2</v>
      </c>
      <c r="AN388" s="23">
        <v>0</v>
      </c>
      <c r="AO388" s="23">
        <v>0</v>
      </c>
      <c r="AP388" s="23" t="s">
        <v>54</v>
      </c>
      <c r="AQ388" s="23">
        <v>0</v>
      </c>
      <c r="AR388" s="37">
        <v>0</v>
      </c>
      <c r="AS388" s="37">
        <v>0</v>
      </c>
      <c r="AT388" s="37">
        <v>4</v>
      </c>
      <c r="AU388" s="33" t="str">
        <f t="shared" si="9"/>
        <v>库存为4</v>
      </c>
      <c r="AV388" s="38" t="str">
        <f>IFERROR(时间!$B$4+AU388,"上周无销量")</f>
        <v>上周无销量</v>
      </c>
    </row>
    <row r="389" spans="1:48">
      <c r="A389" s="21" t="s">
        <v>1104</v>
      </c>
      <c r="B389" t="s">
        <v>1105</v>
      </c>
      <c r="C389" t="s">
        <v>1095</v>
      </c>
      <c r="D389" s="33">
        <v>1</v>
      </c>
      <c r="E389" s="33">
        <v>0</v>
      </c>
      <c r="F389" s="33">
        <v>0</v>
      </c>
      <c r="G389" s="33">
        <v>0</v>
      </c>
      <c r="H389" s="34">
        <v>8.99</v>
      </c>
      <c r="I389">
        <v>8</v>
      </c>
      <c r="J389" s="35">
        <v>0</v>
      </c>
      <c r="K389" s="35">
        <v>0</v>
      </c>
      <c r="L389" s="35">
        <v>0</v>
      </c>
      <c r="M389">
        <v>8</v>
      </c>
      <c r="N389">
        <v>0</v>
      </c>
      <c r="O389">
        <v>8</v>
      </c>
      <c r="P389">
        <v>0</v>
      </c>
      <c r="Q389">
        <v>0</v>
      </c>
      <c r="R389">
        <v>3</v>
      </c>
      <c r="S389">
        <v>17</v>
      </c>
      <c r="T389">
        <v>0</v>
      </c>
      <c r="U389">
        <v>0</v>
      </c>
      <c r="V389">
        <v>0</v>
      </c>
      <c r="W389">
        <v>0</v>
      </c>
      <c r="X389" s="23" t="s">
        <v>54</v>
      </c>
      <c r="Y389" s="23" t="s">
        <v>54</v>
      </c>
      <c r="Z389" s="23">
        <v>0</v>
      </c>
      <c r="AA389" s="23">
        <v>0</v>
      </c>
      <c r="AB389">
        <v>0</v>
      </c>
      <c r="AC389">
        <v>0</v>
      </c>
      <c r="AD389">
        <v>0</v>
      </c>
      <c r="AE389">
        <v>0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5</v>
      </c>
      <c r="AK389">
        <v>6</v>
      </c>
      <c r="AL389">
        <v>1</v>
      </c>
      <c r="AM389">
        <v>1</v>
      </c>
      <c r="AN389" s="23">
        <v>0.2</v>
      </c>
      <c r="AO389" s="23">
        <v>0</v>
      </c>
      <c r="AP389" s="23">
        <v>0</v>
      </c>
      <c r="AQ389" s="23">
        <v>0</v>
      </c>
      <c r="AR389" s="37">
        <v>0.142857142857143</v>
      </c>
      <c r="AS389" s="37">
        <v>8.57142857142857</v>
      </c>
      <c r="AT389" s="37">
        <v>-0.571428571428571</v>
      </c>
      <c r="AU389" s="33">
        <f t="shared" ref="AU389:AU396" si="10">IF(AR389="","库存为"&amp;M389,IF(AS389=0,"库存为"&amp;M389,INT(M389/AR389)))</f>
        <v>56</v>
      </c>
      <c r="AV389" s="38">
        <f>IFERROR(时间!$B$4+AU389,"上周无销量")</f>
        <v>43374</v>
      </c>
    </row>
    <row r="390" spans="1:48">
      <c r="A390" s="21" t="s">
        <v>1106</v>
      </c>
      <c r="B390" t="s">
        <v>1107</v>
      </c>
      <c r="C390" t="s">
        <v>1095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33</v>
      </c>
      <c r="J390" s="35">
        <v>0</v>
      </c>
      <c r="K390" s="35">
        <v>0</v>
      </c>
      <c r="L390" s="35">
        <v>0</v>
      </c>
      <c r="M390">
        <v>33</v>
      </c>
      <c r="N390">
        <v>0</v>
      </c>
      <c r="O390">
        <v>33</v>
      </c>
      <c r="P390">
        <v>0</v>
      </c>
      <c r="Q390">
        <v>0</v>
      </c>
      <c r="R390">
        <v>0</v>
      </c>
      <c r="S390">
        <v>5</v>
      </c>
      <c r="T390">
        <v>0</v>
      </c>
      <c r="U390">
        <v>0</v>
      </c>
      <c r="V390">
        <v>0</v>
      </c>
      <c r="W390">
        <v>0</v>
      </c>
      <c r="X390" s="23" t="s">
        <v>54</v>
      </c>
      <c r="Y390" s="23" t="s">
        <v>54</v>
      </c>
      <c r="Z390" s="23" t="s">
        <v>54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2</v>
      </c>
      <c r="AK390">
        <v>7</v>
      </c>
      <c r="AL390">
        <v>1</v>
      </c>
      <c r="AM390">
        <v>4</v>
      </c>
      <c r="AN390" s="23">
        <v>0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33</v>
      </c>
      <c r="AU390" s="33" t="str">
        <f t="shared" si="10"/>
        <v>库存为33</v>
      </c>
      <c r="AV390" s="38" t="str">
        <f>IFERROR(时间!$B$4+AU390,"上周无销量")</f>
        <v>上周无销量</v>
      </c>
    </row>
    <row r="391" spans="1:48">
      <c r="A391" s="21" t="s">
        <v>1108</v>
      </c>
      <c r="B391" t="s">
        <v>1109</v>
      </c>
      <c r="C391" t="s">
        <v>1095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9</v>
      </c>
      <c r="J391" s="35">
        <v>0</v>
      </c>
      <c r="K391" s="35">
        <v>0</v>
      </c>
      <c r="L391" s="35">
        <v>0</v>
      </c>
      <c r="M391">
        <v>9</v>
      </c>
      <c r="N391">
        <v>0</v>
      </c>
      <c r="O391">
        <v>9</v>
      </c>
      <c r="P391">
        <v>115</v>
      </c>
      <c r="Q391">
        <v>112</v>
      </c>
      <c r="R391">
        <v>64</v>
      </c>
      <c r="S391">
        <v>9</v>
      </c>
      <c r="T391">
        <v>0</v>
      </c>
      <c r="U391">
        <v>0</v>
      </c>
      <c r="V391">
        <v>0</v>
      </c>
      <c r="W391">
        <v>0</v>
      </c>
      <c r="X391" s="23">
        <v>0</v>
      </c>
      <c r="Y391" s="23">
        <v>0</v>
      </c>
      <c r="Z391" s="23">
        <v>0</v>
      </c>
      <c r="AA391" s="23">
        <v>0</v>
      </c>
      <c r="AB391">
        <v>0</v>
      </c>
      <c r="AC391">
        <v>0</v>
      </c>
      <c r="AD391">
        <v>0</v>
      </c>
      <c r="AE391">
        <v>0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2</v>
      </c>
      <c r="AK391">
        <v>7</v>
      </c>
      <c r="AL391">
        <v>0</v>
      </c>
      <c r="AM391">
        <v>2</v>
      </c>
      <c r="AN391" s="23">
        <v>0</v>
      </c>
      <c r="AO391" s="23">
        <v>0</v>
      </c>
      <c r="AP391" s="23" t="s">
        <v>54</v>
      </c>
      <c r="AQ391" s="23">
        <v>0</v>
      </c>
      <c r="AR391" s="37">
        <v>0</v>
      </c>
      <c r="AS391" s="37">
        <v>0</v>
      </c>
      <c r="AT391" s="37">
        <v>9</v>
      </c>
      <c r="AU391" s="33" t="str">
        <f t="shared" si="10"/>
        <v>库存为9</v>
      </c>
      <c r="AV391" s="38" t="str">
        <f>IFERROR(时间!$B$4+AU391,"上周无销量")</f>
        <v>上周无销量</v>
      </c>
    </row>
    <row r="392" spans="1:48">
      <c r="A392" s="21" t="s">
        <v>1110</v>
      </c>
      <c r="B392" t="s">
        <v>1111</v>
      </c>
      <c r="C392" t="s">
        <v>1112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37</v>
      </c>
      <c r="J392" s="35">
        <v>0</v>
      </c>
      <c r="K392" s="35">
        <v>0</v>
      </c>
      <c r="L392" s="35">
        <v>0</v>
      </c>
      <c r="M392">
        <v>37</v>
      </c>
      <c r="N392">
        <v>0</v>
      </c>
      <c r="O392">
        <v>36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1</v>
      </c>
      <c r="AK392">
        <v>6</v>
      </c>
      <c r="AL392">
        <v>1</v>
      </c>
      <c r="AM392">
        <v>4</v>
      </c>
      <c r="AN392" s="23">
        <v>0</v>
      </c>
      <c r="AO392" s="23">
        <v>0</v>
      </c>
      <c r="AP392" s="23">
        <v>0</v>
      </c>
      <c r="AQ392" s="23">
        <v>0</v>
      </c>
      <c r="AR392" s="37">
        <v>0</v>
      </c>
      <c r="AS392" s="37">
        <v>0</v>
      </c>
      <c r="AT392" s="37">
        <v>37</v>
      </c>
      <c r="AU392" s="33" t="str">
        <f t="shared" si="10"/>
        <v>库存为37</v>
      </c>
      <c r="AV392" s="38" t="str">
        <f>IFERROR(时间!$B$4+AU392,"上周无销量")</f>
        <v>上周无销量</v>
      </c>
    </row>
    <row r="393" spans="1:48">
      <c r="A393" s="21" t="s">
        <v>1113</v>
      </c>
      <c r="B393" t="s">
        <v>1114</v>
      </c>
      <c r="C393" t="s">
        <v>1112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40</v>
      </c>
      <c r="J393" s="35">
        <v>0</v>
      </c>
      <c r="K393" s="35">
        <v>0</v>
      </c>
      <c r="L393" s="35">
        <v>0</v>
      </c>
      <c r="M393">
        <v>40</v>
      </c>
      <c r="N393">
        <v>0</v>
      </c>
      <c r="O393">
        <v>40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6</v>
      </c>
      <c r="AL393">
        <v>0</v>
      </c>
      <c r="AM393">
        <v>2</v>
      </c>
      <c r="AN393" s="23" t="s">
        <v>54</v>
      </c>
      <c r="AO393" s="23">
        <v>0</v>
      </c>
      <c r="AP393" s="23" t="s">
        <v>54</v>
      </c>
      <c r="AQ393" s="23">
        <v>0</v>
      </c>
      <c r="AR393" s="37">
        <v>0</v>
      </c>
      <c r="AS393" s="37">
        <v>0</v>
      </c>
      <c r="AT393" s="37">
        <v>40</v>
      </c>
      <c r="AU393" s="33" t="str">
        <f t="shared" si="10"/>
        <v>库存为40</v>
      </c>
      <c r="AV393" s="38" t="str">
        <f>IFERROR(时间!$B$4+AU393,"上周无销量")</f>
        <v>上周无销量</v>
      </c>
    </row>
    <row r="394" spans="1:48">
      <c r="A394" s="21" t="s">
        <v>1115</v>
      </c>
      <c r="B394" t="s">
        <v>1116</v>
      </c>
      <c r="C394" t="s">
        <v>1112</v>
      </c>
      <c r="D394" s="33">
        <v>0</v>
      </c>
      <c r="E394" s="33">
        <v>1</v>
      </c>
      <c r="F394" s="33">
        <v>0</v>
      </c>
      <c r="G394" s="33">
        <v>0</v>
      </c>
      <c r="H394" s="34">
        <v>8.99</v>
      </c>
      <c r="I394">
        <v>22</v>
      </c>
      <c r="J394" s="35">
        <v>0</v>
      </c>
      <c r="K394" s="35">
        <v>0</v>
      </c>
      <c r="L394" s="35">
        <v>1</v>
      </c>
      <c r="M394">
        <v>23</v>
      </c>
      <c r="N394">
        <v>0</v>
      </c>
      <c r="O394">
        <v>24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4</v>
      </c>
      <c r="AL394">
        <v>0</v>
      </c>
      <c r="AM394">
        <v>3</v>
      </c>
      <c r="AN394" s="23" t="s">
        <v>54</v>
      </c>
      <c r="AO394" s="23">
        <v>0.25</v>
      </c>
      <c r="AP394" s="23" t="s">
        <v>54</v>
      </c>
      <c r="AQ394" s="23">
        <v>0</v>
      </c>
      <c r="AR394" s="37">
        <v>0</v>
      </c>
      <c r="AS394" s="37">
        <v>0</v>
      </c>
      <c r="AT394" s="37">
        <v>23</v>
      </c>
      <c r="AU394" s="33" t="str">
        <f t="shared" si="10"/>
        <v>库存为23</v>
      </c>
      <c r="AV394" s="38" t="str">
        <f>IFERROR(时间!$B$4+AU394,"上周无销量")</f>
        <v>上周无销量</v>
      </c>
    </row>
    <row r="395" spans="1:48">
      <c r="A395" s="21" t="s">
        <v>1117</v>
      </c>
      <c r="B395" t="s">
        <v>1118</v>
      </c>
      <c r="C395" t="s">
        <v>1119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3</v>
      </c>
      <c r="J395" s="35">
        <v>0</v>
      </c>
      <c r="K395" s="35">
        <v>0</v>
      </c>
      <c r="L395" s="35">
        <v>0</v>
      </c>
      <c r="M395">
        <v>3</v>
      </c>
      <c r="N395">
        <v>0</v>
      </c>
      <c r="O395">
        <v>3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3</v>
      </c>
      <c r="AL395">
        <v>6</v>
      </c>
      <c r="AM395">
        <v>2</v>
      </c>
      <c r="AN395" s="23" t="s">
        <v>54</v>
      </c>
      <c r="AO395" s="23">
        <v>0</v>
      </c>
      <c r="AP395" s="23">
        <v>0</v>
      </c>
      <c r="AQ395" s="23">
        <v>0</v>
      </c>
      <c r="AR395" s="37">
        <v>0</v>
      </c>
      <c r="AS395" s="37">
        <v>0</v>
      </c>
      <c r="AT395" s="37">
        <v>3</v>
      </c>
      <c r="AU395" s="33" t="str">
        <f t="shared" si="10"/>
        <v>库存为3</v>
      </c>
      <c r="AV395" s="38" t="str">
        <f>IFERROR(时间!$B$4+AU395,"上周无销量")</f>
        <v>上周无销量</v>
      </c>
    </row>
    <row r="396" spans="1:48">
      <c r="A396" s="21" t="s">
        <v>1120</v>
      </c>
      <c r="B396" t="s">
        <v>1121</v>
      </c>
      <c r="C396" t="s">
        <v>1122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3</v>
      </c>
      <c r="J396" s="35">
        <v>0</v>
      </c>
      <c r="K396" s="35">
        <v>0</v>
      </c>
      <c r="L396" s="35">
        <v>0</v>
      </c>
      <c r="M396">
        <v>3</v>
      </c>
      <c r="N396">
        <v>0</v>
      </c>
      <c r="O396">
        <v>3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2</v>
      </c>
      <c r="AK396">
        <v>1</v>
      </c>
      <c r="AL396">
        <v>3</v>
      </c>
      <c r="AM396">
        <v>1</v>
      </c>
      <c r="AN396" s="23">
        <v>0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3</v>
      </c>
      <c r="AU396" s="33" t="str">
        <f t="shared" si="10"/>
        <v>库存为3</v>
      </c>
      <c r="AV396" s="38" t="str">
        <f>IFERROR(时间!$B$4+AU396,"上周无销量")</f>
        <v>上周无销量</v>
      </c>
    </row>
    <row r="397" spans="1:48">
      <c r="A397" s="21"/>
      <c r="D397" s="33"/>
      <c r="E397" s="33"/>
      <c r="F397" s="33"/>
      <c r="G397" s="33"/>
      <c r="H397" s="34"/>
      <c r="J397" s="35"/>
      <c r="K397" s="35"/>
      <c r="L397" s="35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7"/>
      <c r="AS397" s="37"/>
      <c r="AT397" s="37"/>
      <c r="AU397" s="33"/>
      <c r="AV397" s="38"/>
    </row>
    <row r="398" spans="1:48">
      <c r="A398" s="21"/>
      <c r="D398" s="33"/>
      <c r="E398" s="33"/>
      <c r="F398" s="33"/>
      <c r="G398" s="33"/>
      <c r="H398" s="34"/>
      <c r="J398" s="35"/>
      <c r="K398" s="35"/>
      <c r="L398" s="35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7"/>
      <c r="AS398" s="37"/>
      <c r="AT398" s="37"/>
      <c r="AU398" s="33"/>
      <c r="AV398" s="38"/>
    </row>
    <row r="399" spans="1:48">
      <c r="A399" s="21"/>
      <c r="D399" s="33"/>
      <c r="E399" s="33"/>
      <c r="F399" s="33"/>
      <c r="G399" s="33"/>
      <c r="H399" s="34"/>
      <c r="J399" s="35"/>
      <c r="K399" s="35"/>
      <c r="L399" s="35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7"/>
      <c r="AS399" s="37"/>
      <c r="AT399" s="37"/>
      <c r="AU399" s="33"/>
      <c r="AV399" s="38"/>
    </row>
    <row r="400" spans="1:48">
      <c r="A400" s="21"/>
      <c r="D400" s="33"/>
      <c r="E400" s="33"/>
      <c r="F400" s="33"/>
      <c r="G400" s="33"/>
      <c r="H400" s="34"/>
      <c r="J400" s="35"/>
      <c r="K400" s="35"/>
      <c r="L400" s="35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7"/>
      <c r="AS400" s="37"/>
      <c r="AT400" s="37"/>
      <c r="AU400" s="33"/>
      <c r="AV400" s="38"/>
    </row>
    <row r="401" spans="1:48">
      <c r="A401" s="21"/>
      <c r="D401" s="33"/>
      <c r="E401" s="33"/>
      <c r="F401" s="33"/>
      <c r="G401" s="33"/>
      <c r="H401" s="34"/>
      <c r="J401" s="35"/>
      <c r="K401" s="35"/>
      <c r="L401" s="35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7"/>
      <c r="AS401" s="37"/>
      <c r="AT401" s="37"/>
      <c r="AU401" s="33"/>
      <c r="AV401" s="38"/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A6:AV396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1997" operator="lessThan">
      <formula>20</formula>
    </cfRule>
    <cfRule type="cellIs" dxfId="1" priority="11996" operator="greaterThan">
      <formula>120</formula>
    </cfRule>
    <cfRule type="containsText" dxfId="2" priority="11995" operator="between" text="库存为">
      <formula>NOT(ISERROR(SEARCH("库存为",AU2)))</formula>
    </cfRule>
  </conditionalFormatting>
  <conditionalFormatting sqref="AU6">
    <cfRule type="cellIs" dxfId="0" priority="1173" operator="lessThan">
      <formula>20</formula>
    </cfRule>
    <cfRule type="cellIs" dxfId="1" priority="782" operator="greaterThan">
      <formula>120</formula>
    </cfRule>
    <cfRule type="containsText" dxfId="2" priority="391" operator="between" text="库存为">
      <formula>NOT(ISERROR(SEARCH("库存为",AU6)))</formula>
    </cfRule>
  </conditionalFormatting>
  <conditionalFormatting sqref="AU7">
    <cfRule type="cellIs" dxfId="0" priority="1172" operator="lessThan">
      <formula>20</formula>
    </cfRule>
    <cfRule type="cellIs" dxfId="1" priority="781" operator="greaterThan">
      <formula>120</formula>
    </cfRule>
    <cfRule type="containsText" dxfId="2" priority="390" operator="between" text="库存为">
      <formula>NOT(ISERROR(SEARCH("库存为",AU7)))</formula>
    </cfRule>
  </conditionalFormatting>
  <conditionalFormatting sqref="AU8">
    <cfRule type="cellIs" dxfId="0" priority="1171" operator="lessThan">
      <formula>20</formula>
    </cfRule>
    <cfRule type="cellIs" dxfId="1" priority="780" operator="greaterThan">
      <formula>120</formula>
    </cfRule>
    <cfRule type="containsText" dxfId="2" priority="389" operator="between" text="库存为">
      <formula>NOT(ISERROR(SEARCH("库存为",AU8)))</formula>
    </cfRule>
  </conditionalFormatting>
  <conditionalFormatting sqref="AU9">
    <cfRule type="cellIs" dxfId="0" priority="1170" operator="lessThan">
      <formula>20</formula>
    </cfRule>
    <cfRule type="cellIs" dxfId="1" priority="779" operator="greaterThan">
      <formula>120</formula>
    </cfRule>
    <cfRule type="containsText" dxfId="2" priority="388" operator="between" text="库存为">
      <formula>NOT(ISERROR(SEARCH("库存为",AU9)))</formula>
    </cfRule>
  </conditionalFormatting>
  <conditionalFormatting sqref="AU10">
    <cfRule type="cellIs" dxfId="0" priority="1169" operator="lessThan">
      <formula>20</formula>
    </cfRule>
    <cfRule type="cellIs" dxfId="1" priority="778" operator="greaterThan">
      <formula>120</formula>
    </cfRule>
    <cfRule type="containsText" dxfId="2" priority="387" operator="between" text="库存为">
      <formula>NOT(ISERROR(SEARCH("库存为",AU10)))</formula>
    </cfRule>
  </conditionalFormatting>
  <conditionalFormatting sqref="AU11">
    <cfRule type="cellIs" dxfId="0" priority="1168" operator="lessThan">
      <formula>20</formula>
    </cfRule>
    <cfRule type="cellIs" dxfId="1" priority="777" operator="greaterThan">
      <formula>120</formula>
    </cfRule>
    <cfRule type="containsText" dxfId="2" priority="386" operator="between" text="库存为">
      <formula>NOT(ISERROR(SEARCH("库存为",AU11)))</formula>
    </cfRule>
  </conditionalFormatting>
  <conditionalFormatting sqref="AU12">
    <cfRule type="cellIs" dxfId="0" priority="1167" operator="lessThan">
      <formula>20</formula>
    </cfRule>
    <cfRule type="cellIs" dxfId="1" priority="776" operator="greaterThan">
      <formula>120</formula>
    </cfRule>
    <cfRule type="containsText" dxfId="2" priority="385" operator="between" text="库存为">
      <formula>NOT(ISERROR(SEARCH("库存为",AU12)))</formula>
    </cfRule>
  </conditionalFormatting>
  <conditionalFormatting sqref="AU13">
    <cfRule type="cellIs" dxfId="0" priority="1166" operator="lessThan">
      <formula>20</formula>
    </cfRule>
    <cfRule type="cellIs" dxfId="1" priority="775" operator="greaterThan">
      <formula>120</formula>
    </cfRule>
    <cfRule type="containsText" dxfId="2" priority="384" operator="between" text="库存为">
      <formula>NOT(ISERROR(SEARCH("库存为",AU13)))</formula>
    </cfRule>
  </conditionalFormatting>
  <conditionalFormatting sqref="AU14">
    <cfRule type="cellIs" dxfId="0" priority="1165" operator="lessThan">
      <formula>20</formula>
    </cfRule>
    <cfRule type="cellIs" dxfId="1" priority="774" operator="greaterThan">
      <formula>120</formula>
    </cfRule>
    <cfRule type="containsText" dxfId="2" priority="383" operator="between" text="库存为">
      <formula>NOT(ISERROR(SEARCH("库存为",AU14)))</formula>
    </cfRule>
  </conditionalFormatting>
  <conditionalFormatting sqref="AU15">
    <cfRule type="cellIs" dxfId="0" priority="1164" operator="lessThan">
      <formula>20</formula>
    </cfRule>
    <cfRule type="cellIs" dxfId="1" priority="773" operator="greaterThan">
      <formula>120</formula>
    </cfRule>
    <cfRule type="containsText" dxfId="2" priority="382" operator="between" text="库存为">
      <formula>NOT(ISERROR(SEARCH("库存为",AU15)))</formula>
    </cfRule>
  </conditionalFormatting>
  <conditionalFormatting sqref="AU16">
    <cfRule type="cellIs" dxfId="0" priority="1163" operator="lessThan">
      <formula>20</formula>
    </cfRule>
    <cfRule type="cellIs" dxfId="1" priority="772" operator="greaterThan">
      <formula>120</formula>
    </cfRule>
    <cfRule type="containsText" dxfId="2" priority="381" operator="between" text="库存为">
      <formula>NOT(ISERROR(SEARCH("库存为",AU16)))</formula>
    </cfRule>
  </conditionalFormatting>
  <conditionalFormatting sqref="AU17">
    <cfRule type="cellIs" dxfId="0" priority="1162" operator="lessThan">
      <formula>20</formula>
    </cfRule>
    <cfRule type="cellIs" dxfId="1" priority="771" operator="greaterThan">
      <formula>120</formula>
    </cfRule>
    <cfRule type="containsText" dxfId="2" priority="380" operator="between" text="库存为">
      <formula>NOT(ISERROR(SEARCH("库存为",AU17)))</formula>
    </cfRule>
  </conditionalFormatting>
  <conditionalFormatting sqref="AU18">
    <cfRule type="cellIs" dxfId="0" priority="1161" operator="lessThan">
      <formula>20</formula>
    </cfRule>
    <cfRule type="cellIs" dxfId="1" priority="770" operator="greaterThan">
      <formula>120</formula>
    </cfRule>
    <cfRule type="containsText" dxfId="2" priority="379" operator="between" text="库存为">
      <formula>NOT(ISERROR(SEARCH("库存为",AU18)))</formula>
    </cfRule>
  </conditionalFormatting>
  <conditionalFormatting sqref="AU19">
    <cfRule type="cellIs" dxfId="0" priority="1160" operator="lessThan">
      <formula>20</formula>
    </cfRule>
    <cfRule type="cellIs" dxfId="1" priority="769" operator="greaterThan">
      <formula>120</formula>
    </cfRule>
    <cfRule type="containsText" dxfId="2" priority="378" operator="between" text="库存为">
      <formula>NOT(ISERROR(SEARCH("库存为",AU19)))</formula>
    </cfRule>
  </conditionalFormatting>
  <conditionalFormatting sqref="AU20">
    <cfRule type="cellIs" dxfId="0" priority="1159" operator="lessThan">
      <formula>20</formula>
    </cfRule>
    <cfRule type="cellIs" dxfId="1" priority="768" operator="greaterThan">
      <formula>120</formula>
    </cfRule>
    <cfRule type="containsText" dxfId="2" priority="377" operator="between" text="库存为">
      <formula>NOT(ISERROR(SEARCH("库存为",AU20)))</formula>
    </cfRule>
  </conditionalFormatting>
  <conditionalFormatting sqref="AU21">
    <cfRule type="cellIs" dxfId="0" priority="1158" operator="lessThan">
      <formula>20</formula>
    </cfRule>
    <cfRule type="cellIs" dxfId="1" priority="767" operator="greaterThan">
      <formula>120</formula>
    </cfRule>
    <cfRule type="containsText" dxfId="2" priority="376" operator="between" text="库存为">
      <formula>NOT(ISERROR(SEARCH("库存为",AU21)))</formula>
    </cfRule>
  </conditionalFormatting>
  <conditionalFormatting sqref="AU22">
    <cfRule type="cellIs" dxfId="0" priority="1157" operator="lessThan">
      <formula>20</formula>
    </cfRule>
    <cfRule type="cellIs" dxfId="1" priority="766" operator="greaterThan">
      <formula>120</formula>
    </cfRule>
    <cfRule type="containsText" dxfId="2" priority="375" operator="between" text="库存为">
      <formula>NOT(ISERROR(SEARCH("库存为",AU22)))</formula>
    </cfRule>
  </conditionalFormatting>
  <conditionalFormatting sqref="AU23">
    <cfRule type="cellIs" dxfId="0" priority="1156" operator="lessThan">
      <formula>20</formula>
    </cfRule>
    <cfRule type="cellIs" dxfId="1" priority="765" operator="greaterThan">
      <formula>120</formula>
    </cfRule>
    <cfRule type="containsText" dxfId="2" priority="374" operator="between" text="库存为">
      <formula>NOT(ISERROR(SEARCH("库存为",AU23)))</formula>
    </cfRule>
  </conditionalFormatting>
  <conditionalFormatting sqref="AU24">
    <cfRule type="cellIs" dxfId="0" priority="1155" operator="lessThan">
      <formula>20</formula>
    </cfRule>
    <cfRule type="cellIs" dxfId="1" priority="764" operator="greaterThan">
      <formula>120</formula>
    </cfRule>
    <cfRule type="containsText" dxfId="2" priority="373" operator="between" text="库存为">
      <formula>NOT(ISERROR(SEARCH("库存为",AU24)))</formula>
    </cfRule>
  </conditionalFormatting>
  <conditionalFormatting sqref="AU25">
    <cfRule type="cellIs" dxfId="0" priority="1154" operator="lessThan">
      <formula>20</formula>
    </cfRule>
    <cfRule type="cellIs" dxfId="1" priority="763" operator="greaterThan">
      <formula>120</formula>
    </cfRule>
    <cfRule type="containsText" dxfId="2" priority="372" operator="between" text="库存为">
      <formula>NOT(ISERROR(SEARCH("库存为",AU25)))</formula>
    </cfRule>
  </conditionalFormatting>
  <conditionalFormatting sqref="AU26">
    <cfRule type="cellIs" dxfId="0" priority="1153" operator="lessThan">
      <formula>20</formula>
    </cfRule>
    <cfRule type="cellIs" dxfId="1" priority="762" operator="greaterThan">
      <formula>120</formula>
    </cfRule>
    <cfRule type="containsText" dxfId="2" priority="371" operator="between" text="库存为">
      <formula>NOT(ISERROR(SEARCH("库存为",AU26)))</formula>
    </cfRule>
  </conditionalFormatting>
  <conditionalFormatting sqref="AU27">
    <cfRule type="cellIs" dxfId="0" priority="1152" operator="lessThan">
      <formula>20</formula>
    </cfRule>
    <cfRule type="cellIs" dxfId="1" priority="761" operator="greaterThan">
      <formula>120</formula>
    </cfRule>
    <cfRule type="containsText" dxfId="2" priority="370" operator="between" text="库存为">
      <formula>NOT(ISERROR(SEARCH("库存为",AU27)))</formula>
    </cfRule>
  </conditionalFormatting>
  <conditionalFormatting sqref="AU28">
    <cfRule type="cellIs" dxfId="0" priority="1151" operator="lessThan">
      <formula>20</formula>
    </cfRule>
    <cfRule type="cellIs" dxfId="1" priority="760" operator="greaterThan">
      <formula>120</formula>
    </cfRule>
    <cfRule type="containsText" dxfId="2" priority="369" operator="between" text="库存为">
      <formula>NOT(ISERROR(SEARCH("库存为",AU28)))</formula>
    </cfRule>
  </conditionalFormatting>
  <conditionalFormatting sqref="AU29">
    <cfRule type="cellIs" dxfId="0" priority="1150" operator="lessThan">
      <formula>20</formula>
    </cfRule>
    <cfRule type="cellIs" dxfId="1" priority="759" operator="greaterThan">
      <formula>120</formula>
    </cfRule>
    <cfRule type="containsText" dxfId="2" priority="368" operator="between" text="库存为">
      <formula>NOT(ISERROR(SEARCH("库存为",AU29)))</formula>
    </cfRule>
  </conditionalFormatting>
  <conditionalFormatting sqref="AU30">
    <cfRule type="cellIs" dxfId="0" priority="1149" operator="lessThan">
      <formula>20</formula>
    </cfRule>
    <cfRule type="cellIs" dxfId="1" priority="758" operator="greaterThan">
      <formula>120</formula>
    </cfRule>
    <cfRule type="containsText" dxfId="2" priority="367" operator="between" text="库存为">
      <formula>NOT(ISERROR(SEARCH("库存为",AU30)))</formula>
    </cfRule>
  </conditionalFormatting>
  <conditionalFormatting sqref="AU31">
    <cfRule type="cellIs" dxfId="0" priority="1148" operator="lessThan">
      <formula>20</formula>
    </cfRule>
    <cfRule type="cellIs" dxfId="1" priority="757" operator="greaterThan">
      <formula>120</formula>
    </cfRule>
    <cfRule type="containsText" dxfId="2" priority="366" operator="between" text="库存为">
      <formula>NOT(ISERROR(SEARCH("库存为",AU31)))</formula>
    </cfRule>
  </conditionalFormatting>
  <conditionalFormatting sqref="AU32">
    <cfRule type="cellIs" dxfId="0" priority="1147" operator="lessThan">
      <formula>20</formula>
    </cfRule>
    <cfRule type="cellIs" dxfId="1" priority="756" operator="greaterThan">
      <formula>120</formula>
    </cfRule>
    <cfRule type="containsText" dxfId="2" priority="365" operator="between" text="库存为">
      <formula>NOT(ISERROR(SEARCH("库存为",AU32)))</formula>
    </cfRule>
  </conditionalFormatting>
  <conditionalFormatting sqref="AU33">
    <cfRule type="cellIs" dxfId="0" priority="1146" operator="lessThan">
      <formula>20</formula>
    </cfRule>
    <cfRule type="cellIs" dxfId="1" priority="755" operator="greaterThan">
      <formula>120</formula>
    </cfRule>
    <cfRule type="containsText" dxfId="2" priority="364" operator="between" text="库存为">
      <formula>NOT(ISERROR(SEARCH("库存为",AU33)))</formula>
    </cfRule>
  </conditionalFormatting>
  <conditionalFormatting sqref="AU34">
    <cfRule type="cellIs" dxfId="0" priority="1145" operator="lessThan">
      <formula>20</formula>
    </cfRule>
    <cfRule type="cellIs" dxfId="1" priority="754" operator="greaterThan">
      <formula>120</formula>
    </cfRule>
    <cfRule type="containsText" dxfId="2" priority="363" operator="between" text="库存为">
      <formula>NOT(ISERROR(SEARCH("库存为",AU34)))</formula>
    </cfRule>
  </conditionalFormatting>
  <conditionalFormatting sqref="AU35">
    <cfRule type="cellIs" dxfId="0" priority="1144" operator="lessThan">
      <formula>20</formula>
    </cfRule>
    <cfRule type="cellIs" dxfId="1" priority="753" operator="greaterThan">
      <formula>120</formula>
    </cfRule>
    <cfRule type="containsText" dxfId="2" priority="362" operator="between" text="库存为">
      <formula>NOT(ISERROR(SEARCH("库存为",AU35)))</formula>
    </cfRule>
  </conditionalFormatting>
  <conditionalFormatting sqref="AU36">
    <cfRule type="cellIs" dxfId="0" priority="1143" operator="lessThan">
      <formula>20</formula>
    </cfRule>
    <cfRule type="cellIs" dxfId="1" priority="752" operator="greaterThan">
      <formula>120</formula>
    </cfRule>
    <cfRule type="containsText" dxfId="2" priority="361" operator="between" text="库存为">
      <formula>NOT(ISERROR(SEARCH("库存为",AU36)))</formula>
    </cfRule>
  </conditionalFormatting>
  <conditionalFormatting sqref="AU37">
    <cfRule type="cellIs" dxfId="0" priority="1142" operator="lessThan">
      <formula>20</formula>
    </cfRule>
    <cfRule type="cellIs" dxfId="1" priority="751" operator="greaterThan">
      <formula>120</formula>
    </cfRule>
    <cfRule type="containsText" dxfId="2" priority="360" operator="between" text="库存为">
      <formula>NOT(ISERROR(SEARCH("库存为",AU37)))</formula>
    </cfRule>
  </conditionalFormatting>
  <conditionalFormatting sqref="AU38">
    <cfRule type="cellIs" dxfId="0" priority="1141" operator="lessThan">
      <formula>20</formula>
    </cfRule>
    <cfRule type="cellIs" dxfId="1" priority="750" operator="greaterThan">
      <formula>120</formula>
    </cfRule>
    <cfRule type="containsText" dxfId="2" priority="359" operator="between" text="库存为">
      <formula>NOT(ISERROR(SEARCH("库存为",AU38)))</formula>
    </cfRule>
  </conditionalFormatting>
  <conditionalFormatting sqref="AU39">
    <cfRule type="cellIs" dxfId="0" priority="1140" operator="lessThan">
      <formula>20</formula>
    </cfRule>
    <cfRule type="cellIs" dxfId="1" priority="749" operator="greaterThan">
      <formula>120</formula>
    </cfRule>
    <cfRule type="containsText" dxfId="2" priority="358" operator="between" text="库存为">
      <formula>NOT(ISERROR(SEARCH("库存为",AU39)))</formula>
    </cfRule>
  </conditionalFormatting>
  <conditionalFormatting sqref="AU40">
    <cfRule type="cellIs" dxfId="0" priority="1139" operator="lessThan">
      <formula>20</formula>
    </cfRule>
    <cfRule type="cellIs" dxfId="1" priority="748" operator="greaterThan">
      <formula>120</formula>
    </cfRule>
    <cfRule type="containsText" dxfId="2" priority="357" operator="between" text="库存为">
      <formula>NOT(ISERROR(SEARCH("库存为",AU40)))</formula>
    </cfRule>
  </conditionalFormatting>
  <conditionalFormatting sqref="AU41">
    <cfRule type="cellIs" dxfId="0" priority="1138" operator="lessThan">
      <formula>20</formula>
    </cfRule>
    <cfRule type="cellIs" dxfId="1" priority="747" operator="greaterThan">
      <formula>120</formula>
    </cfRule>
    <cfRule type="containsText" dxfId="2" priority="356" operator="between" text="库存为">
      <formula>NOT(ISERROR(SEARCH("库存为",AU41)))</formula>
    </cfRule>
  </conditionalFormatting>
  <conditionalFormatting sqref="AU42">
    <cfRule type="cellIs" dxfId="0" priority="1137" operator="lessThan">
      <formula>20</formula>
    </cfRule>
    <cfRule type="cellIs" dxfId="1" priority="746" operator="greaterThan">
      <formula>120</formula>
    </cfRule>
    <cfRule type="containsText" dxfId="2" priority="355" operator="between" text="库存为">
      <formula>NOT(ISERROR(SEARCH("库存为",AU42)))</formula>
    </cfRule>
  </conditionalFormatting>
  <conditionalFormatting sqref="AU43">
    <cfRule type="cellIs" dxfId="0" priority="1136" operator="lessThan">
      <formula>20</formula>
    </cfRule>
    <cfRule type="cellIs" dxfId="1" priority="745" operator="greaterThan">
      <formula>120</formula>
    </cfRule>
    <cfRule type="containsText" dxfId="2" priority="354" operator="between" text="库存为">
      <formula>NOT(ISERROR(SEARCH("库存为",AU43)))</formula>
    </cfRule>
  </conditionalFormatting>
  <conditionalFormatting sqref="AU44">
    <cfRule type="cellIs" dxfId="0" priority="1135" operator="lessThan">
      <formula>20</formula>
    </cfRule>
    <cfRule type="cellIs" dxfId="1" priority="744" operator="greaterThan">
      <formula>120</formula>
    </cfRule>
    <cfRule type="containsText" dxfId="2" priority="353" operator="between" text="库存为">
      <formula>NOT(ISERROR(SEARCH("库存为",AU44)))</formula>
    </cfRule>
  </conditionalFormatting>
  <conditionalFormatting sqref="AU45">
    <cfRule type="cellIs" dxfId="0" priority="1134" operator="lessThan">
      <formula>20</formula>
    </cfRule>
    <cfRule type="cellIs" dxfId="1" priority="743" operator="greaterThan">
      <formula>120</formula>
    </cfRule>
    <cfRule type="containsText" dxfId="2" priority="352" operator="between" text="库存为">
      <formula>NOT(ISERROR(SEARCH("库存为",AU45)))</formula>
    </cfRule>
  </conditionalFormatting>
  <conditionalFormatting sqref="AU46">
    <cfRule type="cellIs" dxfId="0" priority="1133" operator="lessThan">
      <formula>20</formula>
    </cfRule>
    <cfRule type="cellIs" dxfId="1" priority="742" operator="greaterThan">
      <formula>120</formula>
    </cfRule>
    <cfRule type="containsText" dxfId="2" priority="351" operator="between" text="库存为">
      <formula>NOT(ISERROR(SEARCH("库存为",AU46)))</formula>
    </cfRule>
  </conditionalFormatting>
  <conditionalFormatting sqref="AU47">
    <cfRule type="cellIs" dxfId="0" priority="1132" operator="lessThan">
      <formula>20</formula>
    </cfRule>
    <cfRule type="cellIs" dxfId="1" priority="741" operator="greaterThan">
      <formula>120</formula>
    </cfRule>
    <cfRule type="containsText" dxfId="2" priority="350" operator="between" text="库存为">
      <formula>NOT(ISERROR(SEARCH("库存为",AU47)))</formula>
    </cfRule>
  </conditionalFormatting>
  <conditionalFormatting sqref="AU48">
    <cfRule type="cellIs" dxfId="0" priority="1131" operator="lessThan">
      <formula>20</formula>
    </cfRule>
    <cfRule type="cellIs" dxfId="1" priority="740" operator="greaterThan">
      <formula>120</formula>
    </cfRule>
    <cfRule type="containsText" dxfId="2" priority="349" operator="between" text="库存为">
      <formula>NOT(ISERROR(SEARCH("库存为",AU48)))</formula>
    </cfRule>
  </conditionalFormatting>
  <conditionalFormatting sqref="AU49">
    <cfRule type="cellIs" dxfId="0" priority="1130" operator="lessThan">
      <formula>20</formula>
    </cfRule>
    <cfRule type="cellIs" dxfId="1" priority="739" operator="greaterThan">
      <formula>120</formula>
    </cfRule>
    <cfRule type="containsText" dxfId="2" priority="348" operator="between" text="库存为">
      <formula>NOT(ISERROR(SEARCH("库存为",AU49)))</formula>
    </cfRule>
  </conditionalFormatting>
  <conditionalFormatting sqref="AU50">
    <cfRule type="cellIs" dxfId="0" priority="1129" operator="lessThan">
      <formula>20</formula>
    </cfRule>
    <cfRule type="cellIs" dxfId="1" priority="738" operator="greaterThan">
      <formula>120</formula>
    </cfRule>
    <cfRule type="containsText" dxfId="2" priority="347" operator="between" text="库存为">
      <formula>NOT(ISERROR(SEARCH("库存为",AU50)))</formula>
    </cfRule>
  </conditionalFormatting>
  <conditionalFormatting sqref="AU51">
    <cfRule type="cellIs" dxfId="0" priority="1128" operator="lessThan">
      <formula>20</formula>
    </cfRule>
    <cfRule type="cellIs" dxfId="1" priority="737" operator="greaterThan">
      <formula>120</formula>
    </cfRule>
    <cfRule type="containsText" dxfId="2" priority="346" operator="between" text="库存为">
      <formula>NOT(ISERROR(SEARCH("库存为",AU51)))</formula>
    </cfRule>
  </conditionalFormatting>
  <conditionalFormatting sqref="AU52">
    <cfRule type="cellIs" dxfId="0" priority="1127" operator="lessThan">
      <formula>20</formula>
    </cfRule>
    <cfRule type="cellIs" dxfId="1" priority="736" operator="greaterThan">
      <formula>120</formula>
    </cfRule>
    <cfRule type="containsText" dxfId="2" priority="345" operator="between" text="库存为">
      <formula>NOT(ISERROR(SEARCH("库存为",AU52)))</formula>
    </cfRule>
  </conditionalFormatting>
  <conditionalFormatting sqref="AU53">
    <cfRule type="cellIs" dxfId="0" priority="1126" operator="lessThan">
      <formula>20</formula>
    </cfRule>
    <cfRule type="cellIs" dxfId="1" priority="735" operator="greaterThan">
      <formula>120</formula>
    </cfRule>
    <cfRule type="containsText" dxfId="2" priority="344" operator="between" text="库存为">
      <formula>NOT(ISERROR(SEARCH("库存为",AU53)))</formula>
    </cfRule>
  </conditionalFormatting>
  <conditionalFormatting sqref="AU54">
    <cfRule type="cellIs" dxfId="0" priority="1125" operator="lessThan">
      <formula>20</formula>
    </cfRule>
    <cfRule type="cellIs" dxfId="1" priority="734" operator="greaterThan">
      <formula>120</formula>
    </cfRule>
    <cfRule type="containsText" dxfId="2" priority="343" operator="between" text="库存为">
      <formula>NOT(ISERROR(SEARCH("库存为",AU54)))</formula>
    </cfRule>
  </conditionalFormatting>
  <conditionalFormatting sqref="AU55">
    <cfRule type="cellIs" dxfId="0" priority="1124" operator="lessThan">
      <formula>20</formula>
    </cfRule>
    <cfRule type="cellIs" dxfId="1" priority="733" operator="greaterThan">
      <formula>120</formula>
    </cfRule>
    <cfRule type="containsText" dxfId="2" priority="342" operator="between" text="库存为">
      <formula>NOT(ISERROR(SEARCH("库存为",AU55)))</formula>
    </cfRule>
  </conditionalFormatting>
  <conditionalFormatting sqref="AU56">
    <cfRule type="cellIs" dxfId="0" priority="1123" operator="lessThan">
      <formula>20</formula>
    </cfRule>
    <cfRule type="cellIs" dxfId="1" priority="732" operator="greaterThan">
      <formula>120</formula>
    </cfRule>
    <cfRule type="containsText" dxfId="2" priority="341" operator="between" text="库存为">
      <formula>NOT(ISERROR(SEARCH("库存为",AU56)))</formula>
    </cfRule>
  </conditionalFormatting>
  <conditionalFormatting sqref="AU57">
    <cfRule type="cellIs" dxfId="0" priority="1122" operator="lessThan">
      <formula>20</formula>
    </cfRule>
    <cfRule type="cellIs" dxfId="1" priority="731" operator="greaterThan">
      <formula>120</formula>
    </cfRule>
    <cfRule type="containsText" dxfId="2" priority="340" operator="between" text="库存为">
      <formula>NOT(ISERROR(SEARCH("库存为",AU57)))</formula>
    </cfRule>
  </conditionalFormatting>
  <conditionalFormatting sqref="AU58">
    <cfRule type="cellIs" dxfId="0" priority="1121" operator="lessThan">
      <formula>20</formula>
    </cfRule>
    <cfRule type="cellIs" dxfId="1" priority="730" operator="greaterThan">
      <formula>120</formula>
    </cfRule>
    <cfRule type="containsText" dxfId="2" priority="339" operator="between" text="库存为">
      <formula>NOT(ISERROR(SEARCH("库存为",AU58)))</formula>
    </cfRule>
  </conditionalFormatting>
  <conditionalFormatting sqref="AU59">
    <cfRule type="cellIs" dxfId="0" priority="1120" operator="lessThan">
      <formula>20</formula>
    </cfRule>
    <cfRule type="cellIs" dxfId="1" priority="729" operator="greaterThan">
      <formula>120</formula>
    </cfRule>
    <cfRule type="containsText" dxfId="2" priority="338" operator="between" text="库存为">
      <formula>NOT(ISERROR(SEARCH("库存为",AU59)))</formula>
    </cfRule>
  </conditionalFormatting>
  <conditionalFormatting sqref="AU60">
    <cfRule type="cellIs" dxfId="0" priority="1119" operator="lessThan">
      <formula>20</formula>
    </cfRule>
    <cfRule type="cellIs" dxfId="1" priority="728" operator="greaterThan">
      <formula>120</formula>
    </cfRule>
    <cfRule type="containsText" dxfId="2" priority="337" operator="between" text="库存为">
      <formula>NOT(ISERROR(SEARCH("库存为",AU60)))</formula>
    </cfRule>
  </conditionalFormatting>
  <conditionalFormatting sqref="AU61">
    <cfRule type="cellIs" dxfId="0" priority="1118" operator="lessThan">
      <formula>20</formula>
    </cfRule>
    <cfRule type="cellIs" dxfId="1" priority="727" operator="greaterThan">
      <formula>120</formula>
    </cfRule>
    <cfRule type="containsText" dxfId="2" priority="336" operator="between" text="库存为">
      <formula>NOT(ISERROR(SEARCH("库存为",AU61)))</formula>
    </cfRule>
  </conditionalFormatting>
  <conditionalFormatting sqref="AU62">
    <cfRule type="cellIs" dxfId="0" priority="1117" operator="lessThan">
      <formula>20</formula>
    </cfRule>
    <cfRule type="cellIs" dxfId="1" priority="726" operator="greaterThan">
      <formula>120</formula>
    </cfRule>
    <cfRule type="containsText" dxfId="2" priority="335" operator="between" text="库存为">
      <formula>NOT(ISERROR(SEARCH("库存为",AU62)))</formula>
    </cfRule>
  </conditionalFormatting>
  <conditionalFormatting sqref="AU63">
    <cfRule type="cellIs" dxfId="0" priority="1116" operator="lessThan">
      <formula>20</formula>
    </cfRule>
    <cfRule type="cellIs" dxfId="1" priority="725" operator="greaterThan">
      <formula>120</formula>
    </cfRule>
    <cfRule type="containsText" dxfId="2" priority="334" operator="between" text="库存为">
      <formula>NOT(ISERROR(SEARCH("库存为",AU63)))</formula>
    </cfRule>
  </conditionalFormatting>
  <conditionalFormatting sqref="AU64">
    <cfRule type="cellIs" dxfId="0" priority="1115" operator="lessThan">
      <formula>20</formula>
    </cfRule>
    <cfRule type="cellIs" dxfId="1" priority="724" operator="greaterThan">
      <formula>120</formula>
    </cfRule>
    <cfRule type="containsText" dxfId="2" priority="333" operator="between" text="库存为">
      <formula>NOT(ISERROR(SEARCH("库存为",AU64)))</formula>
    </cfRule>
  </conditionalFormatting>
  <conditionalFormatting sqref="AU65">
    <cfRule type="cellIs" dxfId="0" priority="1114" operator="lessThan">
      <formula>20</formula>
    </cfRule>
    <cfRule type="cellIs" dxfId="1" priority="723" operator="greaterThan">
      <formula>120</formula>
    </cfRule>
    <cfRule type="containsText" dxfId="2" priority="332" operator="between" text="库存为">
      <formula>NOT(ISERROR(SEARCH("库存为",AU65)))</formula>
    </cfRule>
  </conditionalFormatting>
  <conditionalFormatting sqref="AU66">
    <cfRule type="cellIs" dxfId="0" priority="1113" operator="lessThan">
      <formula>20</formula>
    </cfRule>
    <cfRule type="cellIs" dxfId="1" priority="722" operator="greaterThan">
      <formula>120</formula>
    </cfRule>
    <cfRule type="containsText" dxfId="2" priority="331" operator="between" text="库存为">
      <formula>NOT(ISERROR(SEARCH("库存为",AU66)))</formula>
    </cfRule>
  </conditionalFormatting>
  <conditionalFormatting sqref="AU67">
    <cfRule type="cellIs" dxfId="0" priority="1112" operator="lessThan">
      <formula>20</formula>
    </cfRule>
    <cfRule type="cellIs" dxfId="1" priority="721" operator="greaterThan">
      <formula>120</formula>
    </cfRule>
    <cfRule type="containsText" dxfId="2" priority="330" operator="between" text="库存为">
      <formula>NOT(ISERROR(SEARCH("库存为",AU67)))</formula>
    </cfRule>
  </conditionalFormatting>
  <conditionalFormatting sqref="AU68">
    <cfRule type="cellIs" dxfId="0" priority="1111" operator="lessThan">
      <formula>20</formula>
    </cfRule>
    <cfRule type="cellIs" dxfId="1" priority="720" operator="greaterThan">
      <formula>120</formula>
    </cfRule>
    <cfRule type="containsText" dxfId="2" priority="329" operator="between" text="库存为">
      <formula>NOT(ISERROR(SEARCH("库存为",AU68)))</formula>
    </cfRule>
  </conditionalFormatting>
  <conditionalFormatting sqref="AU69">
    <cfRule type="cellIs" dxfId="0" priority="1110" operator="lessThan">
      <formula>20</formula>
    </cfRule>
    <cfRule type="cellIs" dxfId="1" priority="719" operator="greaterThan">
      <formula>120</formula>
    </cfRule>
    <cfRule type="containsText" dxfId="2" priority="328" operator="between" text="库存为">
      <formula>NOT(ISERROR(SEARCH("库存为",AU69)))</formula>
    </cfRule>
  </conditionalFormatting>
  <conditionalFormatting sqref="AU70">
    <cfRule type="cellIs" dxfId="0" priority="1109" operator="lessThan">
      <formula>20</formula>
    </cfRule>
    <cfRule type="cellIs" dxfId="1" priority="718" operator="greaterThan">
      <formula>120</formula>
    </cfRule>
    <cfRule type="containsText" dxfId="2" priority="327" operator="between" text="库存为">
      <formula>NOT(ISERROR(SEARCH("库存为",AU70)))</formula>
    </cfRule>
  </conditionalFormatting>
  <conditionalFormatting sqref="AU71">
    <cfRule type="cellIs" dxfId="0" priority="1108" operator="lessThan">
      <formula>20</formula>
    </cfRule>
    <cfRule type="cellIs" dxfId="1" priority="717" operator="greaterThan">
      <formula>120</formula>
    </cfRule>
    <cfRule type="containsText" dxfId="2" priority="326" operator="between" text="库存为">
      <formula>NOT(ISERROR(SEARCH("库存为",AU71)))</formula>
    </cfRule>
  </conditionalFormatting>
  <conditionalFormatting sqref="AU72">
    <cfRule type="cellIs" dxfId="0" priority="1107" operator="lessThan">
      <formula>20</formula>
    </cfRule>
    <cfRule type="cellIs" dxfId="1" priority="716" operator="greaterThan">
      <formula>120</formula>
    </cfRule>
    <cfRule type="containsText" dxfId="2" priority="325" operator="between" text="库存为">
      <formula>NOT(ISERROR(SEARCH("库存为",AU72)))</formula>
    </cfRule>
  </conditionalFormatting>
  <conditionalFormatting sqref="AU73">
    <cfRule type="cellIs" dxfId="0" priority="1106" operator="lessThan">
      <formula>20</formula>
    </cfRule>
    <cfRule type="cellIs" dxfId="1" priority="715" operator="greaterThan">
      <formula>120</formula>
    </cfRule>
    <cfRule type="containsText" dxfId="2" priority="324" operator="between" text="库存为">
      <formula>NOT(ISERROR(SEARCH("库存为",AU73)))</formula>
    </cfRule>
  </conditionalFormatting>
  <conditionalFormatting sqref="AU74">
    <cfRule type="cellIs" dxfId="0" priority="1105" operator="lessThan">
      <formula>20</formula>
    </cfRule>
    <cfRule type="cellIs" dxfId="1" priority="714" operator="greaterThan">
      <formula>120</formula>
    </cfRule>
    <cfRule type="containsText" dxfId="2" priority="323" operator="between" text="库存为">
      <formula>NOT(ISERROR(SEARCH("库存为",AU74)))</formula>
    </cfRule>
  </conditionalFormatting>
  <conditionalFormatting sqref="AU75">
    <cfRule type="cellIs" dxfId="0" priority="1104" operator="lessThan">
      <formula>20</formula>
    </cfRule>
    <cfRule type="cellIs" dxfId="1" priority="713" operator="greaterThan">
      <formula>120</formula>
    </cfRule>
    <cfRule type="containsText" dxfId="2" priority="322" operator="between" text="库存为">
      <formula>NOT(ISERROR(SEARCH("库存为",AU75)))</formula>
    </cfRule>
  </conditionalFormatting>
  <conditionalFormatting sqref="AU76">
    <cfRule type="cellIs" dxfId="0" priority="1103" operator="lessThan">
      <formula>20</formula>
    </cfRule>
    <cfRule type="cellIs" dxfId="1" priority="712" operator="greaterThan">
      <formula>120</formula>
    </cfRule>
    <cfRule type="containsText" dxfId="2" priority="321" operator="between" text="库存为">
      <formula>NOT(ISERROR(SEARCH("库存为",AU76)))</formula>
    </cfRule>
  </conditionalFormatting>
  <conditionalFormatting sqref="AU77">
    <cfRule type="cellIs" dxfId="0" priority="1102" operator="lessThan">
      <formula>20</formula>
    </cfRule>
    <cfRule type="cellIs" dxfId="1" priority="711" operator="greaterThan">
      <formula>120</formula>
    </cfRule>
    <cfRule type="containsText" dxfId="2" priority="320" operator="between" text="库存为">
      <formula>NOT(ISERROR(SEARCH("库存为",AU77)))</formula>
    </cfRule>
  </conditionalFormatting>
  <conditionalFormatting sqref="AU78">
    <cfRule type="cellIs" dxfId="0" priority="1101" operator="lessThan">
      <formula>20</formula>
    </cfRule>
    <cfRule type="cellIs" dxfId="1" priority="710" operator="greaterThan">
      <formula>120</formula>
    </cfRule>
    <cfRule type="containsText" dxfId="2" priority="319" operator="between" text="库存为">
      <formula>NOT(ISERROR(SEARCH("库存为",AU78)))</formula>
    </cfRule>
  </conditionalFormatting>
  <conditionalFormatting sqref="AU79">
    <cfRule type="cellIs" dxfId="0" priority="1100" operator="lessThan">
      <formula>20</formula>
    </cfRule>
    <cfRule type="cellIs" dxfId="1" priority="709" operator="greaterThan">
      <formula>120</formula>
    </cfRule>
    <cfRule type="containsText" dxfId="2" priority="318" operator="between" text="库存为">
      <formula>NOT(ISERROR(SEARCH("库存为",AU79)))</formula>
    </cfRule>
  </conditionalFormatting>
  <conditionalFormatting sqref="AU80">
    <cfRule type="cellIs" dxfId="0" priority="1099" operator="lessThan">
      <formula>20</formula>
    </cfRule>
    <cfRule type="cellIs" dxfId="1" priority="708" operator="greaterThan">
      <formula>120</formula>
    </cfRule>
    <cfRule type="containsText" dxfId="2" priority="317" operator="between" text="库存为">
      <formula>NOT(ISERROR(SEARCH("库存为",AU80)))</formula>
    </cfRule>
  </conditionalFormatting>
  <conditionalFormatting sqref="AU81">
    <cfRule type="cellIs" dxfId="0" priority="1098" operator="lessThan">
      <formula>20</formula>
    </cfRule>
    <cfRule type="cellIs" dxfId="1" priority="707" operator="greaterThan">
      <formula>120</formula>
    </cfRule>
    <cfRule type="containsText" dxfId="2" priority="316" operator="between" text="库存为">
      <formula>NOT(ISERROR(SEARCH("库存为",AU81)))</formula>
    </cfRule>
  </conditionalFormatting>
  <conditionalFormatting sqref="AU82">
    <cfRule type="cellIs" dxfId="0" priority="1097" operator="lessThan">
      <formula>20</formula>
    </cfRule>
    <cfRule type="cellIs" dxfId="1" priority="706" operator="greaterThan">
      <formula>120</formula>
    </cfRule>
    <cfRule type="containsText" dxfId="2" priority="315" operator="between" text="库存为">
      <formula>NOT(ISERROR(SEARCH("库存为",AU82)))</formula>
    </cfRule>
  </conditionalFormatting>
  <conditionalFormatting sqref="AU83">
    <cfRule type="cellIs" dxfId="0" priority="1096" operator="lessThan">
      <formula>20</formula>
    </cfRule>
    <cfRule type="cellIs" dxfId="1" priority="705" operator="greaterThan">
      <formula>120</formula>
    </cfRule>
    <cfRule type="containsText" dxfId="2" priority="314" operator="between" text="库存为">
      <formula>NOT(ISERROR(SEARCH("库存为",AU83)))</formula>
    </cfRule>
  </conditionalFormatting>
  <conditionalFormatting sqref="AU84">
    <cfRule type="cellIs" dxfId="0" priority="1095" operator="lessThan">
      <formula>20</formula>
    </cfRule>
    <cfRule type="cellIs" dxfId="1" priority="704" operator="greaterThan">
      <formula>120</formula>
    </cfRule>
    <cfRule type="containsText" dxfId="2" priority="313" operator="between" text="库存为">
      <formula>NOT(ISERROR(SEARCH("库存为",AU84)))</formula>
    </cfRule>
  </conditionalFormatting>
  <conditionalFormatting sqref="AU85">
    <cfRule type="cellIs" dxfId="0" priority="1094" operator="lessThan">
      <formula>20</formula>
    </cfRule>
    <cfRule type="cellIs" dxfId="1" priority="703" operator="greaterThan">
      <formula>120</formula>
    </cfRule>
    <cfRule type="containsText" dxfId="2" priority="312" operator="between" text="库存为">
      <formula>NOT(ISERROR(SEARCH("库存为",AU85)))</formula>
    </cfRule>
  </conditionalFormatting>
  <conditionalFormatting sqref="AU86">
    <cfRule type="cellIs" dxfId="0" priority="1093" operator="lessThan">
      <formula>20</formula>
    </cfRule>
    <cfRule type="cellIs" dxfId="1" priority="702" operator="greaterThan">
      <formula>120</formula>
    </cfRule>
    <cfRule type="containsText" dxfId="2" priority="311" operator="between" text="库存为">
      <formula>NOT(ISERROR(SEARCH("库存为",AU86)))</formula>
    </cfRule>
  </conditionalFormatting>
  <conditionalFormatting sqref="AU87">
    <cfRule type="cellIs" dxfId="0" priority="1092" operator="lessThan">
      <formula>20</formula>
    </cfRule>
    <cfRule type="cellIs" dxfId="1" priority="701" operator="greaterThan">
      <formula>120</formula>
    </cfRule>
    <cfRule type="containsText" dxfId="2" priority="310" operator="between" text="库存为">
      <formula>NOT(ISERROR(SEARCH("库存为",AU87)))</formula>
    </cfRule>
  </conditionalFormatting>
  <conditionalFormatting sqref="AU88">
    <cfRule type="cellIs" dxfId="0" priority="1091" operator="lessThan">
      <formula>20</formula>
    </cfRule>
    <cfRule type="cellIs" dxfId="1" priority="700" operator="greaterThan">
      <formula>120</formula>
    </cfRule>
    <cfRule type="containsText" dxfId="2" priority="309" operator="between" text="库存为">
      <formula>NOT(ISERROR(SEARCH("库存为",AU88)))</formula>
    </cfRule>
  </conditionalFormatting>
  <conditionalFormatting sqref="AU89">
    <cfRule type="cellIs" dxfId="0" priority="1090" operator="lessThan">
      <formula>20</formula>
    </cfRule>
    <cfRule type="cellIs" dxfId="1" priority="699" operator="greaterThan">
      <formula>120</formula>
    </cfRule>
    <cfRule type="containsText" dxfId="2" priority="308" operator="between" text="库存为">
      <formula>NOT(ISERROR(SEARCH("库存为",AU89)))</formula>
    </cfRule>
  </conditionalFormatting>
  <conditionalFormatting sqref="AU90">
    <cfRule type="cellIs" dxfId="0" priority="1089" operator="lessThan">
      <formula>20</formula>
    </cfRule>
    <cfRule type="cellIs" dxfId="1" priority="698" operator="greaterThan">
      <formula>120</formula>
    </cfRule>
    <cfRule type="containsText" dxfId="2" priority="307" operator="between" text="库存为">
      <formula>NOT(ISERROR(SEARCH("库存为",AU90)))</formula>
    </cfRule>
  </conditionalFormatting>
  <conditionalFormatting sqref="AU91">
    <cfRule type="cellIs" dxfId="0" priority="1088" operator="lessThan">
      <formula>20</formula>
    </cfRule>
    <cfRule type="cellIs" dxfId="1" priority="697" operator="greaterThan">
      <formula>120</formula>
    </cfRule>
    <cfRule type="containsText" dxfId="2" priority="306" operator="between" text="库存为">
      <formula>NOT(ISERROR(SEARCH("库存为",AU91)))</formula>
    </cfRule>
  </conditionalFormatting>
  <conditionalFormatting sqref="AU92">
    <cfRule type="cellIs" dxfId="0" priority="1087" operator="lessThan">
      <formula>20</formula>
    </cfRule>
    <cfRule type="cellIs" dxfId="1" priority="696" operator="greaterThan">
      <formula>120</formula>
    </cfRule>
    <cfRule type="containsText" dxfId="2" priority="305" operator="between" text="库存为">
      <formula>NOT(ISERROR(SEARCH("库存为",AU92)))</formula>
    </cfRule>
  </conditionalFormatting>
  <conditionalFormatting sqref="AU93">
    <cfRule type="cellIs" dxfId="0" priority="1086" operator="lessThan">
      <formula>20</formula>
    </cfRule>
    <cfRule type="cellIs" dxfId="1" priority="695" operator="greaterThan">
      <formula>120</formula>
    </cfRule>
    <cfRule type="containsText" dxfId="2" priority="304" operator="between" text="库存为">
      <formula>NOT(ISERROR(SEARCH("库存为",AU93)))</formula>
    </cfRule>
  </conditionalFormatting>
  <conditionalFormatting sqref="AU94">
    <cfRule type="cellIs" dxfId="0" priority="1085" operator="lessThan">
      <formula>20</formula>
    </cfRule>
    <cfRule type="cellIs" dxfId="1" priority="694" operator="greaterThan">
      <formula>120</formula>
    </cfRule>
    <cfRule type="containsText" dxfId="2" priority="303" operator="between" text="库存为">
      <formula>NOT(ISERROR(SEARCH("库存为",AU94)))</formula>
    </cfRule>
  </conditionalFormatting>
  <conditionalFormatting sqref="AU95">
    <cfRule type="cellIs" dxfId="0" priority="1084" operator="lessThan">
      <formula>20</formula>
    </cfRule>
    <cfRule type="cellIs" dxfId="1" priority="693" operator="greaterThan">
      <formula>120</formula>
    </cfRule>
    <cfRule type="containsText" dxfId="2" priority="302" operator="between" text="库存为">
      <formula>NOT(ISERROR(SEARCH("库存为",AU95)))</formula>
    </cfRule>
  </conditionalFormatting>
  <conditionalFormatting sqref="AU96">
    <cfRule type="cellIs" dxfId="0" priority="1083" operator="lessThan">
      <formula>20</formula>
    </cfRule>
    <cfRule type="cellIs" dxfId="1" priority="692" operator="greaterThan">
      <formula>120</formula>
    </cfRule>
    <cfRule type="containsText" dxfId="2" priority="301" operator="between" text="库存为">
      <formula>NOT(ISERROR(SEARCH("库存为",AU96)))</formula>
    </cfRule>
  </conditionalFormatting>
  <conditionalFormatting sqref="AU97">
    <cfRule type="cellIs" dxfId="0" priority="1082" operator="lessThan">
      <formula>20</formula>
    </cfRule>
    <cfRule type="cellIs" dxfId="1" priority="691" operator="greaterThan">
      <formula>120</formula>
    </cfRule>
    <cfRule type="containsText" dxfId="2" priority="300" operator="between" text="库存为">
      <formula>NOT(ISERROR(SEARCH("库存为",AU97)))</formula>
    </cfRule>
  </conditionalFormatting>
  <conditionalFormatting sqref="AU98">
    <cfRule type="cellIs" dxfId="0" priority="1081" operator="lessThan">
      <formula>20</formula>
    </cfRule>
    <cfRule type="cellIs" dxfId="1" priority="690" operator="greaterThan">
      <formula>120</formula>
    </cfRule>
    <cfRule type="containsText" dxfId="2" priority="299" operator="between" text="库存为">
      <formula>NOT(ISERROR(SEARCH("库存为",AU98)))</formula>
    </cfRule>
  </conditionalFormatting>
  <conditionalFormatting sqref="AU99">
    <cfRule type="cellIs" dxfId="0" priority="1080" operator="lessThan">
      <formula>20</formula>
    </cfRule>
    <cfRule type="cellIs" dxfId="1" priority="689" operator="greaterThan">
      <formula>120</formula>
    </cfRule>
    <cfRule type="containsText" dxfId="2" priority="298" operator="between" text="库存为">
      <formula>NOT(ISERROR(SEARCH("库存为",AU99)))</formula>
    </cfRule>
  </conditionalFormatting>
  <conditionalFormatting sqref="AU100">
    <cfRule type="cellIs" dxfId="0" priority="1079" operator="lessThan">
      <formula>20</formula>
    </cfRule>
    <cfRule type="cellIs" dxfId="1" priority="688" operator="greaterThan">
      <formula>120</formula>
    </cfRule>
    <cfRule type="containsText" dxfId="2" priority="297" operator="between" text="库存为">
      <formula>NOT(ISERROR(SEARCH("库存为",AU100)))</formula>
    </cfRule>
  </conditionalFormatting>
  <conditionalFormatting sqref="AU101">
    <cfRule type="cellIs" dxfId="0" priority="1078" operator="lessThan">
      <formula>20</formula>
    </cfRule>
    <cfRule type="cellIs" dxfId="1" priority="687" operator="greaterThan">
      <formula>120</formula>
    </cfRule>
    <cfRule type="containsText" dxfId="2" priority="296" operator="between" text="库存为">
      <formula>NOT(ISERROR(SEARCH("库存为",AU101)))</formula>
    </cfRule>
  </conditionalFormatting>
  <conditionalFormatting sqref="AU102">
    <cfRule type="cellIs" dxfId="0" priority="1077" operator="lessThan">
      <formula>20</formula>
    </cfRule>
    <cfRule type="cellIs" dxfId="1" priority="686" operator="greaterThan">
      <formula>120</formula>
    </cfRule>
    <cfRule type="containsText" dxfId="2" priority="295" operator="between" text="库存为">
      <formula>NOT(ISERROR(SEARCH("库存为",AU102)))</formula>
    </cfRule>
  </conditionalFormatting>
  <conditionalFormatting sqref="AU103">
    <cfRule type="cellIs" dxfId="0" priority="1076" operator="lessThan">
      <formula>20</formula>
    </cfRule>
    <cfRule type="cellIs" dxfId="1" priority="685" operator="greaterThan">
      <formula>120</formula>
    </cfRule>
    <cfRule type="containsText" dxfId="2" priority="294" operator="between" text="库存为">
      <formula>NOT(ISERROR(SEARCH("库存为",AU103)))</formula>
    </cfRule>
  </conditionalFormatting>
  <conditionalFormatting sqref="AU104">
    <cfRule type="cellIs" dxfId="0" priority="1075" operator="lessThan">
      <formula>20</formula>
    </cfRule>
    <cfRule type="cellIs" dxfId="1" priority="684" operator="greaterThan">
      <formula>120</formula>
    </cfRule>
    <cfRule type="containsText" dxfId="2" priority="293" operator="between" text="库存为">
      <formula>NOT(ISERROR(SEARCH("库存为",AU104)))</formula>
    </cfRule>
  </conditionalFormatting>
  <conditionalFormatting sqref="AU105">
    <cfRule type="cellIs" dxfId="0" priority="1074" operator="lessThan">
      <formula>20</formula>
    </cfRule>
    <cfRule type="cellIs" dxfId="1" priority="683" operator="greaterThan">
      <formula>120</formula>
    </cfRule>
    <cfRule type="containsText" dxfId="2" priority="292" operator="between" text="库存为">
      <formula>NOT(ISERROR(SEARCH("库存为",AU105)))</formula>
    </cfRule>
  </conditionalFormatting>
  <conditionalFormatting sqref="AU106">
    <cfRule type="cellIs" dxfId="0" priority="1073" operator="lessThan">
      <formula>20</formula>
    </cfRule>
    <cfRule type="cellIs" dxfId="1" priority="682" operator="greaterThan">
      <formula>120</formula>
    </cfRule>
    <cfRule type="containsText" dxfId="2" priority="291" operator="between" text="库存为">
      <formula>NOT(ISERROR(SEARCH("库存为",AU106)))</formula>
    </cfRule>
  </conditionalFormatting>
  <conditionalFormatting sqref="AU107">
    <cfRule type="cellIs" dxfId="0" priority="1072" operator="lessThan">
      <formula>20</formula>
    </cfRule>
    <cfRule type="cellIs" dxfId="1" priority="681" operator="greaterThan">
      <formula>120</formula>
    </cfRule>
    <cfRule type="containsText" dxfId="2" priority="290" operator="between" text="库存为">
      <formula>NOT(ISERROR(SEARCH("库存为",AU107)))</formula>
    </cfRule>
  </conditionalFormatting>
  <conditionalFormatting sqref="AU108">
    <cfRule type="cellIs" dxfId="0" priority="1071" operator="lessThan">
      <formula>20</formula>
    </cfRule>
    <cfRule type="cellIs" dxfId="1" priority="680" operator="greaterThan">
      <formula>120</formula>
    </cfRule>
    <cfRule type="containsText" dxfId="2" priority="289" operator="between" text="库存为">
      <formula>NOT(ISERROR(SEARCH("库存为",AU108)))</formula>
    </cfRule>
  </conditionalFormatting>
  <conditionalFormatting sqref="AU109">
    <cfRule type="cellIs" dxfId="0" priority="1070" operator="lessThan">
      <formula>20</formula>
    </cfRule>
    <cfRule type="cellIs" dxfId="1" priority="679" operator="greaterThan">
      <formula>120</formula>
    </cfRule>
    <cfRule type="containsText" dxfId="2" priority="288" operator="between" text="库存为">
      <formula>NOT(ISERROR(SEARCH("库存为",AU109)))</formula>
    </cfRule>
  </conditionalFormatting>
  <conditionalFormatting sqref="AU110">
    <cfRule type="cellIs" dxfId="0" priority="1069" operator="lessThan">
      <formula>20</formula>
    </cfRule>
    <cfRule type="cellIs" dxfId="1" priority="678" operator="greaterThan">
      <formula>120</formula>
    </cfRule>
    <cfRule type="containsText" dxfId="2" priority="287" operator="between" text="库存为">
      <formula>NOT(ISERROR(SEARCH("库存为",AU110)))</formula>
    </cfRule>
  </conditionalFormatting>
  <conditionalFormatting sqref="AU111">
    <cfRule type="cellIs" dxfId="0" priority="1068" operator="lessThan">
      <formula>20</formula>
    </cfRule>
    <cfRule type="cellIs" dxfId="1" priority="677" operator="greaterThan">
      <formula>120</formula>
    </cfRule>
    <cfRule type="containsText" dxfId="2" priority="286" operator="between" text="库存为">
      <formula>NOT(ISERROR(SEARCH("库存为",AU111)))</formula>
    </cfRule>
  </conditionalFormatting>
  <conditionalFormatting sqref="AU112">
    <cfRule type="cellIs" dxfId="0" priority="1067" operator="lessThan">
      <formula>20</formula>
    </cfRule>
    <cfRule type="cellIs" dxfId="1" priority="676" operator="greaterThan">
      <formula>120</formula>
    </cfRule>
    <cfRule type="containsText" dxfId="2" priority="285" operator="between" text="库存为">
      <formula>NOT(ISERROR(SEARCH("库存为",AU112)))</formula>
    </cfRule>
  </conditionalFormatting>
  <conditionalFormatting sqref="AU113">
    <cfRule type="cellIs" dxfId="0" priority="1066" operator="lessThan">
      <formula>20</formula>
    </cfRule>
    <cfRule type="cellIs" dxfId="1" priority="675" operator="greaterThan">
      <formula>120</formula>
    </cfRule>
    <cfRule type="containsText" dxfId="2" priority="284" operator="between" text="库存为">
      <formula>NOT(ISERROR(SEARCH("库存为",AU113)))</formula>
    </cfRule>
  </conditionalFormatting>
  <conditionalFormatting sqref="AU114">
    <cfRule type="cellIs" dxfId="0" priority="1065" operator="lessThan">
      <formula>20</formula>
    </cfRule>
    <cfRule type="cellIs" dxfId="1" priority="674" operator="greaterThan">
      <formula>120</formula>
    </cfRule>
    <cfRule type="containsText" dxfId="2" priority="283" operator="between" text="库存为">
      <formula>NOT(ISERROR(SEARCH("库存为",AU114)))</formula>
    </cfRule>
  </conditionalFormatting>
  <conditionalFormatting sqref="AU115">
    <cfRule type="cellIs" dxfId="0" priority="1064" operator="lessThan">
      <formula>20</formula>
    </cfRule>
    <cfRule type="cellIs" dxfId="1" priority="673" operator="greaterThan">
      <formula>120</formula>
    </cfRule>
    <cfRule type="containsText" dxfId="2" priority="282" operator="between" text="库存为">
      <formula>NOT(ISERROR(SEARCH("库存为",AU115)))</formula>
    </cfRule>
  </conditionalFormatting>
  <conditionalFormatting sqref="AU116">
    <cfRule type="cellIs" dxfId="0" priority="1063" operator="lessThan">
      <formula>20</formula>
    </cfRule>
    <cfRule type="cellIs" dxfId="1" priority="672" operator="greaterThan">
      <formula>120</formula>
    </cfRule>
    <cfRule type="containsText" dxfId="2" priority="281" operator="between" text="库存为">
      <formula>NOT(ISERROR(SEARCH("库存为",AU116)))</formula>
    </cfRule>
  </conditionalFormatting>
  <conditionalFormatting sqref="AU117">
    <cfRule type="cellIs" dxfId="0" priority="1062" operator="lessThan">
      <formula>20</formula>
    </cfRule>
    <cfRule type="cellIs" dxfId="1" priority="671" operator="greaterThan">
      <formula>120</formula>
    </cfRule>
    <cfRule type="containsText" dxfId="2" priority="280" operator="between" text="库存为">
      <formula>NOT(ISERROR(SEARCH("库存为",AU117)))</formula>
    </cfRule>
  </conditionalFormatting>
  <conditionalFormatting sqref="AU118">
    <cfRule type="cellIs" dxfId="0" priority="1061" operator="lessThan">
      <formula>20</formula>
    </cfRule>
    <cfRule type="cellIs" dxfId="1" priority="670" operator="greaterThan">
      <formula>120</formula>
    </cfRule>
    <cfRule type="containsText" dxfId="2" priority="279" operator="between" text="库存为">
      <formula>NOT(ISERROR(SEARCH("库存为",AU118)))</formula>
    </cfRule>
  </conditionalFormatting>
  <conditionalFormatting sqref="AU119">
    <cfRule type="cellIs" dxfId="0" priority="1060" operator="lessThan">
      <formula>20</formula>
    </cfRule>
    <cfRule type="cellIs" dxfId="1" priority="669" operator="greaterThan">
      <formula>120</formula>
    </cfRule>
    <cfRule type="containsText" dxfId="2" priority="278" operator="between" text="库存为">
      <formula>NOT(ISERROR(SEARCH("库存为",AU119)))</formula>
    </cfRule>
  </conditionalFormatting>
  <conditionalFormatting sqref="AU120">
    <cfRule type="cellIs" dxfId="0" priority="1059" operator="lessThan">
      <formula>20</formula>
    </cfRule>
    <cfRule type="cellIs" dxfId="1" priority="668" operator="greaterThan">
      <formula>120</formula>
    </cfRule>
    <cfRule type="containsText" dxfId="2" priority="277" operator="between" text="库存为">
      <formula>NOT(ISERROR(SEARCH("库存为",AU120)))</formula>
    </cfRule>
  </conditionalFormatting>
  <conditionalFormatting sqref="AU121">
    <cfRule type="cellIs" dxfId="0" priority="1058" operator="lessThan">
      <formula>20</formula>
    </cfRule>
    <cfRule type="cellIs" dxfId="1" priority="667" operator="greaterThan">
      <formula>120</formula>
    </cfRule>
    <cfRule type="containsText" dxfId="2" priority="276" operator="between" text="库存为">
      <formula>NOT(ISERROR(SEARCH("库存为",AU121)))</formula>
    </cfRule>
  </conditionalFormatting>
  <conditionalFormatting sqref="AU122">
    <cfRule type="cellIs" dxfId="0" priority="1057" operator="lessThan">
      <formula>20</formula>
    </cfRule>
    <cfRule type="cellIs" dxfId="1" priority="666" operator="greaterThan">
      <formula>120</formula>
    </cfRule>
    <cfRule type="containsText" dxfId="2" priority="275" operator="between" text="库存为">
      <formula>NOT(ISERROR(SEARCH("库存为",AU122)))</formula>
    </cfRule>
  </conditionalFormatting>
  <conditionalFormatting sqref="AU123">
    <cfRule type="cellIs" dxfId="0" priority="1056" operator="lessThan">
      <formula>20</formula>
    </cfRule>
    <cfRule type="cellIs" dxfId="1" priority="665" operator="greaterThan">
      <formula>120</formula>
    </cfRule>
    <cfRule type="containsText" dxfId="2" priority="274" operator="between" text="库存为">
      <formula>NOT(ISERROR(SEARCH("库存为",AU123)))</formula>
    </cfRule>
  </conditionalFormatting>
  <conditionalFormatting sqref="AU124">
    <cfRule type="cellIs" dxfId="0" priority="1055" operator="lessThan">
      <formula>20</formula>
    </cfRule>
    <cfRule type="cellIs" dxfId="1" priority="664" operator="greaterThan">
      <formula>120</formula>
    </cfRule>
    <cfRule type="containsText" dxfId="2" priority="273" operator="between" text="库存为">
      <formula>NOT(ISERROR(SEARCH("库存为",AU124)))</formula>
    </cfRule>
  </conditionalFormatting>
  <conditionalFormatting sqref="AU125">
    <cfRule type="cellIs" dxfId="0" priority="1054" operator="lessThan">
      <formula>20</formula>
    </cfRule>
    <cfRule type="cellIs" dxfId="1" priority="663" operator="greaterThan">
      <formula>120</formula>
    </cfRule>
    <cfRule type="containsText" dxfId="2" priority="272" operator="between" text="库存为">
      <formula>NOT(ISERROR(SEARCH("库存为",AU125)))</formula>
    </cfRule>
  </conditionalFormatting>
  <conditionalFormatting sqref="AU126">
    <cfRule type="cellIs" dxfId="0" priority="1053" operator="lessThan">
      <formula>20</formula>
    </cfRule>
    <cfRule type="cellIs" dxfId="1" priority="662" operator="greaterThan">
      <formula>120</formula>
    </cfRule>
    <cfRule type="containsText" dxfId="2" priority="271" operator="between" text="库存为">
      <formula>NOT(ISERROR(SEARCH("库存为",AU126)))</formula>
    </cfRule>
  </conditionalFormatting>
  <conditionalFormatting sqref="AU127">
    <cfRule type="cellIs" dxfId="0" priority="1052" operator="lessThan">
      <formula>20</formula>
    </cfRule>
    <cfRule type="cellIs" dxfId="1" priority="661" operator="greaterThan">
      <formula>120</formula>
    </cfRule>
    <cfRule type="containsText" dxfId="2" priority="270" operator="between" text="库存为">
      <formula>NOT(ISERROR(SEARCH("库存为",AU127)))</formula>
    </cfRule>
  </conditionalFormatting>
  <conditionalFormatting sqref="AU128">
    <cfRule type="cellIs" dxfId="0" priority="1051" operator="lessThan">
      <formula>20</formula>
    </cfRule>
    <cfRule type="cellIs" dxfId="1" priority="660" operator="greaterThan">
      <formula>120</formula>
    </cfRule>
    <cfRule type="containsText" dxfId="2" priority="269" operator="between" text="库存为">
      <formula>NOT(ISERROR(SEARCH("库存为",AU128)))</formula>
    </cfRule>
  </conditionalFormatting>
  <conditionalFormatting sqref="AU129">
    <cfRule type="cellIs" dxfId="0" priority="1050" operator="lessThan">
      <formula>20</formula>
    </cfRule>
    <cfRule type="cellIs" dxfId="1" priority="659" operator="greaterThan">
      <formula>120</formula>
    </cfRule>
    <cfRule type="containsText" dxfId="2" priority="268" operator="between" text="库存为">
      <formula>NOT(ISERROR(SEARCH("库存为",AU129)))</formula>
    </cfRule>
  </conditionalFormatting>
  <conditionalFormatting sqref="AU130">
    <cfRule type="cellIs" dxfId="0" priority="1049" operator="lessThan">
      <formula>20</formula>
    </cfRule>
    <cfRule type="cellIs" dxfId="1" priority="658" operator="greaterThan">
      <formula>120</formula>
    </cfRule>
    <cfRule type="containsText" dxfId="2" priority="267" operator="between" text="库存为">
      <formula>NOT(ISERROR(SEARCH("库存为",AU130)))</formula>
    </cfRule>
  </conditionalFormatting>
  <conditionalFormatting sqref="AU131">
    <cfRule type="cellIs" dxfId="0" priority="1048" operator="lessThan">
      <formula>20</formula>
    </cfRule>
    <cfRule type="cellIs" dxfId="1" priority="657" operator="greaterThan">
      <formula>120</formula>
    </cfRule>
    <cfRule type="containsText" dxfId="2" priority="266" operator="between" text="库存为">
      <formula>NOT(ISERROR(SEARCH("库存为",AU131)))</formula>
    </cfRule>
  </conditionalFormatting>
  <conditionalFormatting sqref="AU132">
    <cfRule type="cellIs" dxfId="0" priority="1047" operator="lessThan">
      <formula>20</formula>
    </cfRule>
    <cfRule type="cellIs" dxfId="1" priority="656" operator="greaterThan">
      <formula>120</formula>
    </cfRule>
    <cfRule type="containsText" dxfId="2" priority="265" operator="between" text="库存为">
      <formula>NOT(ISERROR(SEARCH("库存为",AU132)))</formula>
    </cfRule>
  </conditionalFormatting>
  <conditionalFormatting sqref="AU133">
    <cfRule type="cellIs" dxfId="0" priority="1046" operator="lessThan">
      <formula>20</formula>
    </cfRule>
    <cfRule type="cellIs" dxfId="1" priority="655" operator="greaterThan">
      <formula>120</formula>
    </cfRule>
    <cfRule type="containsText" dxfId="2" priority="264" operator="between" text="库存为">
      <formula>NOT(ISERROR(SEARCH("库存为",AU133)))</formula>
    </cfRule>
  </conditionalFormatting>
  <conditionalFormatting sqref="AU134">
    <cfRule type="cellIs" dxfId="0" priority="1045" operator="lessThan">
      <formula>20</formula>
    </cfRule>
    <cfRule type="cellIs" dxfId="1" priority="654" operator="greaterThan">
      <formula>120</formula>
    </cfRule>
    <cfRule type="containsText" dxfId="2" priority="263" operator="between" text="库存为">
      <formula>NOT(ISERROR(SEARCH("库存为",AU134)))</formula>
    </cfRule>
  </conditionalFormatting>
  <conditionalFormatting sqref="AU135">
    <cfRule type="cellIs" dxfId="0" priority="1044" operator="lessThan">
      <formula>20</formula>
    </cfRule>
    <cfRule type="cellIs" dxfId="1" priority="653" operator="greaterThan">
      <formula>120</formula>
    </cfRule>
    <cfRule type="containsText" dxfId="2" priority="262" operator="between" text="库存为">
      <formula>NOT(ISERROR(SEARCH("库存为",AU135)))</formula>
    </cfRule>
  </conditionalFormatting>
  <conditionalFormatting sqref="AU136">
    <cfRule type="cellIs" dxfId="0" priority="1043" operator="lessThan">
      <formula>20</formula>
    </cfRule>
    <cfRule type="cellIs" dxfId="1" priority="652" operator="greaterThan">
      <formula>120</formula>
    </cfRule>
    <cfRule type="containsText" dxfId="2" priority="261" operator="between" text="库存为">
      <formula>NOT(ISERROR(SEARCH("库存为",AU136)))</formula>
    </cfRule>
  </conditionalFormatting>
  <conditionalFormatting sqref="AU137">
    <cfRule type="cellIs" dxfId="0" priority="1042" operator="lessThan">
      <formula>20</formula>
    </cfRule>
    <cfRule type="cellIs" dxfId="1" priority="651" operator="greaterThan">
      <formula>120</formula>
    </cfRule>
    <cfRule type="containsText" dxfId="2" priority="260" operator="between" text="库存为">
      <formula>NOT(ISERROR(SEARCH("库存为",AU137)))</formula>
    </cfRule>
  </conditionalFormatting>
  <conditionalFormatting sqref="AU138">
    <cfRule type="cellIs" dxfId="0" priority="1041" operator="lessThan">
      <formula>20</formula>
    </cfRule>
    <cfRule type="cellIs" dxfId="1" priority="650" operator="greaterThan">
      <formula>120</formula>
    </cfRule>
    <cfRule type="containsText" dxfId="2" priority="259" operator="between" text="库存为">
      <formula>NOT(ISERROR(SEARCH("库存为",AU138)))</formula>
    </cfRule>
  </conditionalFormatting>
  <conditionalFormatting sqref="AU139">
    <cfRule type="cellIs" dxfId="0" priority="1040" operator="lessThan">
      <formula>20</formula>
    </cfRule>
    <cfRule type="cellIs" dxfId="1" priority="649" operator="greaterThan">
      <formula>120</formula>
    </cfRule>
    <cfRule type="containsText" dxfId="2" priority="258" operator="between" text="库存为">
      <formula>NOT(ISERROR(SEARCH("库存为",AU139)))</formula>
    </cfRule>
  </conditionalFormatting>
  <conditionalFormatting sqref="AU140">
    <cfRule type="cellIs" dxfId="0" priority="1039" operator="lessThan">
      <formula>20</formula>
    </cfRule>
    <cfRule type="cellIs" dxfId="1" priority="648" operator="greaterThan">
      <formula>120</formula>
    </cfRule>
    <cfRule type="containsText" dxfId="2" priority="257" operator="between" text="库存为">
      <formula>NOT(ISERROR(SEARCH("库存为",AU140)))</formula>
    </cfRule>
  </conditionalFormatting>
  <conditionalFormatting sqref="AU141">
    <cfRule type="cellIs" dxfId="0" priority="1038" operator="lessThan">
      <formula>20</formula>
    </cfRule>
    <cfRule type="cellIs" dxfId="1" priority="647" operator="greaterThan">
      <formula>120</formula>
    </cfRule>
    <cfRule type="containsText" dxfId="2" priority="256" operator="between" text="库存为">
      <formula>NOT(ISERROR(SEARCH("库存为",AU141)))</formula>
    </cfRule>
  </conditionalFormatting>
  <conditionalFormatting sqref="AU142">
    <cfRule type="cellIs" dxfId="0" priority="1037" operator="lessThan">
      <formula>20</formula>
    </cfRule>
    <cfRule type="cellIs" dxfId="1" priority="646" operator="greaterThan">
      <formula>120</formula>
    </cfRule>
    <cfRule type="containsText" dxfId="2" priority="255" operator="between" text="库存为">
      <formula>NOT(ISERROR(SEARCH("库存为",AU142)))</formula>
    </cfRule>
  </conditionalFormatting>
  <conditionalFormatting sqref="AU143">
    <cfRule type="cellIs" dxfId="0" priority="1036" operator="lessThan">
      <formula>20</formula>
    </cfRule>
    <cfRule type="cellIs" dxfId="1" priority="645" operator="greaterThan">
      <formula>120</formula>
    </cfRule>
    <cfRule type="containsText" dxfId="2" priority="254" operator="between" text="库存为">
      <formula>NOT(ISERROR(SEARCH("库存为",AU143)))</formula>
    </cfRule>
  </conditionalFormatting>
  <conditionalFormatting sqref="AU144">
    <cfRule type="cellIs" dxfId="0" priority="1035" operator="lessThan">
      <formula>20</formula>
    </cfRule>
    <cfRule type="cellIs" dxfId="1" priority="644" operator="greaterThan">
      <formula>120</formula>
    </cfRule>
    <cfRule type="containsText" dxfId="2" priority="253" operator="between" text="库存为">
      <formula>NOT(ISERROR(SEARCH("库存为",AU144)))</formula>
    </cfRule>
  </conditionalFormatting>
  <conditionalFormatting sqref="AU145">
    <cfRule type="cellIs" dxfId="0" priority="1034" operator="lessThan">
      <formula>20</formula>
    </cfRule>
    <cfRule type="cellIs" dxfId="1" priority="643" operator="greaterThan">
      <formula>120</formula>
    </cfRule>
    <cfRule type="containsText" dxfId="2" priority="252" operator="between" text="库存为">
      <formula>NOT(ISERROR(SEARCH("库存为",AU145)))</formula>
    </cfRule>
  </conditionalFormatting>
  <conditionalFormatting sqref="AU146">
    <cfRule type="cellIs" dxfId="0" priority="1033" operator="lessThan">
      <formula>20</formula>
    </cfRule>
    <cfRule type="cellIs" dxfId="1" priority="642" operator="greaterThan">
      <formula>120</formula>
    </cfRule>
    <cfRule type="containsText" dxfId="2" priority="251" operator="between" text="库存为">
      <formula>NOT(ISERROR(SEARCH("库存为",AU146)))</formula>
    </cfRule>
  </conditionalFormatting>
  <conditionalFormatting sqref="AU147">
    <cfRule type="cellIs" dxfId="0" priority="1032" operator="lessThan">
      <formula>20</formula>
    </cfRule>
    <cfRule type="cellIs" dxfId="1" priority="641" operator="greaterThan">
      <formula>120</formula>
    </cfRule>
    <cfRule type="containsText" dxfId="2" priority="250" operator="between" text="库存为">
      <formula>NOT(ISERROR(SEARCH("库存为",AU147)))</formula>
    </cfRule>
  </conditionalFormatting>
  <conditionalFormatting sqref="AU148">
    <cfRule type="cellIs" dxfId="0" priority="1031" operator="lessThan">
      <formula>20</formula>
    </cfRule>
    <cfRule type="cellIs" dxfId="1" priority="640" operator="greaterThan">
      <formula>120</formula>
    </cfRule>
    <cfRule type="containsText" dxfId="2" priority="249" operator="between" text="库存为">
      <formula>NOT(ISERROR(SEARCH("库存为",AU148)))</formula>
    </cfRule>
  </conditionalFormatting>
  <conditionalFormatting sqref="AU149">
    <cfRule type="cellIs" dxfId="0" priority="1030" operator="lessThan">
      <formula>20</formula>
    </cfRule>
    <cfRule type="cellIs" dxfId="1" priority="639" operator="greaterThan">
      <formula>120</formula>
    </cfRule>
    <cfRule type="containsText" dxfId="2" priority="248" operator="between" text="库存为">
      <formula>NOT(ISERROR(SEARCH("库存为",AU149)))</formula>
    </cfRule>
  </conditionalFormatting>
  <conditionalFormatting sqref="AU150">
    <cfRule type="cellIs" dxfId="0" priority="1029" operator="lessThan">
      <formula>20</formula>
    </cfRule>
    <cfRule type="cellIs" dxfId="1" priority="638" operator="greaterThan">
      <formula>120</formula>
    </cfRule>
    <cfRule type="containsText" dxfId="2" priority="247" operator="between" text="库存为">
      <formula>NOT(ISERROR(SEARCH("库存为",AU150)))</formula>
    </cfRule>
  </conditionalFormatting>
  <conditionalFormatting sqref="AU151">
    <cfRule type="cellIs" dxfId="0" priority="1028" operator="lessThan">
      <formula>20</formula>
    </cfRule>
    <cfRule type="cellIs" dxfId="1" priority="637" operator="greaterThan">
      <formula>120</formula>
    </cfRule>
    <cfRule type="containsText" dxfId="2" priority="246" operator="between" text="库存为">
      <formula>NOT(ISERROR(SEARCH("库存为",AU151)))</formula>
    </cfRule>
  </conditionalFormatting>
  <conditionalFormatting sqref="AU152">
    <cfRule type="cellIs" dxfId="0" priority="1027" operator="lessThan">
      <formula>20</formula>
    </cfRule>
    <cfRule type="cellIs" dxfId="1" priority="636" operator="greaterThan">
      <formula>120</formula>
    </cfRule>
    <cfRule type="containsText" dxfId="2" priority="245" operator="between" text="库存为">
      <formula>NOT(ISERROR(SEARCH("库存为",AU152)))</formula>
    </cfRule>
  </conditionalFormatting>
  <conditionalFormatting sqref="AU153">
    <cfRule type="cellIs" dxfId="0" priority="1026" operator="lessThan">
      <formula>20</formula>
    </cfRule>
    <cfRule type="cellIs" dxfId="1" priority="635" operator="greaterThan">
      <formula>120</formula>
    </cfRule>
    <cfRule type="containsText" dxfId="2" priority="244" operator="between" text="库存为">
      <formula>NOT(ISERROR(SEARCH("库存为",AU153)))</formula>
    </cfRule>
  </conditionalFormatting>
  <conditionalFormatting sqref="AU154">
    <cfRule type="cellIs" dxfId="0" priority="1025" operator="lessThan">
      <formula>20</formula>
    </cfRule>
    <cfRule type="cellIs" dxfId="1" priority="634" operator="greaterThan">
      <formula>120</formula>
    </cfRule>
    <cfRule type="containsText" dxfId="2" priority="243" operator="between" text="库存为">
      <formula>NOT(ISERROR(SEARCH("库存为",AU154)))</formula>
    </cfRule>
  </conditionalFormatting>
  <conditionalFormatting sqref="AU155">
    <cfRule type="cellIs" dxfId="0" priority="1024" operator="lessThan">
      <formula>20</formula>
    </cfRule>
    <cfRule type="cellIs" dxfId="1" priority="633" operator="greaterThan">
      <formula>120</formula>
    </cfRule>
    <cfRule type="containsText" dxfId="2" priority="242" operator="between" text="库存为">
      <formula>NOT(ISERROR(SEARCH("库存为",AU155)))</formula>
    </cfRule>
  </conditionalFormatting>
  <conditionalFormatting sqref="AU156">
    <cfRule type="cellIs" dxfId="0" priority="1023" operator="lessThan">
      <formula>20</formula>
    </cfRule>
    <cfRule type="cellIs" dxfId="1" priority="632" operator="greaterThan">
      <formula>120</formula>
    </cfRule>
    <cfRule type="containsText" dxfId="2" priority="241" operator="between" text="库存为">
      <formula>NOT(ISERROR(SEARCH("库存为",AU156)))</formula>
    </cfRule>
  </conditionalFormatting>
  <conditionalFormatting sqref="AU157">
    <cfRule type="cellIs" dxfId="0" priority="1022" operator="lessThan">
      <formula>20</formula>
    </cfRule>
    <cfRule type="cellIs" dxfId="1" priority="631" operator="greaterThan">
      <formula>120</formula>
    </cfRule>
    <cfRule type="containsText" dxfId="2" priority="240" operator="between" text="库存为">
      <formula>NOT(ISERROR(SEARCH("库存为",AU157)))</formula>
    </cfRule>
  </conditionalFormatting>
  <conditionalFormatting sqref="AU158">
    <cfRule type="cellIs" dxfId="0" priority="1021" operator="lessThan">
      <formula>20</formula>
    </cfRule>
    <cfRule type="cellIs" dxfId="1" priority="630" operator="greaterThan">
      <formula>120</formula>
    </cfRule>
    <cfRule type="containsText" dxfId="2" priority="239" operator="between" text="库存为">
      <formula>NOT(ISERROR(SEARCH("库存为",AU158)))</formula>
    </cfRule>
  </conditionalFormatting>
  <conditionalFormatting sqref="AU159">
    <cfRule type="cellIs" dxfId="0" priority="1020" operator="lessThan">
      <formula>20</formula>
    </cfRule>
    <cfRule type="cellIs" dxfId="1" priority="629" operator="greaterThan">
      <formula>120</formula>
    </cfRule>
    <cfRule type="containsText" dxfId="2" priority="238" operator="between" text="库存为">
      <formula>NOT(ISERROR(SEARCH("库存为",AU159)))</formula>
    </cfRule>
  </conditionalFormatting>
  <conditionalFormatting sqref="AU160">
    <cfRule type="cellIs" dxfId="0" priority="1019" operator="lessThan">
      <formula>20</formula>
    </cfRule>
    <cfRule type="cellIs" dxfId="1" priority="628" operator="greaterThan">
      <formula>120</formula>
    </cfRule>
    <cfRule type="containsText" dxfId="2" priority="237" operator="between" text="库存为">
      <formula>NOT(ISERROR(SEARCH("库存为",AU160)))</formula>
    </cfRule>
  </conditionalFormatting>
  <conditionalFormatting sqref="AU161">
    <cfRule type="cellIs" dxfId="0" priority="1018" operator="lessThan">
      <formula>20</formula>
    </cfRule>
    <cfRule type="cellIs" dxfId="1" priority="627" operator="greaterThan">
      <formula>120</formula>
    </cfRule>
    <cfRule type="containsText" dxfId="2" priority="236" operator="between" text="库存为">
      <formula>NOT(ISERROR(SEARCH("库存为",AU161)))</formula>
    </cfRule>
  </conditionalFormatting>
  <conditionalFormatting sqref="AU162">
    <cfRule type="cellIs" dxfId="0" priority="1017" operator="lessThan">
      <formula>20</formula>
    </cfRule>
    <cfRule type="cellIs" dxfId="1" priority="626" operator="greaterThan">
      <formula>120</formula>
    </cfRule>
    <cfRule type="containsText" dxfId="2" priority="235" operator="between" text="库存为">
      <formula>NOT(ISERROR(SEARCH("库存为",AU162)))</formula>
    </cfRule>
  </conditionalFormatting>
  <conditionalFormatting sqref="AU163">
    <cfRule type="cellIs" dxfId="0" priority="1016" operator="lessThan">
      <formula>20</formula>
    </cfRule>
    <cfRule type="cellIs" dxfId="1" priority="625" operator="greaterThan">
      <formula>120</formula>
    </cfRule>
    <cfRule type="containsText" dxfId="2" priority="234" operator="between" text="库存为">
      <formula>NOT(ISERROR(SEARCH("库存为",AU163)))</formula>
    </cfRule>
  </conditionalFormatting>
  <conditionalFormatting sqref="AU164">
    <cfRule type="cellIs" dxfId="0" priority="1015" operator="lessThan">
      <formula>20</formula>
    </cfRule>
    <cfRule type="cellIs" dxfId="1" priority="624" operator="greaterThan">
      <formula>120</formula>
    </cfRule>
    <cfRule type="containsText" dxfId="2" priority="233" operator="between" text="库存为">
      <formula>NOT(ISERROR(SEARCH("库存为",AU164)))</formula>
    </cfRule>
  </conditionalFormatting>
  <conditionalFormatting sqref="AU165">
    <cfRule type="cellIs" dxfId="0" priority="1014" operator="lessThan">
      <formula>20</formula>
    </cfRule>
    <cfRule type="cellIs" dxfId="1" priority="623" operator="greaterThan">
      <formula>120</formula>
    </cfRule>
    <cfRule type="containsText" dxfId="2" priority="232" operator="between" text="库存为">
      <formula>NOT(ISERROR(SEARCH("库存为",AU165)))</formula>
    </cfRule>
  </conditionalFormatting>
  <conditionalFormatting sqref="AU166">
    <cfRule type="cellIs" dxfId="0" priority="1013" operator="lessThan">
      <formula>20</formula>
    </cfRule>
    <cfRule type="cellIs" dxfId="1" priority="622" operator="greaterThan">
      <formula>120</formula>
    </cfRule>
    <cfRule type="containsText" dxfId="2" priority="231" operator="between" text="库存为">
      <formula>NOT(ISERROR(SEARCH("库存为",AU166)))</formula>
    </cfRule>
  </conditionalFormatting>
  <conditionalFormatting sqref="AU167">
    <cfRule type="cellIs" dxfId="0" priority="1012" operator="lessThan">
      <formula>20</formula>
    </cfRule>
    <cfRule type="cellIs" dxfId="1" priority="621" operator="greaterThan">
      <formula>120</formula>
    </cfRule>
    <cfRule type="containsText" dxfId="2" priority="230" operator="between" text="库存为">
      <formula>NOT(ISERROR(SEARCH("库存为",AU167)))</formula>
    </cfRule>
  </conditionalFormatting>
  <conditionalFormatting sqref="AU168">
    <cfRule type="cellIs" dxfId="0" priority="1011" operator="lessThan">
      <formula>20</formula>
    </cfRule>
    <cfRule type="cellIs" dxfId="1" priority="620" operator="greaterThan">
      <formula>120</formula>
    </cfRule>
    <cfRule type="containsText" dxfId="2" priority="229" operator="between" text="库存为">
      <formula>NOT(ISERROR(SEARCH("库存为",AU168)))</formula>
    </cfRule>
  </conditionalFormatting>
  <conditionalFormatting sqref="AU169">
    <cfRule type="cellIs" dxfId="0" priority="1010" operator="lessThan">
      <formula>20</formula>
    </cfRule>
    <cfRule type="cellIs" dxfId="1" priority="619" operator="greaterThan">
      <formula>120</formula>
    </cfRule>
    <cfRule type="containsText" dxfId="2" priority="228" operator="between" text="库存为">
      <formula>NOT(ISERROR(SEARCH("库存为",AU169)))</formula>
    </cfRule>
  </conditionalFormatting>
  <conditionalFormatting sqref="AU170">
    <cfRule type="cellIs" dxfId="0" priority="1009" operator="lessThan">
      <formula>20</formula>
    </cfRule>
    <cfRule type="cellIs" dxfId="1" priority="618" operator="greaterThan">
      <formula>120</formula>
    </cfRule>
    <cfRule type="containsText" dxfId="2" priority="227" operator="between" text="库存为">
      <formula>NOT(ISERROR(SEARCH("库存为",AU170)))</formula>
    </cfRule>
  </conditionalFormatting>
  <conditionalFormatting sqref="AU171">
    <cfRule type="cellIs" dxfId="0" priority="1008" operator="lessThan">
      <formula>20</formula>
    </cfRule>
    <cfRule type="cellIs" dxfId="1" priority="617" operator="greaterThan">
      <formula>120</formula>
    </cfRule>
    <cfRule type="containsText" dxfId="2" priority="226" operator="between" text="库存为">
      <formula>NOT(ISERROR(SEARCH("库存为",AU171)))</formula>
    </cfRule>
  </conditionalFormatting>
  <conditionalFormatting sqref="AU172">
    <cfRule type="cellIs" dxfId="0" priority="1007" operator="lessThan">
      <formula>20</formula>
    </cfRule>
    <cfRule type="cellIs" dxfId="1" priority="616" operator="greaterThan">
      <formula>120</formula>
    </cfRule>
    <cfRule type="containsText" dxfId="2" priority="225" operator="between" text="库存为">
      <formula>NOT(ISERROR(SEARCH("库存为",AU172)))</formula>
    </cfRule>
  </conditionalFormatting>
  <conditionalFormatting sqref="AU173">
    <cfRule type="cellIs" dxfId="0" priority="1006" operator="lessThan">
      <formula>20</formula>
    </cfRule>
    <cfRule type="cellIs" dxfId="1" priority="615" operator="greaterThan">
      <formula>120</formula>
    </cfRule>
    <cfRule type="containsText" dxfId="2" priority="224" operator="between" text="库存为">
      <formula>NOT(ISERROR(SEARCH("库存为",AU173)))</formula>
    </cfRule>
  </conditionalFormatting>
  <conditionalFormatting sqref="AU174">
    <cfRule type="cellIs" dxfId="0" priority="1005" operator="lessThan">
      <formula>20</formula>
    </cfRule>
    <cfRule type="cellIs" dxfId="1" priority="614" operator="greaterThan">
      <formula>120</formula>
    </cfRule>
    <cfRule type="containsText" dxfId="2" priority="223" operator="between" text="库存为">
      <formula>NOT(ISERROR(SEARCH("库存为",AU174)))</formula>
    </cfRule>
  </conditionalFormatting>
  <conditionalFormatting sqref="AU175">
    <cfRule type="cellIs" dxfId="0" priority="1004" operator="lessThan">
      <formula>20</formula>
    </cfRule>
    <cfRule type="cellIs" dxfId="1" priority="613" operator="greaterThan">
      <formula>120</formula>
    </cfRule>
    <cfRule type="containsText" dxfId="2" priority="222" operator="between" text="库存为">
      <formula>NOT(ISERROR(SEARCH("库存为",AU175)))</formula>
    </cfRule>
  </conditionalFormatting>
  <conditionalFormatting sqref="AU176">
    <cfRule type="cellIs" dxfId="0" priority="1003" operator="lessThan">
      <formula>20</formula>
    </cfRule>
    <cfRule type="cellIs" dxfId="1" priority="612" operator="greaterThan">
      <formula>120</formula>
    </cfRule>
    <cfRule type="containsText" dxfId="2" priority="221" operator="between" text="库存为">
      <formula>NOT(ISERROR(SEARCH("库存为",AU176)))</formula>
    </cfRule>
  </conditionalFormatting>
  <conditionalFormatting sqref="AU177">
    <cfRule type="cellIs" dxfId="0" priority="1002" operator="lessThan">
      <formula>20</formula>
    </cfRule>
    <cfRule type="cellIs" dxfId="1" priority="611" operator="greaterThan">
      <formula>120</formula>
    </cfRule>
    <cfRule type="containsText" dxfId="2" priority="220" operator="between" text="库存为">
      <formula>NOT(ISERROR(SEARCH("库存为",AU177)))</formula>
    </cfRule>
  </conditionalFormatting>
  <conditionalFormatting sqref="AU178">
    <cfRule type="cellIs" dxfId="0" priority="1001" operator="lessThan">
      <formula>20</formula>
    </cfRule>
    <cfRule type="cellIs" dxfId="1" priority="610" operator="greaterThan">
      <formula>120</formula>
    </cfRule>
    <cfRule type="containsText" dxfId="2" priority="219" operator="between" text="库存为">
      <formula>NOT(ISERROR(SEARCH("库存为",AU178)))</formula>
    </cfRule>
  </conditionalFormatting>
  <conditionalFormatting sqref="AU179">
    <cfRule type="cellIs" dxfId="0" priority="1000" operator="lessThan">
      <formula>20</formula>
    </cfRule>
    <cfRule type="cellIs" dxfId="1" priority="609" operator="greaterThan">
      <formula>120</formula>
    </cfRule>
    <cfRule type="containsText" dxfId="2" priority="218" operator="between" text="库存为">
      <formula>NOT(ISERROR(SEARCH("库存为",AU179)))</formula>
    </cfRule>
  </conditionalFormatting>
  <conditionalFormatting sqref="AU180">
    <cfRule type="cellIs" dxfId="0" priority="999" operator="lessThan">
      <formula>20</formula>
    </cfRule>
    <cfRule type="cellIs" dxfId="1" priority="608" operator="greaterThan">
      <formula>120</formula>
    </cfRule>
    <cfRule type="containsText" dxfId="2" priority="217" operator="between" text="库存为">
      <formula>NOT(ISERROR(SEARCH("库存为",AU180)))</formula>
    </cfRule>
  </conditionalFormatting>
  <conditionalFormatting sqref="AU181">
    <cfRule type="cellIs" dxfId="0" priority="998" operator="lessThan">
      <formula>20</formula>
    </cfRule>
    <cfRule type="cellIs" dxfId="1" priority="607" operator="greaterThan">
      <formula>120</formula>
    </cfRule>
    <cfRule type="containsText" dxfId="2" priority="216" operator="between" text="库存为">
      <formula>NOT(ISERROR(SEARCH("库存为",AU181)))</formula>
    </cfRule>
  </conditionalFormatting>
  <conditionalFormatting sqref="AU182">
    <cfRule type="cellIs" dxfId="0" priority="997" operator="lessThan">
      <formula>20</formula>
    </cfRule>
    <cfRule type="cellIs" dxfId="1" priority="606" operator="greaterThan">
      <formula>120</formula>
    </cfRule>
    <cfRule type="containsText" dxfId="2" priority="215" operator="between" text="库存为">
      <formula>NOT(ISERROR(SEARCH("库存为",AU182)))</formula>
    </cfRule>
  </conditionalFormatting>
  <conditionalFormatting sqref="AU183">
    <cfRule type="cellIs" dxfId="0" priority="996" operator="lessThan">
      <formula>20</formula>
    </cfRule>
    <cfRule type="cellIs" dxfId="1" priority="605" operator="greaterThan">
      <formula>120</formula>
    </cfRule>
    <cfRule type="containsText" dxfId="2" priority="214" operator="between" text="库存为">
      <formula>NOT(ISERROR(SEARCH("库存为",AU183)))</formula>
    </cfRule>
  </conditionalFormatting>
  <conditionalFormatting sqref="AU184">
    <cfRule type="cellIs" dxfId="0" priority="995" operator="lessThan">
      <formula>20</formula>
    </cfRule>
    <cfRule type="cellIs" dxfId="1" priority="604" operator="greaterThan">
      <formula>120</formula>
    </cfRule>
    <cfRule type="containsText" dxfId="2" priority="213" operator="between" text="库存为">
      <formula>NOT(ISERROR(SEARCH("库存为",AU184)))</formula>
    </cfRule>
  </conditionalFormatting>
  <conditionalFormatting sqref="AU185">
    <cfRule type="cellIs" dxfId="0" priority="994" operator="lessThan">
      <formula>20</formula>
    </cfRule>
    <cfRule type="cellIs" dxfId="1" priority="603" operator="greaterThan">
      <formula>120</formula>
    </cfRule>
    <cfRule type="containsText" dxfId="2" priority="212" operator="between" text="库存为">
      <formula>NOT(ISERROR(SEARCH("库存为",AU185)))</formula>
    </cfRule>
  </conditionalFormatting>
  <conditionalFormatting sqref="AU186">
    <cfRule type="cellIs" dxfId="0" priority="993" operator="lessThan">
      <formula>20</formula>
    </cfRule>
    <cfRule type="cellIs" dxfId="1" priority="602" operator="greaterThan">
      <formula>120</formula>
    </cfRule>
    <cfRule type="containsText" dxfId="2" priority="211" operator="between" text="库存为">
      <formula>NOT(ISERROR(SEARCH("库存为",AU186)))</formula>
    </cfRule>
  </conditionalFormatting>
  <conditionalFormatting sqref="AU187">
    <cfRule type="cellIs" dxfId="0" priority="992" operator="lessThan">
      <formula>20</formula>
    </cfRule>
    <cfRule type="cellIs" dxfId="1" priority="601" operator="greaterThan">
      <formula>120</formula>
    </cfRule>
    <cfRule type="containsText" dxfId="2" priority="210" operator="between" text="库存为">
      <formula>NOT(ISERROR(SEARCH("库存为",AU187)))</formula>
    </cfRule>
  </conditionalFormatting>
  <conditionalFormatting sqref="AU188">
    <cfRule type="cellIs" dxfId="0" priority="991" operator="lessThan">
      <formula>20</formula>
    </cfRule>
    <cfRule type="cellIs" dxfId="1" priority="600" operator="greaterThan">
      <formula>120</formula>
    </cfRule>
    <cfRule type="containsText" dxfId="2" priority="209" operator="between" text="库存为">
      <formula>NOT(ISERROR(SEARCH("库存为",AU188)))</formula>
    </cfRule>
  </conditionalFormatting>
  <conditionalFormatting sqref="AU189">
    <cfRule type="cellIs" dxfId="0" priority="990" operator="lessThan">
      <formula>20</formula>
    </cfRule>
    <cfRule type="cellIs" dxfId="1" priority="599" operator="greaterThan">
      <formula>120</formula>
    </cfRule>
    <cfRule type="containsText" dxfId="2" priority="208" operator="between" text="库存为">
      <formula>NOT(ISERROR(SEARCH("库存为",AU189)))</formula>
    </cfRule>
  </conditionalFormatting>
  <conditionalFormatting sqref="AU190">
    <cfRule type="cellIs" dxfId="0" priority="989" operator="lessThan">
      <formula>20</formula>
    </cfRule>
    <cfRule type="cellIs" dxfId="1" priority="598" operator="greaterThan">
      <formula>120</formula>
    </cfRule>
    <cfRule type="containsText" dxfId="2" priority="207" operator="between" text="库存为">
      <formula>NOT(ISERROR(SEARCH("库存为",AU190)))</formula>
    </cfRule>
  </conditionalFormatting>
  <conditionalFormatting sqref="AU191">
    <cfRule type="cellIs" dxfId="0" priority="988" operator="lessThan">
      <formula>20</formula>
    </cfRule>
    <cfRule type="cellIs" dxfId="1" priority="597" operator="greaterThan">
      <formula>120</formula>
    </cfRule>
    <cfRule type="containsText" dxfId="2" priority="206" operator="between" text="库存为">
      <formula>NOT(ISERROR(SEARCH("库存为",AU191)))</formula>
    </cfRule>
  </conditionalFormatting>
  <conditionalFormatting sqref="AU192">
    <cfRule type="cellIs" dxfId="0" priority="987" operator="lessThan">
      <formula>20</formula>
    </cfRule>
    <cfRule type="cellIs" dxfId="1" priority="596" operator="greaterThan">
      <formula>120</formula>
    </cfRule>
    <cfRule type="containsText" dxfId="2" priority="205" operator="between" text="库存为">
      <formula>NOT(ISERROR(SEARCH("库存为",AU192)))</formula>
    </cfRule>
  </conditionalFormatting>
  <conditionalFormatting sqref="AU193">
    <cfRule type="cellIs" dxfId="0" priority="986" operator="lessThan">
      <formula>20</formula>
    </cfRule>
    <cfRule type="cellIs" dxfId="1" priority="595" operator="greaterThan">
      <formula>120</formula>
    </cfRule>
    <cfRule type="containsText" dxfId="2" priority="204" operator="between" text="库存为">
      <formula>NOT(ISERROR(SEARCH("库存为",AU193)))</formula>
    </cfRule>
  </conditionalFormatting>
  <conditionalFormatting sqref="AU194">
    <cfRule type="cellIs" dxfId="0" priority="985" operator="lessThan">
      <formula>20</formula>
    </cfRule>
    <cfRule type="cellIs" dxfId="1" priority="594" operator="greaterThan">
      <formula>120</formula>
    </cfRule>
    <cfRule type="containsText" dxfId="2" priority="203" operator="between" text="库存为">
      <formula>NOT(ISERROR(SEARCH("库存为",AU194)))</formula>
    </cfRule>
  </conditionalFormatting>
  <conditionalFormatting sqref="AU195">
    <cfRule type="cellIs" dxfId="0" priority="984" operator="lessThan">
      <formula>20</formula>
    </cfRule>
    <cfRule type="cellIs" dxfId="1" priority="593" operator="greaterThan">
      <formula>120</formula>
    </cfRule>
    <cfRule type="containsText" dxfId="2" priority="202" operator="between" text="库存为">
      <formula>NOT(ISERROR(SEARCH("库存为",AU195)))</formula>
    </cfRule>
  </conditionalFormatting>
  <conditionalFormatting sqref="AU196">
    <cfRule type="cellIs" dxfId="0" priority="983" operator="lessThan">
      <formula>20</formula>
    </cfRule>
    <cfRule type="cellIs" dxfId="1" priority="592" operator="greaterThan">
      <formula>120</formula>
    </cfRule>
    <cfRule type="containsText" dxfId="2" priority="201" operator="between" text="库存为">
      <formula>NOT(ISERROR(SEARCH("库存为",AU196)))</formula>
    </cfRule>
  </conditionalFormatting>
  <conditionalFormatting sqref="AU197">
    <cfRule type="cellIs" dxfId="0" priority="982" operator="lessThan">
      <formula>20</formula>
    </cfRule>
    <cfRule type="cellIs" dxfId="1" priority="591" operator="greaterThan">
      <formula>120</formula>
    </cfRule>
    <cfRule type="containsText" dxfId="2" priority="200" operator="between" text="库存为">
      <formula>NOT(ISERROR(SEARCH("库存为",AU197)))</formula>
    </cfRule>
  </conditionalFormatting>
  <conditionalFormatting sqref="AU198">
    <cfRule type="cellIs" dxfId="0" priority="981" operator="lessThan">
      <formula>20</formula>
    </cfRule>
    <cfRule type="cellIs" dxfId="1" priority="590" operator="greaterThan">
      <formula>120</formula>
    </cfRule>
    <cfRule type="containsText" dxfId="2" priority="199" operator="between" text="库存为">
      <formula>NOT(ISERROR(SEARCH("库存为",AU198)))</formula>
    </cfRule>
  </conditionalFormatting>
  <conditionalFormatting sqref="AU199">
    <cfRule type="cellIs" dxfId="0" priority="980" operator="lessThan">
      <formula>20</formula>
    </cfRule>
    <cfRule type="cellIs" dxfId="1" priority="589" operator="greaterThan">
      <formula>120</formula>
    </cfRule>
    <cfRule type="containsText" dxfId="2" priority="198" operator="between" text="库存为">
      <formula>NOT(ISERROR(SEARCH("库存为",AU199)))</formula>
    </cfRule>
  </conditionalFormatting>
  <conditionalFormatting sqref="AU200">
    <cfRule type="cellIs" dxfId="0" priority="979" operator="lessThan">
      <formula>20</formula>
    </cfRule>
    <cfRule type="cellIs" dxfId="1" priority="588" operator="greaterThan">
      <formula>120</formula>
    </cfRule>
    <cfRule type="containsText" dxfId="2" priority="197" operator="between" text="库存为">
      <formula>NOT(ISERROR(SEARCH("库存为",AU200)))</formula>
    </cfRule>
  </conditionalFormatting>
  <conditionalFormatting sqref="AU201">
    <cfRule type="cellIs" dxfId="0" priority="978" operator="lessThan">
      <formula>20</formula>
    </cfRule>
    <cfRule type="cellIs" dxfId="1" priority="587" operator="greaterThan">
      <formula>120</formula>
    </cfRule>
    <cfRule type="containsText" dxfId="2" priority="196" operator="between" text="库存为">
      <formula>NOT(ISERROR(SEARCH("库存为",AU201)))</formula>
    </cfRule>
  </conditionalFormatting>
  <conditionalFormatting sqref="AU202">
    <cfRule type="cellIs" dxfId="0" priority="977" operator="lessThan">
      <formula>20</formula>
    </cfRule>
    <cfRule type="cellIs" dxfId="1" priority="586" operator="greaterThan">
      <formula>120</formula>
    </cfRule>
    <cfRule type="containsText" dxfId="2" priority="195" operator="between" text="库存为">
      <formula>NOT(ISERROR(SEARCH("库存为",AU202)))</formula>
    </cfRule>
  </conditionalFormatting>
  <conditionalFormatting sqref="AU203">
    <cfRule type="cellIs" dxfId="0" priority="976" operator="lessThan">
      <formula>20</formula>
    </cfRule>
    <cfRule type="cellIs" dxfId="1" priority="585" operator="greaterThan">
      <formula>120</formula>
    </cfRule>
    <cfRule type="containsText" dxfId="2" priority="194" operator="between" text="库存为">
      <formula>NOT(ISERROR(SEARCH("库存为",AU203)))</formula>
    </cfRule>
  </conditionalFormatting>
  <conditionalFormatting sqref="AU204">
    <cfRule type="cellIs" dxfId="0" priority="975" operator="lessThan">
      <formula>20</formula>
    </cfRule>
    <cfRule type="cellIs" dxfId="1" priority="584" operator="greaterThan">
      <formula>120</formula>
    </cfRule>
    <cfRule type="containsText" dxfId="2" priority="193" operator="between" text="库存为">
      <formula>NOT(ISERROR(SEARCH("库存为",AU204)))</formula>
    </cfRule>
  </conditionalFormatting>
  <conditionalFormatting sqref="AU205">
    <cfRule type="cellIs" dxfId="0" priority="974" operator="lessThan">
      <formula>20</formula>
    </cfRule>
    <cfRule type="cellIs" dxfId="1" priority="583" operator="greaterThan">
      <formula>120</formula>
    </cfRule>
    <cfRule type="containsText" dxfId="2" priority="192" operator="between" text="库存为">
      <formula>NOT(ISERROR(SEARCH("库存为",AU205)))</formula>
    </cfRule>
  </conditionalFormatting>
  <conditionalFormatting sqref="AU206">
    <cfRule type="cellIs" dxfId="0" priority="973" operator="lessThan">
      <formula>20</formula>
    </cfRule>
    <cfRule type="cellIs" dxfId="1" priority="582" operator="greaterThan">
      <formula>120</formula>
    </cfRule>
    <cfRule type="containsText" dxfId="2" priority="191" operator="between" text="库存为">
      <formula>NOT(ISERROR(SEARCH("库存为",AU206)))</formula>
    </cfRule>
  </conditionalFormatting>
  <conditionalFormatting sqref="AU207">
    <cfRule type="cellIs" dxfId="0" priority="972" operator="lessThan">
      <formula>20</formula>
    </cfRule>
    <cfRule type="cellIs" dxfId="1" priority="581" operator="greaterThan">
      <formula>120</formula>
    </cfRule>
    <cfRule type="containsText" dxfId="2" priority="190" operator="between" text="库存为">
      <formula>NOT(ISERROR(SEARCH("库存为",AU207)))</formula>
    </cfRule>
  </conditionalFormatting>
  <conditionalFormatting sqref="AU208">
    <cfRule type="cellIs" dxfId="0" priority="971" operator="lessThan">
      <formula>20</formula>
    </cfRule>
    <cfRule type="cellIs" dxfId="1" priority="580" operator="greaterThan">
      <formula>120</formula>
    </cfRule>
    <cfRule type="containsText" dxfId="2" priority="189" operator="between" text="库存为">
      <formula>NOT(ISERROR(SEARCH("库存为",AU208)))</formula>
    </cfRule>
  </conditionalFormatting>
  <conditionalFormatting sqref="AU209">
    <cfRule type="cellIs" dxfId="0" priority="970" operator="lessThan">
      <formula>20</formula>
    </cfRule>
    <cfRule type="cellIs" dxfId="1" priority="579" operator="greaterThan">
      <formula>120</formula>
    </cfRule>
    <cfRule type="containsText" dxfId="2" priority="188" operator="between" text="库存为">
      <formula>NOT(ISERROR(SEARCH("库存为",AU209)))</formula>
    </cfRule>
  </conditionalFormatting>
  <conditionalFormatting sqref="AU210">
    <cfRule type="cellIs" dxfId="0" priority="969" operator="lessThan">
      <formula>20</formula>
    </cfRule>
    <cfRule type="cellIs" dxfId="1" priority="578" operator="greaterThan">
      <formula>120</formula>
    </cfRule>
    <cfRule type="containsText" dxfId="2" priority="187" operator="between" text="库存为">
      <formula>NOT(ISERROR(SEARCH("库存为",AU210)))</formula>
    </cfRule>
  </conditionalFormatting>
  <conditionalFormatting sqref="AU211">
    <cfRule type="cellIs" dxfId="0" priority="968" operator="lessThan">
      <formula>20</formula>
    </cfRule>
    <cfRule type="cellIs" dxfId="1" priority="577" operator="greaterThan">
      <formula>120</formula>
    </cfRule>
    <cfRule type="containsText" dxfId="2" priority="186" operator="between" text="库存为">
      <formula>NOT(ISERROR(SEARCH("库存为",AU211)))</formula>
    </cfRule>
  </conditionalFormatting>
  <conditionalFormatting sqref="AU212">
    <cfRule type="cellIs" dxfId="0" priority="967" operator="lessThan">
      <formula>20</formula>
    </cfRule>
    <cfRule type="cellIs" dxfId="1" priority="576" operator="greaterThan">
      <formula>120</formula>
    </cfRule>
    <cfRule type="containsText" dxfId="2" priority="185" operator="between" text="库存为">
      <formula>NOT(ISERROR(SEARCH("库存为",AU212)))</formula>
    </cfRule>
  </conditionalFormatting>
  <conditionalFormatting sqref="AU213">
    <cfRule type="cellIs" dxfId="0" priority="966" operator="lessThan">
      <formula>20</formula>
    </cfRule>
    <cfRule type="cellIs" dxfId="1" priority="575" operator="greaterThan">
      <formula>120</formula>
    </cfRule>
    <cfRule type="containsText" dxfId="2" priority="184" operator="between" text="库存为">
      <formula>NOT(ISERROR(SEARCH("库存为",AU213)))</formula>
    </cfRule>
  </conditionalFormatting>
  <conditionalFormatting sqref="AU214">
    <cfRule type="cellIs" dxfId="0" priority="965" operator="lessThan">
      <formula>20</formula>
    </cfRule>
    <cfRule type="cellIs" dxfId="1" priority="574" operator="greaterThan">
      <formula>120</formula>
    </cfRule>
    <cfRule type="containsText" dxfId="2" priority="183" operator="between" text="库存为">
      <formula>NOT(ISERROR(SEARCH("库存为",AU214)))</formula>
    </cfRule>
  </conditionalFormatting>
  <conditionalFormatting sqref="AU215">
    <cfRule type="cellIs" dxfId="0" priority="964" operator="lessThan">
      <formula>20</formula>
    </cfRule>
    <cfRule type="cellIs" dxfId="1" priority="573" operator="greaterThan">
      <formula>120</formula>
    </cfRule>
    <cfRule type="containsText" dxfId="2" priority="182" operator="between" text="库存为">
      <formula>NOT(ISERROR(SEARCH("库存为",AU215)))</formula>
    </cfRule>
  </conditionalFormatting>
  <conditionalFormatting sqref="AU216">
    <cfRule type="cellIs" dxfId="0" priority="963" operator="lessThan">
      <formula>20</formula>
    </cfRule>
    <cfRule type="cellIs" dxfId="1" priority="572" operator="greaterThan">
      <formula>120</formula>
    </cfRule>
    <cfRule type="containsText" dxfId="2" priority="181" operator="between" text="库存为">
      <formula>NOT(ISERROR(SEARCH("库存为",AU216)))</formula>
    </cfRule>
  </conditionalFormatting>
  <conditionalFormatting sqref="AU217">
    <cfRule type="cellIs" dxfId="0" priority="962" operator="lessThan">
      <formula>20</formula>
    </cfRule>
    <cfRule type="cellIs" dxfId="1" priority="571" operator="greaterThan">
      <formula>120</formula>
    </cfRule>
    <cfRule type="containsText" dxfId="2" priority="180" operator="between" text="库存为">
      <formula>NOT(ISERROR(SEARCH("库存为",AU217)))</formula>
    </cfRule>
  </conditionalFormatting>
  <conditionalFormatting sqref="AU218">
    <cfRule type="cellIs" dxfId="0" priority="961" operator="lessThan">
      <formula>20</formula>
    </cfRule>
    <cfRule type="cellIs" dxfId="1" priority="570" operator="greaterThan">
      <formula>120</formula>
    </cfRule>
    <cfRule type="containsText" dxfId="2" priority="179" operator="between" text="库存为">
      <formula>NOT(ISERROR(SEARCH("库存为",AU218)))</formula>
    </cfRule>
  </conditionalFormatting>
  <conditionalFormatting sqref="AU219">
    <cfRule type="cellIs" dxfId="0" priority="960" operator="lessThan">
      <formula>20</formula>
    </cfRule>
    <cfRule type="cellIs" dxfId="1" priority="569" operator="greaterThan">
      <formula>120</formula>
    </cfRule>
    <cfRule type="containsText" dxfId="2" priority="178" operator="between" text="库存为">
      <formula>NOT(ISERROR(SEARCH("库存为",AU219)))</formula>
    </cfRule>
  </conditionalFormatting>
  <conditionalFormatting sqref="AU220">
    <cfRule type="cellIs" dxfId="0" priority="959" operator="lessThan">
      <formula>20</formula>
    </cfRule>
    <cfRule type="cellIs" dxfId="1" priority="568" operator="greaterThan">
      <formula>120</formula>
    </cfRule>
    <cfRule type="containsText" dxfId="2" priority="177" operator="between" text="库存为">
      <formula>NOT(ISERROR(SEARCH("库存为",AU220)))</formula>
    </cfRule>
  </conditionalFormatting>
  <conditionalFormatting sqref="AU221">
    <cfRule type="cellIs" dxfId="0" priority="958" operator="lessThan">
      <formula>20</formula>
    </cfRule>
    <cfRule type="cellIs" dxfId="1" priority="567" operator="greaterThan">
      <formula>120</formula>
    </cfRule>
    <cfRule type="containsText" dxfId="2" priority="176" operator="between" text="库存为">
      <formula>NOT(ISERROR(SEARCH("库存为",AU221)))</formula>
    </cfRule>
  </conditionalFormatting>
  <conditionalFormatting sqref="AU222">
    <cfRule type="cellIs" dxfId="0" priority="957" operator="lessThan">
      <formula>20</formula>
    </cfRule>
    <cfRule type="cellIs" dxfId="1" priority="566" operator="greaterThan">
      <formula>120</formula>
    </cfRule>
    <cfRule type="containsText" dxfId="2" priority="175" operator="between" text="库存为">
      <formula>NOT(ISERROR(SEARCH("库存为",AU222)))</formula>
    </cfRule>
  </conditionalFormatting>
  <conditionalFormatting sqref="AU223">
    <cfRule type="cellIs" dxfId="0" priority="956" operator="lessThan">
      <formula>20</formula>
    </cfRule>
    <cfRule type="cellIs" dxfId="1" priority="565" operator="greaterThan">
      <formula>120</formula>
    </cfRule>
    <cfRule type="containsText" dxfId="2" priority="174" operator="between" text="库存为">
      <formula>NOT(ISERROR(SEARCH("库存为",AU223)))</formula>
    </cfRule>
  </conditionalFormatting>
  <conditionalFormatting sqref="AU224">
    <cfRule type="cellIs" dxfId="0" priority="955" operator="lessThan">
      <formula>20</formula>
    </cfRule>
    <cfRule type="cellIs" dxfId="1" priority="564" operator="greaterThan">
      <formula>120</formula>
    </cfRule>
    <cfRule type="containsText" dxfId="2" priority="173" operator="between" text="库存为">
      <formula>NOT(ISERROR(SEARCH("库存为",AU224)))</formula>
    </cfRule>
  </conditionalFormatting>
  <conditionalFormatting sqref="AU225">
    <cfRule type="cellIs" dxfId="0" priority="954" operator="lessThan">
      <formula>20</formula>
    </cfRule>
    <cfRule type="cellIs" dxfId="1" priority="563" operator="greaterThan">
      <formula>120</formula>
    </cfRule>
    <cfRule type="containsText" dxfId="2" priority="172" operator="between" text="库存为">
      <formula>NOT(ISERROR(SEARCH("库存为",AU225)))</formula>
    </cfRule>
  </conditionalFormatting>
  <conditionalFormatting sqref="AU226">
    <cfRule type="cellIs" dxfId="0" priority="953" operator="lessThan">
      <formula>20</formula>
    </cfRule>
    <cfRule type="cellIs" dxfId="1" priority="562" operator="greaterThan">
      <formula>120</formula>
    </cfRule>
    <cfRule type="containsText" dxfId="2" priority="171" operator="between" text="库存为">
      <formula>NOT(ISERROR(SEARCH("库存为",AU226)))</formula>
    </cfRule>
  </conditionalFormatting>
  <conditionalFormatting sqref="AU227">
    <cfRule type="cellIs" dxfId="0" priority="952" operator="lessThan">
      <formula>20</formula>
    </cfRule>
    <cfRule type="cellIs" dxfId="1" priority="561" operator="greaterThan">
      <formula>120</formula>
    </cfRule>
    <cfRule type="containsText" dxfId="2" priority="170" operator="between" text="库存为">
      <formula>NOT(ISERROR(SEARCH("库存为",AU227)))</formula>
    </cfRule>
  </conditionalFormatting>
  <conditionalFormatting sqref="AU228">
    <cfRule type="cellIs" dxfId="0" priority="951" operator="lessThan">
      <formula>20</formula>
    </cfRule>
    <cfRule type="cellIs" dxfId="1" priority="560" operator="greaterThan">
      <formula>120</formula>
    </cfRule>
    <cfRule type="containsText" dxfId="2" priority="169" operator="between" text="库存为">
      <formula>NOT(ISERROR(SEARCH("库存为",AU228)))</formula>
    </cfRule>
  </conditionalFormatting>
  <conditionalFormatting sqref="AU229">
    <cfRule type="cellIs" dxfId="0" priority="950" operator="lessThan">
      <formula>20</formula>
    </cfRule>
    <cfRule type="cellIs" dxfId="1" priority="559" operator="greaterThan">
      <formula>120</formula>
    </cfRule>
    <cfRule type="containsText" dxfId="2" priority="168" operator="between" text="库存为">
      <formula>NOT(ISERROR(SEARCH("库存为",AU229)))</formula>
    </cfRule>
  </conditionalFormatting>
  <conditionalFormatting sqref="AU230">
    <cfRule type="cellIs" dxfId="0" priority="949" operator="lessThan">
      <formula>20</formula>
    </cfRule>
    <cfRule type="cellIs" dxfId="1" priority="558" operator="greaterThan">
      <formula>120</formula>
    </cfRule>
    <cfRule type="containsText" dxfId="2" priority="167" operator="between" text="库存为">
      <formula>NOT(ISERROR(SEARCH("库存为",AU230)))</formula>
    </cfRule>
  </conditionalFormatting>
  <conditionalFormatting sqref="AU231">
    <cfRule type="cellIs" dxfId="0" priority="948" operator="lessThan">
      <formula>20</formula>
    </cfRule>
    <cfRule type="cellIs" dxfId="1" priority="557" operator="greaterThan">
      <formula>120</formula>
    </cfRule>
    <cfRule type="containsText" dxfId="2" priority="166" operator="between" text="库存为">
      <formula>NOT(ISERROR(SEARCH("库存为",AU231)))</formula>
    </cfRule>
  </conditionalFormatting>
  <conditionalFormatting sqref="AU232">
    <cfRule type="cellIs" dxfId="0" priority="947" operator="lessThan">
      <formula>20</formula>
    </cfRule>
    <cfRule type="cellIs" dxfId="1" priority="556" operator="greaterThan">
      <formula>120</formula>
    </cfRule>
    <cfRule type="containsText" dxfId="2" priority="165" operator="between" text="库存为">
      <formula>NOT(ISERROR(SEARCH("库存为",AU232)))</formula>
    </cfRule>
  </conditionalFormatting>
  <conditionalFormatting sqref="AU233">
    <cfRule type="cellIs" dxfId="0" priority="946" operator="lessThan">
      <formula>20</formula>
    </cfRule>
    <cfRule type="cellIs" dxfId="1" priority="555" operator="greaterThan">
      <formula>120</formula>
    </cfRule>
    <cfRule type="containsText" dxfId="2" priority="164" operator="between" text="库存为">
      <formula>NOT(ISERROR(SEARCH("库存为",AU233)))</formula>
    </cfRule>
  </conditionalFormatting>
  <conditionalFormatting sqref="AU234">
    <cfRule type="cellIs" dxfId="0" priority="945" operator="lessThan">
      <formula>20</formula>
    </cfRule>
    <cfRule type="cellIs" dxfId="1" priority="554" operator="greaterThan">
      <formula>120</formula>
    </cfRule>
    <cfRule type="containsText" dxfId="2" priority="163" operator="between" text="库存为">
      <formula>NOT(ISERROR(SEARCH("库存为",AU234)))</formula>
    </cfRule>
  </conditionalFormatting>
  <conditionalFormatting sqref="AU235">
    <cfRule type="cellIs" dxfId="0" priority="944" operator="lessThan">
      <formula>20</formula>
    </cfRule>
    <cfRule type="cellIs" dxfId="1" priority="553" operator="greaterThan">
      <formula>120</formula>
    </cfRule>
    <cfRule type="containsText" dxfId="2" priority="162" operator="between" text="库存为">
      <formula>NOT(ISERROR(SEARCH("库存为",AU235)))</formula>
    </cfRule>
  </conditionalFormatting>
  <conditionalFormatting sqref="AU236">
    <cfRule type="cellIs" dxfId="0" priority="943" operator="lessThan">
      <formula>20</formula>
    </cfRule>
    <cfRule type="cellIs" dxfId="1" priority="552" operator="greaterThan">
      <formula>120</formula>
    </cfRule>
    <cfRule type="containsText" dxfId="2" priority="161" operator="between" text="库存为">
      <formula>NOT(ISERROR(SEARCH("库存为",AU236)))</formula>
    </cfRule>
  </conditionalFormatting>
  <conditionalFormatting sqref="AU237">
    <cfRule type="cellIs" dxfId="0" priority="942" operator="lessThan">
      <formula>20</formula>
    </cfRule>
    <cfRule type="cellIs" dxfId="1" priority="551" operator="greaterThan">
      <formula>120</formula>
    </cfRule>
    <cfRule type="containsText" dxfId="2" priority="160" operator="between" text="库存为">
      <formula>NOT(ISERROR(SEARCH("库存为",AU237)))</formula>
    </cfRule>
  </conditionalFormatting>
  <conditionalFormatting sqref="AU238">
    <cfRule type="cellIs" dxfId="0" priority="941" operator="lessThan">
      <formula>20</formula>
    </cfRule>
    <cfRule type="cellIs" dxfId="1" priority="550" operator="greaterThan">
      <formula>120</formula>
    </cfRule>
    <cfRule type="containsText" dxfId="2" priority="159" operator="between" text="库存为">
      <formula>NOT(ISERROR(SEARCH("库存为",AU238)))</formula>
    </cfRule>
  </conditionalFormatting>
  <conditionalFormatting sqref="AU239">
    <cfRule type="cellIs" dxfId="0" priority="940" operator="lessThan">
      <formula>20</formula>
    </cfRule>
    <cfRule type="cellIs" dxfId="1" priority="549" operator="greaterThan">
      <formula>120</formula>
    </cfRule>
    <cfRule type="containsText" dxfId="2" priority="158" operator="between" text="库存为">
      <formula>NOT(ISERROR(SEARCH("库存为",AU239)))</formula>
    </cfRule>
  </conditionalFormatting>
  <conditionalFormatting sqref="AU240">
    <cfRule type="cellIs" dxfId="0" priority="939" operator="lessThan">
      <formula>20</formula>
    </cfRule>
    <cfRule type="cellIs" dxfId="1" priority="548" operator="greaterThan">
      <formula>120</formula>
    </cfRule>
    <cfRule type="containsText" dxfId="2" priority="157" operator="between" text="库存为">
      <formula>NOT(ISERROR(SEARCH("库存为",AU240)))</formula>
    </cfRule>
  </conditionalFormatting>
  <conditionalFormatting sqref="AU241">
    <cfRule type="cellIs" dxfId="0" priority="938" operator="lessThan">
      <formula>20</formula>
    </cfRule>
    <cfRule type="cellIs" dxfId="1" priority="547" operator="greaterThan">
      <formula>120</formula>
    </cfRule>
    <cfRule type="containsText" dxfId="2" priority="156" operator="between" text="库存为">
      <formula>NOT(ISERROR(SEARCH("库存为",AU241)))</formula>
    </cfRule>
  </conditionalFormatting>
  <conditionalFormatting sqref="AU242">
    <cfRule type="cellIs" dxfId="0" priority="937" operator="lessThan">
      <formula>20</formula>
    </cfRule>
    <cfRule type="cellIs" dxfId="1" priority="546" operator="greaterThan">
      <formula>120</formula>
    </cfRule>
    <cfRule type="containsText" dxfId="2" priority="155" operator="between" text="库存为">
      <formula>NOT(ISERROR(SEARCH("库存为",AU242)))</formula>
    </cfRule>
  </conditionalFormatting>
  <conditionalFormatting sqref="AU243">
    <cfRule type="cellIs" dxfId="0" priority="936" operator="lessThan">
      <formula>20</formula>
    </cfRule>
    <cfRule type="cellIs" dxfId="1" priority="545" operator="greaterThan">
      <formula>120</formula>
    </cfRule>
    <cfRule type="containsText" dxfId="2" priority="154" operator="between" text="库存为">
      <formula>NOT(ISERROR(SEARCH("库存为",AU243)))</formula>
    </cfRule>
  </conditionalFormatting>
  <conditionalFormatting sqref="AU244">
    <cfRule type="cellIs" dxfId="0" priority="935" operator="lessThan">
      <formula>20</formula>
    </cfRule>
    <cfRule type="cellIs" dxfId="1" priority="544" operator="greaterThan">
      <formula>120</formula>
    </cfRule>
    <cfRule type="containsText" dxfId="2" priority="153" operator="between" text="库存为">
      <formula>NOT(ISERROR(SEARCH("库存为",AU244)))</formula>
    </cfRule>
  </conditionalFormatting>
  <conditionalFormatting sqref="AU245">
    <cfRule type="cellIs" dxfId="0" priority="934" operator="lessThan">
      <formula>20</formula>
    </cfRule>
    <cfRule type="cellIs" dxfId="1" priority="543" operator="greaterThan">
      <formula>120</formula>
    </cfRule>
    <cfRule type="containsText" dxfId="2" priority="152" operator="between" text="库存为">
      <formula>NOT(ISERROR(SEARCH("库存为",AU245)))</formula>
    </cfRule>
  </conditionalFormatting>
  <conditionalFormatting sqref="AU246">
    <cfRule type="cellIs" dxfId="0" priority="933" operator="lessThan">
      <formula>20</formula>
    </cfRule>
    <cfRule type="cellIs" dxfId="1" priority="542" operator="greaterThan">
      <formula>120</formula>
    </cfRule>
    <cfRule type="containsText" dxfId="2" priority="151" operator="between" text="库存为">
      <formula>NOT(ISERROR(SEARCH("库存为",AU246)))</formula>
    </cfRule>
  </conditionalFormatting>
  <conditionalFormatting sqref="AU247">
    <cfRule type="cellIs" dxfId="0" priority="932" operator="lessThan">
      <formula>20</formula>
    </cfRule>
    <cfRule type="cellIs" dxfId="1" priority="541" operator="greaterThan">
      <formula>120</formula>
    </cfRule>
    <cfRule type="containsText" dxfId="2" priority="150" operator="between" text="库存为">
      <formula>NOT(ISERROR(SEARCH("库存为",AU247)))</formula>
    </cfRule>
  </conditionalFormatting>
  <conditionalFormatting sqref="AU248">
    <cfRule type="cellIs" dxfId="0" priority="931" operator="lessThan">
      <formula>20</formula>
    </cfRule>
    <cfRule type="cellIs" dxfId="1" priority="540" operator="greaterThan">
      <formula>120</formula>
    </cfRule>
    <cfRule type="containsText" dxfId="2" priority="149" operator="between" text="库存为">
      <formula>NOT(ISERROR(SEARCH("库存为",AU248)))</formula>
    </cfRule>
  </conditionalFormatting>
  <conditionalFormatting sqref="AU249">
    <cfRule type="cellIs" dxfId="0" priority="930" operator="lessThan">
      <formula>20</formula>
    </cfRule>
    <cfRule type="cellIs" dxfId="1" priority="539" operator="greaterThan">
      <formula>120</formula>
    </cfRule>
    <cfRule type="containsText" dxfId="2" priority="148" operator="between" text="库存为">
      <formula>NOT(ISERROR(SEARCH("库存为",AU249)))</formula>
    </cfRule>
  </conditionalFormatting>
  <conditionalFormatting sqref="AU250">
    <cfRule type="cellIs" dxfId="0" priority="929" operator="lessThan">
      <formula>20</formula>
    </cfRule>
    <cfRule type="cellIs" dxfId="1" priority="538" operator="greaterThan">
      <formula>120</formula>
    </cfRule>
    <cfRule type="containsText" dxfId="2" priority="147" operator="between" text="库存为">
      <formula>NOT(ISERROR(SEARCH("库存为",AU250)))</formula>
    </cfRule>
  </conditionalFormatting>
  <conditionalFormatting sqref="AU251">
    <cfRule type="cellIs" dxfId="0" priority="928" operator="lessThan">
      <formula>20</formula>
    </cfRule>
    <cfRule type="cellIs" dxfId="1" priority="537" operator="greaterThan">
      <formula>120</formula>
    </cfRule>
    <cfRule type="containsText" dxfId="2" priority="146" operator="between" text="库存为">
      <formula>NOT(ISERROR(SEARCH("库存为",AU251)))</formula>
    </cfRule>
  </conditionalFormatting>
  <conditionalFormatting sqref="AU252">
    <cfRule type="cellIs" dxfId="0" priority="927" operator="lessThan">
      <formula>20</formula>
    </cfRule>
    <cfRule type="cellIs" dxfId="1" priority="536" operator="greaterThan">
      <formula>120</formula>
    </cfRule>
    <cfRule type="containsText" dxfId="2" priority="145" operator="between" text="库存为">
      <formula>NOT(ISERROR(SEARCH("库存为",AU252)))</formula>
    </cfRule>
  </conditionalFormatting>
  <conditionalFormatting sqref="AU253">
    <cfRule type="cellIs" dxfId="0" priority="926" operator="lessThan">
      <formula>20</formula>
    </cfRule>
    <cfRule type="cellIs" dxfId="1" priority="535" operator="greaterThan">
      <formula>120</formula>
    </cfRule>
    <cfRule type="containsText" dxfId="2" priority="144" operator="between" text="库存为">
      <formula>NOT(ISERROR(SEARCH("库存为",AU253)))</formula>
    </cfRule>
  </conditionalFormatting>
  <conditionalFormatting sqref="AU254">
    <cfRule type="cellIs" dxfId="0" priority="925" operator="lessThan">
      <formula>20</formula>
    </cfRule>
    <cfRule type="cellIs" dxfId="1" priority="534" operator="greaterThan">
      <formula>120</formula>
    </cfRule>
    <cfRule type="containsText" dxfId="2" priority="143" operator="between" text="库存为">
      <formula>NOT(ISERROR(SEARCH("库存为",AU254)))</formula>
    </cfRule>
  </conditionalFormatting>
  <conditionalFormatting sqref="AU255">
    <cfRule type="cellIs" dxfId="0" priority="924" operator="lessThan">
      <formula>20</formula>
    </cfRule>
    <cfRule type="cellIs" dxfId="1" priority="533" operator="greaterThan">
      <formula>120</formula>
    </cfRule>
    <cfRule type="containsText" dxfId="2" priority="142" operator="between" text="库存为">
      <formula>NOT(ISERROR(SEARCH("库存为",AU255)))</formula>
    </cfRule>
  </conditionalFormatting>
  <conditionalFormatting sqref="AU256">
    <cfRule type="cellIs" dxfId="0" priority="923" operator="lessThan">
      <formula>20</formula>
    </cfRule>
    <cfRule type="cellIs" dxfId="1" priority="532" operator="greaterThan">
      <formula>120</formula>
    </cfRule>
    <cfRule type="containsText" dxfId="2" priority="141" operator="between" text="库存为">
      <formula>NOT(ISERROR(SEARCH("库存为",AU256)))</formula>
    </cfRule>
  </conditionalFormatting>
  <conditionalFormatting sqref="AU257">
    <cfRule type="cellIs" dxfId="0" priority="922" operator="lessThan">
      <formula>20</formula>
    </cfRule>
    <cfRule type="cellIs" dxfId="1" priority="531" operator="greaterThan">
      <formula>120</formula>
    </cfRule>
    <cfRule type="containsText" dxfId="2" priority="140" operator="between" text="库存为">
      <formula>NOT(ISERROR(SEARCH("库存为",AU257)))</formula>
    </cfRule>
  </conditionalFormatting>
  <conditionalFormatting sqref="AU258">
    <cfRule type="cellIs" dxfId="0" priority="921" operator="lessThan">
      <formula>20</formula>
    </cfRule>
    <cfRule type="cellIs" dxfId="1" priority="530" operator="greaterThan">
      <formula>120</formula>
    </cfRule>
    <cfRule type="containsText" dxfId="2" priority="139" operator="between" text="库存为">
      <formula>NOT(ISERROR(SEARCH("库存为",AU258)))</formula>
    </cfRule>
  </conditionalFormatting>
  <conditionalFormatting sqref="AU259">
    <cfRule type="cellIs" dxfId="0" priority="920" operator="lessThan">
      <formula>20</formula>
    </cfRule>
    <cfRule type="cellIs" dxfId="1" priority="529" operator="greaterThan">
      <formula>120</formula>
    </cfRule>
    <cfRule type="containsText" dxfId="2" priority="138" operator="between" text="库存为">
      <formula>NOT(ISERROR(SEARCH("库存为",AU259)))</formula>
    </cfRule>
  </conditionalFormatting>
  <conditionalFormatting sqref="AU260">
    <cfRule type="cellIs" dxfId="0" priority="919" operator="lessThan">
      <formula>20</formula>
    </cfRule>
    <cfRule type="cellIs" dxfId="1" priority="528" operator="greaterThan">
      <formula>120</formula>
    </cfRule>
    <cfRule type="containsText" dxfId="2" priority="137" operator="between" text="库存为">
      <formula>NOT(ISERROR(SEARCH("库存为",AU260)))</formula>
    </cfRule>
  </conditionalFormatting>
  <conditionalFormatting sqref="AU261">
    <cfRule type="cellIs" dxfId="0" priority="918" operator="lessThan">
      <formula>20</formula>
    </cfRule>
    <cfRule type="cellIs" dxfId="1" priority="527" operator="greaterThan">
      <formula>120</formula>
    </cfRule>
    <cfRule type="containsText" dxfId="2" priority="136" operator="between" text="库存为">
      <formula>NOT(ISERROR(SEARCH("库存为",AU261)))</formula>
    </cfRule>
  </conditionalFormatting>
  <conditionalFormatting sqref="AU262">
    <cfRule type="cellIs" dxfId="0" priority="917" operator="lessThan">
      <formula>20</formula>
    </cfRule>
    <cfRule type="cellIs" dxfId="1" priority="526" operator="greaterThan">
      <formula>120</formula>
    </cfRule>
    <cfRule type="containsText" dxfId="2" priority="135" operator="between" text="库存为">
      <formula>NOT(ISERROR(SEARCH("库存为",AU262)))</formula>
    </cfRule>
  </conditionalFormatting>
  <conditionalFormatting sqref="AU263">
    <cfRule type="cellIs" dxfId="0" priority="916" operator="lessThan">
      <formula>20</formula>
    </cfRule>
    <cfRule type="cellIs" dxfId="1" priority="525" operator="greaterThan">
      <formula>120</formula>
    </cfRule>
    <cfRule type="containsText" dxfId="2" priority="134" operator="between" text="库存为">
      <formula>NOT(ISERROR(SEARCH("库存为",AU263)))</formula>
    </cfRule>
  </conditionalFormatting>
  <conditionalFormatting sqref="AU264">
    <cfRule type="cellIs" dxfId="0" priority="915" operator="lessThan">
      <formula>20</formula>
    </cfRule>
    <cfRule type="cellIs" dxfId="1" priority="524" operator="greaterThan">
      <formula>120</formula>
    </cfRule>
    <cfRule type="containsText" dxfId="2" priority="133" operator="between" text="库存为">
      <formula>NOT(ISERROR(SEARCH("库存为",AU264)))</formula>
    </cfRule>
  </conditionalFormatting>
  <conditionalFormatting sqref="AU265">
    <cfRule type="cellIs" dxfId="0" priority="914" operator="lessThan">
      <formula>20</formula>
    </cfRule>
    <cfRule type="cellIs" dxfId="1" priority="523" operator="greaterThan">
      <formula>120</formula>
    </cfRule>
    <cfRule type="containsText" dxfId="2" priority="132" operator="between" text="库存为">
      <formula>NOT(ISERROR(SEARCH("库存为",AU265)))</formula>
    </cfRule>
  </conditionalFormatting>
  <conditionalFormatting sqref="AU266">
    <cfRule type="cellIs" dxfId="0" priority="913" operator="lessThan">
      <formula>20</formula>
    </cfRule>
    <cfRule type="cellIs" dxfId="1" priority="522" operator="greaterThan">
      <formula>120</formula>
    </cfRule>
    <cfRule type="containsText" dxfId="2" priority="131" operator="between" text="库存为">
      <formula>NOT(ISERROR(SEARCH("库存为",AU266)))</formula>
    </cfRule>
  </conditionalFormatting>
  <conditionalFormatting sqref="AU267">
    <cfRule type="cellIs" dxfId="0" priority="912" operator="lessThan">
      <formula>20</formula>
    </cfRule>
    <cfRule type="cellIs" dxfId="1" priority="521" operator="greaterThan">
      <formula>120</formula>
    </cfRule>
    <cfRule type="containsText" dxfId="2" priority="130" operator="between" text="库存为">
      <formula>NOT(ISERROR(SEARCH("库存为",AU267)))</formula>
    </cfRule>
  </conditionalFormatting>
  <conditionalFormatting sqref="AU268">
    <cfRule type="cellIs" dxfId="0" priority="911" operator="lessThan">
      <formula>20</formula>
    </cfRule>
    <cfRule type="cellIs" dxfId="1" priority="520" operator="greaterThan">
      <formula>120</formula>
    </cfRule>
    <cfRule type="containsText" dxfId="2" priority="129" operator="between" text="库存为">
      <formula>NOT(ISERROR(SEARCH("库存为",AU268)))</formula>
    </cfRule>
  </conditionalFormatting>
  <conditionalFormatting sqref="AU269">
    <cfRule type="cellIs" dxfId="0" priority="910" operator="lessThan">
      <formula>20</formula>
    </cfRule>
    <cfRule type="cellIs" dxfId="1" priority="519" operator="greaterThan">
      <formula>120</formula>
    </cfRule>
    <cfRule type="containsText" dxfId="2" priority="128" operator="between" text="库存为">
      <formula>NOT(ISERROR(SEARCH("库存为",AU269)))</formula>
    </cfRule>
  </conditionalFormatting>
  <conditionalFormatting sqref="AU270">
    <cfRule type="cellIs" dxfId="0" priority="909" operator="lessThan">
      <formula>20</formula>
    </cfRule>
    <cfRule type="cellIs" dxfId="1" priority="518" operator="greaterThan">
      <formula>120</formula>
    </cfRule>
    <cfRule type="containsText" dxfId="2" priority="127" operator="between" text="库存为">
      <formula>NOT(ISERROR(SEARCH("库存为",AU270)))</formula>
    </cfRule>
  </conditionalFormatting>
  <conditionalFormatting sqref="AU271">
    <cfRule type="cellIs" dxfId="0" priority="908" operator="lessThan">
      <formula>20</formula>
    </cfRule>
    <cfRule type="cellIs" dxfId="1" priority="517" operator="greaterThan">
      <formula>120</formula>
    </cfRule>
    <cfRule type="containsText" dxfId="2" priority="126" operator="between" text="库存为">
      <formula>NOT(ISERROR(SEARCH("库存为",AU271)))</formula>
    </cfRule>
  </conditionalFormatting>
  <conditionalFormatting sqref="AU272">
    <cfRule type="cellIs" dxfId="0" priority="907" operator="lessThan">
      <formula>20</formula>
    </cfRule>
    <cfRule type="cellIs" dxfId="1" priority="516" operator="greaterThan">
      <formula>120</formula>
    </cfRule>
    <cfRule type="containsText" dxfId="2" priority="125" operator="between" text="库存为">
      <formula>NOT(ISERROR(SEARCH("库存为",AU272)))</formula>
    </cfRule>
  </conditionalFormatting>
  <conditionalFormatting sqref="AU273">
    <cfRule type="cellIs" dxfId="0" priority="906" operator="lessThan">
      <formula>20</formula>
    </cfRule>
    <cfRule type="cellIs" dxfId="1" priority="515" operator="greaterThan">
      <formula>120</formula>
    </cfRule>
    <cfRule type="containsText" dxfId="2" priority="124" operator="between" text="库存为">
      <formula>NOT(ISERROR(SEARCH("库存为",AU273)))</formula>
    </cfRule>
  </conditionalFormatting>
  <conditionalFormatting sqref="AU274">
    <cfRule type="cellIs" dxfId="0" priority="905" operator="lessThan">
      <formula>20</formula>
    </cfRule>
    <cfRule type="cellIs" dxfId="1" priority="514" operator="greaterThan">
      <formula>120</formula>
    </cfRule>
    <cfRule type="containsText" dxfId="2" priority="123" operator="between" text="库存为">
      <formula>NOT(ISERROR(SEARCH("库存为",AU274)))</formula>
    </cfRule>
  </conditionalFormatting>
  <conditionalFormatting sqref="AU275">
    <cfRule type="cellIs" dxfId="0" priority="904" operator="lessThan">
      <formula>20</formula>
    </cfRule>
    <cfRule type="cellIs" dxfId="1" priority="513" operator="greaterThan">
      <formula>120</formula>
    </cfRule>
    <cfRule type="containsText" dxfId="2" priority="122" operator="between" text="库存为">
      <formula>NOT(ISERROR(SEARCH("库存为",AU275)))</formula>
    </cfRule>
  </conditionalFormatting>
  <conditionalFormatting sqref="AU276">
    <cfRule type="cellIs" dxfId="0" priority="903" operator="lessThan">
      <formula>20</formula>
    </cfRule>
    <cfRule type="cellIs" dxfId="1" priority="512" operator="greaterThan">
      <formula>120</formula>
    </cfRule>
    <cfRule type="containsText" dxfId="2" priority="121" operator="between" text="库存为">
      <formula>NOT(ISERROR(SEARCH("库存为",AU276)))</formula>
    </cfRule>
  </conditionalFormatting>
  <conditionalFormatting sqref="AU277">
    <cfRule type="cellIs" dxfId="0" priority="902" operator="lessThan">
      <formula>20</formula>
    </cfRule>
    <cfRule type="cellIs" dxfId="1" priority="511" operator="greaterThan">
      <formula>120</formula>
    </cfRule>
    <cfRule type="containsText" dxfId="2" priority="120" operator="between" text="库存为">
      <formula>NOT(ISERROR(SEARCH("库存为",AU277)))</formula>
    </cfRule>
  </conditionalFormatting>
  <conditionalFormatting sqref="AU278">
    <cfRule type="cellIs" dxfId="0" priority="901" operator="lessThan">
      <formula>20</formula>
    </cfRule>
    <cfRule type="cellIs" dxfId="1" priority="510" operator="greaterThan">
      <formula>120</formula>
    </cfRule>
    <cfRule type="containsText" dxfId="2" priority="119" operator="between" text="库存为">
      <formula>NOT(ISERROR(SEARCH("库存为",AU278)))</formula>
    </cfRule>
  </conditionalFormatting>
  <conditionalFormatting sqref="AU279">
    <cfRule type="cellIs" dxfId="0" priority="900" operator="lessThan">
      <formula>20</formula>
    </cfRule>
    <cfRule type="cellIs" dxfId="1" priority="509" operator="greaterThan">
      <formula>120</formula>
    </cfRule>
    <cfRule type="containsText" dxfId="2" priority="118" operator="between" text="库存为">
      <formula>NOT(ISERROR(SEARCH("库存为",AU279)))</formula>
    </cfRule>
  </conditionalFormatting>
  <conditionalFormatting sqref="AU280">
    <cfRule type="cellIs" dxfId="0" priority="899" operator="lessThan">
      <formula>20</formula>
    </cfRule>
    <cfRule type="cellIs" dxfId="1" priority="508" operator="greaterThan">
      <formula>120</formula>
    </cfRule>
    <cfRule type="containsText" dxfId="2" priority="117" operator="between" text="库存为">
      <formula>NOT(ISERROR(SEARCH("库存为",AU280)))</formula>
    </cfRule>
  </conditionalFormatting>
  <conditionalFormatting sqref="AU281">
    <cfRule type="cellIs" dxfId="0" priority="898" operator="lessThan">
      <formula>20</formula>
    </cfRule>
    <cfRule type="cellIs" dxfId="1" priority="507" operator="greaterThan">
      <formula>120</formula>
    </cfRule>
    <cfRule type="containsText" dxfId="2" priority="116" operator="between" text="库存为">
      <formula>NOT(ISERROR(SEARCH("库存为",AU281)))</formula>
    </cfRule>
  </conditionalFormatting>
  <conditionalFormatting sqref="AU282">
    <cfRule type="cellIs" dxfId="0" priority="897" operator="lessThan">
      <formula>20</formula>
    </cfRule>
    <cfRule type="cellIs" dxfId="1" priority="506" operator="greaterThan">
      <formula>120</formula>
    </cfRule>
    <cfRule type="containsText" dxfId="2" priority="115" operator="between" text="库存为">
      <formula>NOT(ISERROR(SEARCH("库存为",AU282)))</formula>
    </cfRule>
  </conditionalFormatting>
  <conditionalFormatting sqref="AU283">
    <cfRule type="cellIs" dxfId="0" priority="896" operator="lessThan">
      <formula>20</formula>
    </cfRule>
    <cfRule type="cellIs" dxfId="1" priority="505" operator="greaterThan">
      <formula>120</formula>
    </cfRule>
    <cfRule type="containsText" dxfId="2" priority="114" operator="between" text="库存为">
      <formula>NOT(ISERROR(SEARCH("库存为",AU283)))</formula>
    </cfRule>
  </conditionalFormatting>
  <conditionalFormatting sqref="AU284">
    <cfRule type="cellIs" dxfId="0" priority="895" operator="lessThan">
      <formula>20</formula>
    </cfRule>
    <cfRule type="cellIs" dxfId="1" priority="504" operator="greaterThan">
      <formula>120</formula>
    </cfRule>
    <cfRule type="containsText" dxfId="2" priority="113" operator="between" text="库存为">
      <formula>NOT(ISERROR(SEARCH("库存为",AU284)))</formula>
    </cfRule>
  </conditionalFormatting>
  <conditionalFormatting sqref="AU285">
    <cfRule type="cellIs" dxfId="0" priority="894" operator="lessThan">
      <formula>20</formula>
    </cfRule>
    <cfRule type="cellIs" dxfId="1" priority="503" operator="greaterThan">
      <formula>120</formula>
    </cfRule>
    <cfRule type="containsText" dxfId="2" priority="112" operator="between" text="库存为">
      <formula>NOT(ISERROR(SEARCH("库存为",AU285)))</formula>
    </cfRule>
  </conditionalFormatting>
  <conditionalFormatting sqref="AU286">
    <cfRule type="cellIs" dxfId="0" priority="893" operator="lessThan">
      <formula>20</formula>
    </cfRule>
    <cfRule type="cellIs" dxfId="1" priority="502" operator="greaterThan">
      <formula>120</formula>
    </cfRule>
    <cfRule type="containsText" dxfId="2" priority="111" operator="between" text="库存为">
      <formula>NOT(ISERROR(SEARCH("库存为",AU286)))</formula>
    </cfRule>
  </conditionalFormatting>
  <conditionalFormatting sqref="AU287">
    <cfRule type="cellIs" dxfId="0" priority="892" operator="lessThan">
      <formula>20</formula>
    </cfRule>
    <cfRule type="cellIs" dxfId="1" priority="501" operator="greaterThan">
      <formula>120</formula>
    </cfRule>
    <cfRule type="containsText" dxfId="2" priority="110" operator="between" text="库存为">
      <formula>NOT(ISERROR(SEARCH("库存为",AU287)))</formula>
    </cfRule>
  </conditionalFormatting>
  <conditionalFormatting sqref="AU288">
    <cfRule type="cellIs" dxfId="0" priority="891" operator="lessThan">
      <formula>20</formula>
    </cfRule>
    <cfRule type="cellIs" dxfId="1" priority="500" operator="greaterThan">
      <formula>120</formula>
    </cfRule>
    <cfRule type="containsText" dxfId="2" priority="109" operator="between" text="库存为">
      <formula>NOT(ISERROR(SEARCH("库存为",AU288)))</formula>
    </cfRule>
  </conditionalFormatting>
  <conditionalFormatting sqref="AU289">
    <cfRule type="cellIs" dxfId="0" priority="890" operator="lessThan">
      <formula>20</formula>
    </cfRule>
    <cfRule type="cellIs" dxfId="1" priority="499" operator="greaterThan">
      <formula>120</formula>
    </cfRule>
    <cfRule type="containsText" dxfId="2" priority="108" operator="between" text="库存为">
      <formula>NOT(ISERROR(SEARCH("库存为",AU289)))</formula>
    </cfRule>
  </conditionalFormatting>
  <conditionalFormatting sqref="AU290">
    <cfRule type="cellIs" dxfId="0" priority="889" operator="lessThan">
      <formula>20</formula>
    </cfRule>
    <cfRule type="cellIs" dxfId="1" priority="498" operator="greaterThan">
      <formula>120</formula>
    </cfRule>
    <cfRule type="containsText" dxfId="2" priority="107" operator="between" text="库存为">
      <formula>NOT(ISERROR(SEARCH("库存为",AU290)))</formula>
    </cfRule>
  </conditionalFormatting>
  <conditionalFormatting sqref="AU291">
    <cfRule type="cellIs" dxfId="0" priority="888" operator="lessThan">
      <formula>20</formula>
    </cfRule>
    <cfRule type="cellIs" dxfId="1" priority="497" operator="greaterThan">
      <formula>120</formula>
    </cfRule>
    <cfRule type="containsText" dxfId="2" priority="106" operator="between" text="库存为">
      <formula>NOT(ISERROR(SEARCH("库存为",AU291)))</formula>
    </cfRule>
  </conditionalFormatting>
  <conditionalFormatting sqref="AU292">
    <cfRule type="cellIs" dxfId="0" priority="887" operator="lessThan">
      <formula>20</formula>
    </cfRule>
    <cfRule type="cellIs" dxfId="1" priority="496" operator="greaterThan">
      <formula>120</formula>
    </cfRule>
    <cfRule type="containsText" dxfId="2" priority="105" operator="between" text="库存为">
      <formula>NOT(ISERROR(SEARCH("库存为",AU292)))</formula>
    </cfRule>
  </conditionalFormatting>
  <conditionalFormatting sqref="AU293">
    <cfRule type="cellIs" dxfId="0" priority="886" operator="lessThan">
      <formula>20</formula>
    </cfRule>
    <cfRule type="cellIs" dxfId="1" priority="495" operator="greaterThan">
      <formula>120</formula>
    </cfRule>
    <cfRule type="containsText" dxfId="2" priority="104" operator="between" text="库存为">
      <formula>NOT(ISERROR(SEARCH("库存为",AU293)))</formula>
    </cfRule>
  </conditionalFormatting>
  <conditionalFormatting sqref="AU294">
    <cfRule type="cellIs" dxfId="0" priority="885" operator="lessThan">
      <formula>20</formula>
    </cfRule>
    <cfRule type="cellIs" dxfId="1" priority="494" operator="greaterThan">
      <formula>120</formula>
    </cfRule>
    <cfRule type="containsText" dxfId="2" priority="103" operator="between" text="库存为">
      <formula>NOT(ISERROR(SEARCH("库存为",AU294)))</formula>
    </cfRule>
  </conditionalFormatting>
  <conditionalFormatting sqref="AU295">
    <cfRule type="cellIs" dxfId="0" priority="884" operator="lessThan">
      <formula>20</formula>
    </cfRule>
    <cfRule type="cellIs" dxfId="1" priority="493" operator="greaterThan">
      <formula>120</formula>
    </cfRule>
    <cfRule type="containsText" dxfId="2" priority="102" operator="between" text="库存为">
      <formula>NOT(ISERROR(SEARCH("库存为",AU295)))</formula>
    </cfRule>
  </conditionalFormatting>
  <conditionalFormatting sqref="AU296">
    <cfRule type="cellIs" dxfId="0" priority="883" operator="lessThan">
      <formula>20</formula>
    </cfRule>
    <cfRule type="cellIs" dxfId="1" priority="492" operator="greaterThan">
      <formula>120</formula>
    </cfRule>
    <cfRule type="containsText" dxfId="2" priority="101" operator="between" text="库存为">
      <formula>NOT(ISERROR(SEARCH("库存为",AU296)))</formula>
    </cfRule>
  </conditionalFormatting>
  <conditionalFormatting sqref="AU297">
    <cfRule type="cellIs" dxfId="0" priority="882" operator="lessThan">
      <formula>20</formula>
    </cfRule>
    <cfRule type="cellIs" dxfId="1" priority="491" operator="greaterThan">
      <formula>120</formula>
    </cfRule>
    <cfRule type="containsText" dxfId="2" priority="100" operator="between" text="库存为">
      <formula>NOT(ISERROR(SEARCH("库存为",AU297)))</formula>
    </cfRule>
  </conditionalFormatting>
  <conditionalFormatting sqref="AU298">
    <cfRule type="cellIs" dxfId="0" priority="881" operator="lessThan">
      <formula>20</formula>
    </cfRule>
    <cfRule type="cellIs" dxfId="1" priority="490" operator="greaterThan">
      <formula>120</formula>
    </cfRule>
    <cfRule type="containsText" dxfId="2" priority="99" operator="between" text="库存为">
      <formula>NOT(ISERROR(SEARCH("库存为",AU298)))</formula>
    </cfRule>
  </conditionalFormatting>
  <conditionalFormatting sqref="AU299">
    <cfRule type="cellIs" dxfId="0" priority="880" operator="lessThan">
      <formula>20</formula>
    </cfRule>
    <cfRule type="cellIs" dxfId="1" priority="489" operator="greaterThan">
      <formula>120</formula>
    </cfRule>
    <cfRule type="containsText" dxfId="2" priority="98" operator="between" text="库存为">
      <formula>NOT(ISERROR(SEARCH("库存为",AU299)))</formula>
    </cfRule>
  </conditionalFormatting>
  <conditionalFormatting sqref="AU300">
    <cfRule type="cellIs" dxfId="0" priority="879" operator="lessThan">
      <formula>20</formula>
    </cfRule>
    <cfRule type="cellIs" dxfId="1" priority="488" operator="greaterThan">
      <formula>120</formula>
    </cfRule>
    <cfRule type="containsText" dxfId="2" priority="97" operator="between" text="库存为">
      <formula>NOT(ISERROR(SEARCH("库存为",AU300)))</formula>
    </cfRule>
  </conditionalFormatting>
  <conditionalFormatting sqref="AU301">
    <cfRule type="cellIs" dxfId="0" priority="878" operator="lessThan">
      <formula>20</formula>
    </cfRule>
    <cfRule type="cellIs" dxfId="1" priority="487" operator="greaterThan">
      <formula>120</formula>
    </cfRule>
    <cfRule type="containsText" dxfId="2" priority="96" operator="between" text="库存为">
      <formula>NOT(ISERROR(SEARCH("库存为",AU301)))</formula>
    </cfRule>
  </conditionalFormatting>
  <conditionalFormatting sqref="AU302">
    <cfRule type="cellIs" dxfId="0" priority="877" operator="lessThan">
      <formula>20</formula>
    </cfRule>
    <cfRule type="cellIs" dxfId="1" priority="486" operator="greaterThan">
      <formula>120</formula>
    </cfRule>
    <cfRule type="containsText" dxfId="2" priority="95" operator="between" text="库存为">
      <formula>NOT(ISERROR(SEARCH("库存为",AU302)))</formula>
    </cfRule>
  </conditionalFormatting>
  <conditionalFormatting sqref="AU303">
    <cfRule type="cellIs" dxfId="0" priority="876" operator="lessThan">
      <formula>20</formula>
    </cfRule>
    <cfRule type="cellIs" dxfId="1" priority="485" operator="greaterThan">
      <formula>120</formula>
    </cfRule>
    <cfRule type="containsText" dxfId="2" priority="94" operator="between" text="库存为">
      <formula>NOT(ISERROR(SEARCH("库存为",AU303)))</formula>
    </cfRule>
  </conditionalFormatting>
  <conditionalFormatting sqref="AU304">
    <cfRule type="cellIs" dxfId="0" priority="875" operator="lessThan">
      <formula>20</formula>
    </cfRule>
    <cfRule type="cellIs" dxfId="1" priority="484" operator="greaterThan">
      <formula>120</formula>
    </cfRule>
    <cfRule type="containsText" dxfId="2" priority="93" operator="between" text="库存为">
      <formula>NOT(ISERROR(SEARCH("库存为",AU304)))</formula>
    </cfRule>
  </conditionalFormatting>
  <conditionalFormatting sqref="AU305">
    <cfRule type="cellIs" dxfId="0" priority="874" operator="lessThan">
      <formula>20</formula>
    </cfRule>
    <cfRule type="cellIs" dxfId="1" priority="483" operator="greaterThan">
      <formula>120</formula>
    </cfRule>
    <cfRule type="containsText" dxfId="2" priority="92" operator="between" text="库存为">
      <formula>NOT(ISERROR(SEARCH("库存为",AU305)))</formula>
    </cfRule>
  </conditionalFormatting>
  <conditionalFormatting sqref="AU306">
    <cfRule type="cellIs" dxfId="0" priority="873" operator="lessThan">
      <formula>20</formula>
    </cfRule>
    <cfRule type="cellIs" dxfId="1" priority="482" operator="greaterThan">
      <formula>120</formula>
    </cfRule>
    <cfRule type="containsText" dxfId="2" priority="91" operator="between" text="库存为">
      <formula>NOT(ISERROR(SEARCH("库存为",AU306)))</formula>
    </cfRule>
  </conditionalFormatting>
  <conditionalFormatting sqref="AU307">
    <cfRule type="cellIs" dxfId="0" priority="872" operator="lessThan">
      <formula>20</formula>
    </cfRule>
    <cfRule type="cellIs" dxfId="1" priority="481" operator="greaterThan">
      <formula>120</formula>
    </cfRule>
    <cfRule type="containsText" dxfId="2" priority="90" operator="between" text="库存为">
      <formula>NOT(ISERROR(SEARCH("库存为",AU307)))</formula>
    </cfRule>
  </conditionalFormatting>
  <conditionalFormatting sqref="AU308">
    <cfRule type="cellIs" dxfId="0" priority="871" operator="lessThan">
      <formula>20</formula>
    </cfRule>
    <cfRule type="cellIs" dxfId="1" priority="480" operator="greaterThan">
      <formula>120</formula>
    </cfRule>
    <cfRule type="containsText" dxfId="2" priority="89" operator="between" text="库存为">
      <formula>NOT(ISERROR(SEARCH("库存为",AU308)))</formula>
    </cfRule>
  </conditionalFormatting>
  <conditionalFormatting sqref="AU309">
    <cfRule type="cellIs" dxfId="0" priority="870" operator="lessThan">
      <formula>20</formula>
    </cfRule>
    <cfRule type="cellIs" dxfId="1" priority="479" operator="greaterThan">
      <formula>120</formula>
    </cfRule>
    <cfRule type="containsText" dxfId="2" priority="88" operator="between" text="库存为">
      <formula>NOT(ISERROR(SEARCH("库存为",AU309)))</formula>
    </cfRule>
  </conditionalFormatting>
  <conditionalFormatting sqref="AU310">
    <cfRule type="cellIs" dxfId="0" priority="869" operator="lessThan">
      <formula>20</formula>
    </cfRule>
    <cfRule type="cellIs" dxfId="1" priority="478" operator="greaterThan">
      <formula>120</formula>
    </cfRule>
    <cfRule type="containsText" dxfId="2" priority="87" operator="between" text="库存为">
      <formula>NOT(ISERROR(SEARCH("库存为",AU310)))</formula>
    </cfRule>
  </conditionalFormatting>
  <conditionalFormatting sqref="AU311">
    <cfRule type="cellIs" dxfId="0" priority="868" operator="lessThan">
      <formula>20</formula>
    </cfRule>
    <cfRule type="cellIs" dxfId="1" priority="477" operator="greaterThan">
      <formula>120</formula>
    </cfRule>
    <cfRule type="containsText" dxfId="2" priority="86" operator="between" text="库存为">
      <formula>NOT(ISERROR(SEARCH("库存为",AU311)))</formula>
    </cfRule>
  </conditionalFormatting>
  <conditionalFormatting sqref="AU312">
    <cfRule type="cellIs" dxfId="0" priority="867" operator="lessThan">
      <formula>20</formula>
    </cfRule>
    <cfRule type="cellIs" dxfId="1" priority="476" operator="greaterThan">
      <formula>120</formula>
    </cfRule>
    <cfRule type="containsText" dxfId="2" priority="85" operator="between" text="库存为">
      <formula>NOT(ISERROR(SEARCH("库存为",AU312)))</formula>
    </cfRule>
  </conditionalFormatting>
  <conditionalFormatting sqref="AU313">
    <cfRule type="cellIs" dxfId="0" priority="866" operator="lessThan">
      <formula>20</formula>
    </cfRule>
    <cfRule type="cellIs" dxfId="1" priority="475" operator="greaterThan">
      <formula>120</formula>
    </cfRule>
    <cfRule type="containsText" dxfId="2" priority="84" operator="between" text="库存为">
      <formula>NOT(ISERROR(SEARCH("库存为",AU313)))</formula>
    </cfRule>
  </conditionalFormatting>
  <conditionalFormatting sqref="AU314">
    <cfRule type="cellIs" dxfId="0" priority="865" operator="lessThan">
      <formula>20</formula>
    </cfRule>
    <cfRule type="cellIs" dxfId="1" priority="474" operator="greaterThan">
      <formula>120</formula>
    </cfRule>
    <cfRule type="containsText" dxfId="2" priority="83" operator="between" text="库存为">
      <formula>NOT(ISERROR(SEARCH("库存为",AU314)))</formula>
    </cfRule>
  </conditionalFormatting>
  <conditionalFormatting sqref="AU315">
    <cfRule type="cellIs" dxfId="0" priority="864" operator="lessThan">
      <formula>20</formula>
    </cfRule>
    <cfRule type="cellIs" dxfId="1" priority="473" operator="greaterThan">
      <formula>120</formula>
    </cfRule>
    <cfRule type="containsText" dxfId="2" priority="82" operator="between" text="库存为">
      <formula>NOT(ISERROR(SEARCH("库存为",AU315)))</formula>
    </cfRule>
  </conditionalFormatting>
  <conditionalFormatting sqref="AU316">
    <cfRule type="cellIs" dxfId="0" priority="863" operator="lessThan">
      <formula>20</formula>
    </cfRule>
    <cfRule type="cellIs" dxfId="1" priority="472" operator="greaterThan">
      <formula>120</formula>
    </cfRule>
    <cfRule type="containsText" dxfId="2" priority="81" operator="between" text="库存为">
      <formula>NOT(ISERROR(SEARCH("库存为",AU316)))</formula>
    </cfRule>
  </conditionalFormatting>
  <conditionalFormatting sqref="AU317">
    <cfRule type="cellIs" dxfId="0" priority="862" operator="lessThan">
      <formula>20</formula>
    </cfRule>
    <cfRule type="cellIs" dxfId="1" priority="471" operator="greaterThan">
      <formula>120</formula>
    </cfRule>
    <cfRule type="containsText" dxfId="2" priority="80" operator="between" text="库存为">
      <formula>NOT(ISERROR(SEARCH("库存为",AU317)))</formula>
    </cfRule>
  </conditionalFormatting>
  <conditionalFormatting sqref="AU318">
    <cfRule type="cellIs" dxfId="0" priority="861" operator="lessThan">
      <formula>20</formula>
    </cfRule>
    <cfRule type="cellIs" dxfId="1" priority="470" operator="greaterThan">
      <formula>120</formula>
    </cfRule>
    <cfRule type="containsText" dxfId="2" priority="79" operator="between" text="库存为">
      <formula>NOT(ISERROR(SEARCH("库存为",AU318)))</formula>
    </cfRule>
  </conditionalFormatting>
  <conditionalFormatting sqref="AU319">
    <cfRule type="cellIs" dxfId="0" priority="860" operator="lessThan">
      <formula>20</formula>
    </cfRule>
    <cfRule type="cellIs" dxfId="1" priority="469" operator="greaterThan">
      <formula>120</formula>
    </cfRule>
    <cfRule type="containsText" dxfId="2" priority="78" operator="between" text="库存为">
      <formula>NOT(ISERROR(SEARCH("库存为",AU319)))</formula>
    </cfRule>
  </conditionalFormatting>
  <conditionalFormatting sqref="AU320">
    <cfRule type="cellIs" dxfId="0" priority="859" operator="lessThan">
      <formula>20</formula>
    </cfRule>
    <cfRule type="cellIs" dxfId="1" priority="468" operator="greaterThan">
      <formula>120</formula>
    </cfRule>
    <cfRule type="containsText" dxfId="2" priority="77" operator="between" text="库存为">
      <formula>NOT(ISERROR(SEARCH("库存为",AU320)))</formula>
    </cfRule>
  </conditionalFormatting>
  <conditionalFormatting sqref="AU321">
    <cfRule type="cellIs" dxfId="0" priority="858" operator="lessThan">
      <formula>20</formula>
    </cfRule>
    <cfRule type="cellIs" dxfId="1" priority="467" operator="greaterThan">
      <formula>120</formula>
    </cfRule>
    <cfRule type="containsText" dxfId="2" priority="76" operator="between" text="库存为">
      <formula>NOT(ISERROR(SEARCH("库存为",AU321)))</formula>
    </cfRule>
  </conditionalFormatting>
  <conditionalFormatting sqref="AU322">
    <cfRule type="cellIs" dxfId="0" priority="857" operator="lessThan">
      <formula>20</formula>
    </cfRule>
    <cfRule type="cellIs" dxfId="1" priority="466" operator="greaterThan">
      <formula>120</formula>
    </cfRule>
    <cfRule type="containsText" dxfId="2" priority="75" operator="between" text="库存为">
      <formula>NOT(ISERROR(SEARCH("库存为",AU322)))</formula>
    </cfRule>
  </conditionalFormatting>
  <conditionalFormatting sqref="AU323">
    <cfRule type="cellIs" dxfId="0" priority="856" operator="lessThan">
      <formula>20</formula>
    </cfRule>
    <cfRule type="cellIs" dxfId="1" priority="465" operator="greaterThan">
      <formula>120</formula>
    </cfRule>
    <cfRule type="containsText" dxfId="2" priority="74" operator="between" text="库存为">
      <formula>NOT(ISERROR(SEARCH("库存为",AU323)))</formula>
    </cfRule>
  </conditionalFormatting>
  <conditionalFormatting sqref="AU324">
    <cfRule type="cellIs" dxfId="0" priority="855" operator="lessThan">
      <formula>20</formula>
    </cfRule>
    <cfRule type="cellIs" dxfId="1" priority="464" operator="greaterThan">
      <formula>120</formula>
    </cfRule>
    <cfRule type="containsText" dxfId="2" priority="73" operator="between" text="库存为">
      <formula>NOT(ISERROR(SEARCH("库存为",AU324)))</formula>
    </cfRule>
  </conditionalFormatting>
  <conditionalFormatting sqref="AU325">
    <cfRule type="cellIs" dxfId="0" priority="854" operator="lessThan">
      <formula>20</formula>
    </cfRule>
    <cfRule type="cellIs" dxfId="1" priority="463" operator="greaterThan">
      <formula>120</formula>
    </cfRule>
    <cfRule type="containsText" dxfId="2" priority="72" operator="between" text="库存为">
      <formula>NOT(ISERROR(SEARCH("库存为",AU325)))</formula>
    </cfRule>
  </conditionalFormatting>
  <conditionalFormatting sqref="AU326">
    <cfRule type="cellIs" dxfId="0" priority="853" operator="lessThan">
      <formula>20</formula>
    </cfRule>
    <cfRule type="cellIs" dxfId="1" priority="462" operator="greaterThan">
      <formula>120</formula>
    </cfRule>
    <cfRule type="containsText" dxfId="2" priority="71" operator="between" text="库存为">
      <formula>NOT(ISERROR(SEARCH("库存为",AU326)))</formula>
    </cfRule>
  </conditionalFormatting>
  <conditionalFormatting sqref="AU327">
    <cfRule type="cellIs" dxfId="0" priority="852" operator="lessThan">
      <formula>20</formula>
    </cfRule>
    <cfRule type="cellIs" dxfId="1" priority="461" operator="greaterThan">
      <formula>120</formula>
    </cfRule>
    <cfRule type="containsText" dxfId="2" priority="70" operator="between" text="库存为">
      <formula>NOT(ISERROR(SEARCH("库存为",AU327)))</formula>
    </cfRule>
  </conditionalFormatting>
  <conditionalFormatting sqref="AU328">
    <cfRule type="cellIs" dxfId="0" priority="851" operator="lessThan">
      <formula>20</formula>
    </cfRule>
    <cfRule type="cellIs" dxfId="1" priority="460" operator="greaterThan">
      <formula>120</formula>
    </cfRule>
    <cfRule type="containsText" dxfId="2" priority="69" operator="between" text="库存为">
      <formula>NOT(ISERROR(SEARCH("库存为",AU328)))</formula>
    </cfRule>
  </conditionalFormatting>
  <conditionalFormatting sqref="AU329">
    <cfRule type="cellIs" dxfId="0" priority="850" operator="lessThan">
      <formula>20</formula>
    </cfRule>
    <cfRule type="cellIs" dxfId="1" priority="459" operator="greaterThan">
      <formula>120</formula>
    </cfRule>
    <cfRule type="containsText" dxfId="2" priority="68" operator="between" text="库存为">
      <formula>NOT(ISERROR(SEARCH("库存为",AU329)))</formula>
    </cfRule>
  </conditionalFormatting>
  <conditionalFormatting sqref="AU330">
    <cfRule type="cellIs" dxfId="0" priority="849" operator="lessThan">
      <formula>20</formula>
    </cfRule>
    <cfRule type="cellIs" dxfId="1" priority="458" operator="greaterThan">
      <formula>120</formula>
    </cfRule>
    <cfRule type="containsText" dxfId="2" priority="67" operator="between" text="库存为">
      <formula>NOT(ISERROR(SEARCH("库存为",AU330)))</formula>
    </cfRule>
  </conditionalFormatting>
  <conditionalFormatting sqref="AU331">
    <cfRule type="cellIs" dxfId="0" priority="848" operator="lessThan">
      <formula>20</formula>
    </cfRule>
    <cfRule type="cellIs" dxfId="1" priority="457" operator="greaterThan">
      <formula>120</formula>
    </cfRule>
    <cfRule type="containsText" dxfId="2" priority="66" operator="between" text="库存为">
      <formula>NOT(ISERROR(SEARCH("库存为",AU331)))</formula>
    </cfRule>
  </conditionalFormatting>
  <conditionalFormatting sqref="AU332">
    <cfRule type="cellIs" dxfId="0" priority="847" operator="lessThan">
      <formula>20</formula>
    </cfRule>
    <cfRule type="cellIs" dxfId="1" priority="456" operator="greaterThan">
      <formula>120</formula>
    </cfRule>
    <cfRule type="containsText" dxfId="2" priority="65" operator="between" text="库存为">
      <formula>NOT(ISERROR(SEARCH("库存为",AU332)))</formula>
    </cfRule>
  </conditionalFormatting>
  <conditionalFormatting sqref="AU333">
    <cfRule type="cellIs" dxfId="0" priority="846" operator="lessThan">
      <formula>20</formula>
    </cfRule>
    <cfRule type="cellIs" dxfId="1" priority="455" operator="greaterThan">
      <formula>120</formula>
    </cfRule>
    <cfRule type="containsText" dxfId="2" priority="64" operator="between" text="库存为">
      <formula>NOT(ISERROR(SEARCH("库存为",AU333)))</formula>
    </cfRule>
  </conditionalFormatting>
  <conditionalFormatting sqref="AU334">
    <cfRule type="cellIs" dxfId="0" priority="845" operator="lessThan">
      <formula>20</formula>
    </cfRule>
    <cfRule type="cellIs" dxfId="1" priority="454" operator="greaterThan">
      <formula>120</formula>
    </cfRule>
    <cfRule type="containsText" dxfId="2" priority="63" operator="between" text="库存为">
      <formula>NOT(ISERROR(SEARCH("库存为",AU334)))</formula>
    </cfRule>
  </conditionalFormatting>
  <conditionalFormatting sqref="AU335">
    <cfRule type="cellIs" dxfId="0" priority="844" operator="lessThan">
      <formula>20</formula>
    </cfRule>
    <cfRule type="cellIs" dxfId="1" priority="453" operator="greaterThan">
      <formula>120</formula>
    </cfRule>
    <cfRule type="containsText" dxfId="2" priority="62" operator="between" text="库存为">
      <formula>NOT(ISERROR(SEARCH("库存为",AU335)))</formula>
    </cfRule>
  </conditionalFormatting>
  <conditionalFormatting sqref="AU336">
    <cfRule type="cellIs" dxfId="0" priority="843" operator="lessThan">
      <formula>20</formula>
    </cfRule>
    <cfRule type="cellIs" dxfId="1" priority="452" operator="greaterThan">
      <formula>120</formula>
    </cfRule>
    <cfRule type="containsText" dxfId="2" priority="61" operator="between" text="库存为">
      <formula>NOT(ISERROR(SEARCH("库存为",AU336)))</formula>
    </cfRule>
  </conditionalFormatting>
  <conditionalFormatting sqref="AU337">
    <cfRule type="cellIs" dxfId="0" priority="842" operator="lessThan">
      <formula>20</formula>
    </cfRule>
    <cfRule type="cellIs" dxfId="1" priority="451" operator="greaterThan">
      <formula>120</formula>
    </cfRule>
    <cfRule type="containsText" dxfId="2" priority="60" operator="between" text="库存为">
      <formula>NOT(ISERROR(SEARCH("库存为",AU337)))</formula>
    </cfRule>
  </conditionalFormatting>
  <conditionalFormatting sqref="AU338">
    <cfRule type="cellIs" dxfId="0" priority="841" operator="lessThan">
      <formula>20</formula>
    </cfRule>
    <cfRule type="cellIs" dxfId="1" priority="450" operator="greaterThan">
      <formula>120</formula>
    </cfRule>
    <cfRule type="containsText" dxfId="2" priority="59" operator="between" text="库存为">
      <formula>NOT(ISERROR(SEARCH("库存为",AU338)))</formula>
    </cfRule>
  </conditionalFormatting>
  <conditionalFormatting sqref="AU339">
    <cfRule type="cellIs" dxfId="0" priority="840" operator="lessThan">
      <formula>20</formula>
    </cfRule>
    <cfRule type="cellIs" dxfId="1" priority="449" operator="greaterThan">
      <formula>120</formula>
    </cfRule>
    <cfRule type="containsText" dxfId="2" priority="58" operator="between" text="库存为">
      <formula>NOT(ISERROR(SEARCH("库存为",AU339)))</formula>
    </cfRule>
  </conditionalFormatting>
  <conditionalFormatting sqref="AU340">
    <cfRule type="cellIs" dxfId="0" priority="839" operator="lessThan">
      <formula>20</formula>
    </cfRule>
    <cfRule type="cellIs" dxfId="1" priority="448" operator="greaterThan">
      <formula>120</formula>
    </cfRule>
    <cfRule type="containsText" dxfId="2" priority="57" operator="between" text="库存为">
      <formula>NOT(ISERROR(SEARCH("库存为",AU340)))</formula>
    </cfRule>
  </conditionalFormatting>
  <conditionalFormatting sqref="AU341">
    <cfRule type="cellIs" dxfId="0" priority="838" operator="lessThan">
      <formula>20</formula>
    </cfRule>
    <cfRule type="cellIs" dxfId="1" priority="447" operator="greaterThan">
      <formula>120</formula>
    </cfRule>
    <cfRule type="containsText" dxfId="2" priority="56" operator="between" text="库存为">
      <formula>NOT(ISERROR(SEARCH("库存为",AU341)))</formula>
    </cfRule>
  </conditionalFormatting>
  <conditionalFormatting sqref="AU342">
    <cfRule type="cellIs" dxfId="0" priority="837" operator="lessThan">
      <formula>20</formula>
    </cfRule>
    <cfRule type="cellIs" dxfId="1" priority="446" operator="greaterThan">
      <formula>120</formula>
    </cfRule>
    <cfRule type="containsText" dxfId="2" priority="55" operator="between" text="库存为">
      <formula>NOT(ISERROR(SEARCH("库存为",AU342)))</formula>
    </cfRule>
  </conditionalFormatting>
  <conditionalFormatting sqref="AU343">
    <cfRule type="cellIs" dxfId="0" priority="836" operator="lessThan">
      <formula>20</formula>
    </cfRule>
    <cfRule type="cellIs" dxfId="1" priority="445" operator="greaterThan">
      <formula>120</formula>
    </cfRule>
    <cfRule type="containsText" dxfId="2" priority="54" operator="between" text="库存为">
      <formula>NOT(ISERROR(SEARCH("库存为",AU343)))</formula>
    </cfRule>
  </conditionalFormatting>
  <conditionalFormatting sqref="AU344">
    <cfRule type="cellIs" dxfId="0" priority="835" operator="lessThan">
      <formula>20</formula>
    </cfRule>
    <cfRule type="cellIs" dxfId="1" priority="444" operator="greaterThan">
      <formula>120</formula>
    </cfRule>
    <cfRule type="containsText" dxfId="2" priority="53" operator="between" text="库存为">
      <formula>NOT(ISERROR(SEARCH("库存为",AU344)))</formula>
    </cfRule>
  </conditionalFormatting>
  <conditionalFormatting sqref="AU345">
    <cfRule type="cellIs" dxfId="0" priority="834" operator="lessThan">
      <formula>20</formula>
    </cfRule>
    <cfRule type="cellIs" dxfId="1" priority="443" operator="greaterThan">
      <formula>120</formula>
    </cfRule>
    <cfRule type="containsText" dxfId="2" priority="52" operator="between" text="库存为">
      <formula>NOT(ISERROR(SEARCH("库存为",AU345)))</formula>
    </cfRule>
  </conditionalFormatting>
  <conditionalFormatting sqref="AU346">
    <cfRule type="cellIs" dxfId="0" priority="833" operator="lessThan">
      <formula>20</formula>
    </cfRule>
    <cfRule type="cellIs" dxfId="1" priority="442" operator="greaterThan">
      <formula>120</formula>
    </cfRule>
    <cfRule type="containsText" dxfId="2" priority="51" operator="between" text="库存为">
      <formula>NOT(ISERROR(SEARCH("库存为",AU346)))</formula>
    </cfRule>
  </conditionalFormatting>
  <conditionalFormatting sqref="AU347">
    <cfRule type="cellIs" dxfId="0" priority="832" operator="lessThan">
      <formula>20</formula>
    </cfRule>
    <cfRule type="cellIs" dxfId="1" priority="441" operator="greaterThan">
      <formula>120</formula>
    </cfRule>
    <cfRule type="containsText" dxfId="2" priority="50" operator="between" text="库存为">
      <formula>NOT(ISERROR(SEARCH("库存为",AU347)))</formula>
    </cfRule>
  </conditionalFormatting>
  <conditionalFormatting sqref="AU348">
    <cfRule type="cellIs" dxfId="0" priority="831" operator="lessThan">
      <formula>20</formula>
    </cfRule>
    <cfRule type="cellIs" dxfId="1" priority="440" operator="greaterThan">
      <formula>120</formula>
    </cfRule>
    <cfRule type="containsText" dxfId="2" priority="49" operator="between" text="库存为">
      <formula>NOT(ISERROR(SEARCH("库存为",AU348)))</formula>
    </cfRule>
  </conditionalFormatting>
  <conditionalFormatting sqref="AU349">
    <cfRule type="cellIs" dxfId="0" priority="830" operator="lessThan">
      <formula>20</formula>
    </cfRule>
    <cfRule type="cellIs" dxfId="1" priority="439" operator="greaterThan">
      <formula>120</formula>
    </cfRule>
    <cfRule type="containsText" dxfId="2" priority="48" operator="between" text="库存为">
      <formula>NOT(ISERROR(SEARCH("库存为",AU349)))</formula>
    </cfRule>
  </conditionalFormatting>
  <conditionalFormatting sqref="AU350">
    <cfRule type="cellIs" dxfId="0" priority="829" operator="lessThan">
      <formula>20</formula>
    </cfRule>
    <cfRule type="cellIs" dxfId="1" priority="438" operator="greaterThan">
      <formula>120</formula>
    </cfRule>
    <cfRule type="containsText" dxfId="2" priority="47" operator="between" text="库存为">
      <formula>NOT(ISERROR(SEARCH("库存为",AU350)))</formula>
    </cfRule>
  </conditionalFormatting>
  <conditionalFormatting sqref="AU351">
    <cfRule type="cellIs" dxfId="0" priority="828" operator="lessThan">
      <formula>20</formula>
    </cfRule>
    <cfRule type="cellIs" dxfId="1" priority="437" operator="greaterThan">
      <formula>120</formula>
    </cfRule>
    <cfRule type="containsText" dxfId="2" priority="46" operator="between" text="库存为">
      <formula>NOT(ISERROR(SEARCH("库存为",AU351)))</formula>
    </cfRule>
  </conditionalFormatting>
  <conditionalFormatting sqref="AU352">
    <cfRule type="cellIs" dxfId="0" priority="827" operator="lessThan">
      <formula>20</formula>
    </cfRule>
    <cfRule type="cellIs" dxfId="1" priority="436" operator="greaterThan">
      <formula>120</formula>
    </cfRule>
    <cfRule type="containsText" dxfId="2" priority="45" operator="between" text="库存为">
      <formula>NOT(ISERROR(SEARCH("库存为",AU352)))</formula>
    </cfRule>
  </conditionalFormatting>
  <conditionalFormatting sqref="AU353">
    <cfRule type="cellIs" dxfId="0" priority="826" operator="lessThan">
      <formula>20</formula>
    </cfRule>
    <cfRule type="cellIs" dxfId="1" priority="435" operator="greaterThan">
      <formula>120</formula>
    </cfRule>
    <cfRule type="containsText" dxfId="2" priority="44" operator="between" text="库存为">
      <formula>NOT(ISERROR(SEARCH("库存为",AU353)))</formula>
    </cfRule>
  </conditionalFormatting>
  <conditionalFormatting sqref="AU354">
    <cfRule type="cellIs" dxfId="0" priority="825" operator="lessThan">
      <formula>20</formula>
    </cfRule>
    <cfRule type="cellIs" dxfId="1" priority="434" operator="greaterThan">
      <formula>120</formula>
    </cfRule>
    <cfRule type="containsText" dxfId="2" priority="43" operator="between" text="库存为">
      <formula>NOT(ISERROR(SEARCH("库存为",AU354)))</formula>
    </cfRule>
  </conditionalFormatting>
  <conditionalFormatting sqref="AU355">
    <cfRule type="cellIs" dxfId="0" priority="824" operator="lessThan">
      <formula>20</formula>
    </cfRule>
    <cfRule type="cellIs" dxfId="1" priority="433" operator="greaterThan">
      <formula>120</formula>
    </cfRule>
    <cfRule type="containsText" dxfId="2" priority="42" operator="between" text="库存为">
      <formula>NOT(ISERROR(SEARCH("库存为",AU355)))</formula>
    </cfRule>
  </conditionalFormatting>
  <conditionalFormatting sqref="AU356">
    <cfRule type="cellIs" dxfId="0" priority="823" operator="lessThan">
      <formula>20</formula>
    </cfRule>
    <cfRule type="cellIs" dxfId="1" priority="432" operator="greaterThan">
      <formula>120</formula>
    </cfRule>
    <cfRule type="containsText" dxfId="2" priority="41" operator="between" text="库存为">
      <formula>NOT(ISERROR(SEARCH("库存为",AU356)))</formula>
    </cfRule>
  </conditionalFormatting>
  <conditionalFormatting sqref="AU357">
    <cfRule type="cellIs" dxfId="0" priority="822" operator="lessThan">
      <formula>20</formula>
    </cfRule>
    <cfRule type="cellIs" dxfId="1" priority="431" operator="greaterThan">
      <formula>120</formula>
    </cfRule>
    <cfRule type="containsText" dxfId="2" priority="40" operator="between" text="库存为">
      <formula>NOT(ISERROR(SEARCH("库存为",AU357)))</formula>
    </cfRule>
  </conditionalFormatting>
  <conditionalFormatting sqref="AU358">
    <cfRule type="cellIs" dxfId="0" priority="821" operator="lessThan">
      <formula>20</formula>
    </cfRule>
    <cfRule type="cellIs" dxfId="1" priority="430" operator="greaterThan">
      <formula>120</formula>
    </cfRule>
    <cfRule type="containsText" dxfId="2" priority="39" operator="between" text="库存为">
      <formula>NOT(ISERROR(SEARCH("库存为",AU358)))</formula>
    </cfRule>
  </conditionalFormatting>
  <conditionalFormatting sqref="AU359">
    <cfRule type="cellIs" dxfId="0" priority="820" operator="lessThan">
      <formula>20</formula>
    </cfRule>
    <cfRule type="cellIs" dxfId="1" priority="429" operator="greaterThan">
      <formula>120</formula>
    </cfRule>
    <cfRule type="containsText" dxfId="2" priority="38" operator="between" text="库存为">
      <formula>NOT(ISERROR(SEARCH("库存为",AU359)))</formula>
    </cfRule>
  </conditionalFormatting>
  <conditionalFormatting sqref="AU360">
    <cfRule type="cellIs" dxfId="0" priority="819" operator="lessThan">
      <formula>20</formula>
    </cfRule>
    <cfRule type="cellIs" dxfId="1" priority="428" operator="greaterThan">
      <formula>120</formula>
    </cfRule>
    <cfRule type="containsText" dxfId="2" priority="37" operator="between" text="库存为">
      <formula>NOT(ISERROR(SEARCH("库存为",AU360)))</formula>
    </cfRule>
  </conditionalFormatting>
  <conditionalFormatting sqref="AU361">
    <cfRule type="cellIs" dxfId="0" priority="818" operator="lessThan">
      <formula>20</formula>
    </cfRule>
    <cfRule type="cellIs" dxfId="1" priority="427" operator="greaterThan">
      <formula>120</formula>
    </cfRule>
    <cfRule type="containsText" dxfId="2" priority="36" operator="between" text="库存为">
      <formula>NOT(ISERROR(SEARCH("库存为",AU361)))</formula>
    </cfRule>
  </conditionalFormatting>
  <conditionalFormatting sqref="AU362">
    <cfRule type="cellIs" dxfId="0" priority="817" operator="lessThan">
      <formula>20</formula>
    </cfRule>
    <cfRule type="cellIs" dxfId="1" priority="426" operator="greaterThan">
      <formula>120</formula>
    </cfRule>
    <cfRule type="containsText" dxfId="2" priority="35" operator="between" text="库存为">
      <formula>NOT(ISERROR(SEARCH("库存为",AU362)))</formula>
    </cfRule>
  </conditionalFormatting>
  <conditionalFormatting sqref="AU363">
    <cfRule type="cellIs" dxfId="0" priority="816" operator="lessThan">
      <formula>20</formula>
    </cfRule>
    <cfRule type="cellIs" dxfId="1" priority="425" operator="greaterThan">
      <formula>120</formula>
    </cfRule>
    <cfRule type="containsText" dxfId="2" priority="34" operator="between" text="库存为">
      <formula>NOT(ISERROR(SEARCH("库存为",AU363)))</formula>
    </cfRule>
  </conditionalFormatting>
  <conditionalFormatting sqref="AU364">
    <cfRule type="cellIs" dxfId="0" priority="815" operator="lessThan">
      <formula>20</formula>
    </cfRule>
    <cfRule type="cellIs" dxfId="1" priority="424" operator="greaterThan">
      <formula>120</formula>
    </cfRule>
    <cfRule type="containsText" dxfId="2" priority="33" operator="between" text="库存为">
      <formula>NOT(ISERROR(SEARCH("库存为",AU364)))</formula>
    </cfRule>
  </conditionalFormatting>
  <conditionalFormatting sqref="AU365">
    <cfRule type="cellIs" dxfId="0" priority="814" operator="lessThan">
      <formula>20</formula>
    </cfRule>
    <cfRule type="cellIs" dxfId="1" priority="423" operator="greaterThan">
      <formula>120</formula>
    </cfRule>
    <cfRule type="containsText" dxfId="2" priority="32" operator="between" text="库存为">
      <formula>NOT(ISERROR(SEARCH("库存为",AU365)))</formula>
    </cfRule>
  </conditionalFormatting>
  <conditionalFormatting sqref="AU366">
    <cfRule type="cellIs" dxfId="0" priority="813" operator="lessThan">
      <formula>20</formula>
    </cfRule>
    <cfRule type="cellIs" dxfId="1" priority="422" operator="greaterThan">
      <formula>120</formula>
    </cfRule>
    <cfRule type="containsText" dxfId="2" priority="31" operator="between" text="库存为">
      <formula>NOT(ISERROR(SEARCH("库存为",AU366)))</formula>
    </cfRule>
  </conditionalFormatting>
  <conditionalFormatting sqref="AU367">
    <cfRule type="cellIs" dxfId="0" priority="812" operator="lessThan">
      <formula>20</formula>
    </cfRule>
    <cfRule type="cellIs" dxfId="1" priority="421" operator="greaterThan">
      <formula>120</formula>
    </cfRule>
    <cfRule type="containsText" dxfId="2" priority="30" operator="between" text="库存为">
      <formula>NOT(ISERROR(SEARCH("库存为",AU367)))</formula>
    </cfRule>
  </conditionalFormatting>
  <conditionalFormatting sqref="AU368">
    <cfRule type="cellIs" dxfId="0" priority="811" operator="lessThan">
      <formula>20</formula>
    </cfRule>
    <cfRule type="cellIs" dxfId="1" priority="420" operator="greaterThan">
      <formula>120</formula>
    </cfRule>
    <cfRule type="containsText" dxfId="2" priority="29" operator="between" text="库存为">
      <formula>NOT(ISERROR(SEARCH("库存为",AU368)))</formula>
    </cfRule>
  </conditionalFormatting>
  <conditionalFormatting sqref="AU369">
    <cfRule type="cellIs" dxfId="0" priority="810" operator="lessThan">
      <formula>20</formula>
    </cfRule>
    <cfRule type="cellIs" dxfId="1" priority="419" operator="greaterThan">
      <formula>120</formula>
    </cfRule>
    <cfRule type="containsText" dxfId="2" priority="28" operator="between" text="库存为">
      <formula>NOT(ISERROR(SEARCH("库存为",AU369)))</formula>
    </cfRule>
  </conditionalFormatting>
  <conditionalFormatting sqref="AU370">
    <cfRule type="cellIs" dxfId="0" priority="809" operator="lessThan">
      <formula>20</formula>
    </cfRule>
    <cfRule type="cellIs" dxfId="1" priority="418" operator="greaterThan">
      <formula>120</formula>
    </cfRule>
    <cfRule type="containsText" dxfId="2" priority="27" operator="between" text="库存为">
      <formula>NOT(ISERROR(SEARCH("库存为",AU370)))</formula>
    </cfRule>
  </conditionalFormatting>
  <conditionalFormatting sqref="AU371">
    <cfRule type="cellIs" dxfId="0" priority="808" operator="lessThan">
      <formula>20</formula>
    </cfRule>
    <cfRule type="cellIs" dxfId="1" priority="417" operator="greaterThan">
      <formula>120</formula>
    </cfRule>
    <cfRule type="containsText" dxfId="2" priority="26" operator="between" text="库存为">
      <formula>NOT(ISERROR(SEARCH("库存为",AU371)))</formula>
    </cfRule>
  </conditionalFormatting>
  <conditionalFormatting sqref="AU372">
    <cfRule type="cellIs" dxfId="0" priority="807" operator="lessThan">
      <formula>20</formula>
    </cfRule>
    <cfRule type="cellIs" dxfId="1" priority="416" operator="greaterThan">
      <formula>120</formula>
    </cfRule>
    <cfRule type="containsText" dxfId="2" priority="25" operator="between" text="库存为">
      <formula>NOT(ISERROR(SEARCH("库存为",AU372)))</formula>
    </cfRule>
  </conditionalFormatting>
  <conditionalFormatting sqref="AU373">
    <cfRule type="cellIs" dxfId="0" priority="806" operator="lessThan">
      <formula>20</formula>
    </cfRule>
    <cfRule type="cellIs" dxfId="1" priority="415" operator="greaterThan">
      <formula>120</formula>
    </cfRule>
    <cfRule type="containsText" dxfId="2" priority="24" operator="between" text="库存为">
      <formula>NOT(ISERROR(SEARCH("库存为",AU373)))</formula>
    </cfRule>
  </conditionalFormatting>
  <conditionalFormatting sqref="AU374">
    <cfRule type="cellIs" dxfId="0" priority="805" operator="lessThan">
      <formula>20</formula>
    </cfRule>
    <cfRule type="cellIs" dxfId="1" priority="414" operator="greaterThan">
      <formula>120</formula>
    </cfRule>
    <cfRule type="containsText" dxfId="2" priority="23" operator="between" text="库存为">
      <formula>NOT(ISERROR(SEARCH("库存为",AU374)))</formula>
    </cfRule>
  </conditionalFormatting>
  <conditionalFormatting sqref="AU375">
    <cfRule type="cellIs" dxfId="0" priority="804" operator="lessThan">
      <formula>20</formula>
    </cfRule>
    <cfRule type="cellIs" dxfId="1" priority="413" operator="greaterThan">
      <formula>120</formula>
    </cfRule>
    <cfRule type="containsText" dxfId="2" priority="22" operator="between" text="库存为">
      <formula>NOT(ISERROR(SEARCH("库存为",AU375)))</formula>
    </cfRule>
  </conditionalFormatting>
  <conditionalFormatting sqref="AU376">
    <cfRule type="cellIs" dxfId="0" priority="803" operator="lessThan">
      <formula>20</formula>
    </cfRule>
    <cfRule type="cellIs" dxfId="1" priority="412" operator="greaterThan">
      <formula>120</formula>
    </cfRule>
    <cfRule type="containsText" dxfId="2" priority="21" operator="between" text="库存为">
      <formula>NOT(ISERROR(SEARCH("库存为",AU376)))</formula>
    </cfRule>
  </conditionalFormatting>
  <conditionalFormatting sqref="AU377">
    <cfRule type="cellIs" dxfId="0" priority="802" operator="lessThan">
      <formula>20</formula>
    </cfRule>
    <cfRule type="cellIs" dxfId="1" priority="411" operator="greaterThan">
      <formula>120</formula>
    </cfRule>
    <cfRule type="containsText" dxfId="2" priority="20" operator="between" text="库存为">
      <formula>NOT(ISERROR(SEARCH("库存为",AU377)))</formula>
    </cfRule>
  </conditionalFormatting>
  <conditionalFormatting sqref="AU378">
    <cfRule type="cellIs" dxfId="0" priority="801" operator="lessThan">
      <formula>20</formula>
    </cfRule>
    <cfRule type="cellIs" dxfId="1" priority="410" operator="greaterThan">
      <formula>120</formula>
    </cfRule>
    <cfRule type="containsText" dxfId="2" priority="19" operator="between" text="库存为">
      <formula>NOT(ISERROR(SEARCH("库存为",AU378)))</formula>
    </cfRule>
  </conditionalFormatting>
  <conditionalFormatting sqref="AU379">
    <cfRule type="cellIs" dxfId="0" priority="800" operator="lessThan">
      <formula>20</formula>
    </cfRule>
    <cfRule type="cellIs" dxfId="1" priority="409" operator="greaterThan">
      <formula>120</formula>
    </cfRule>
    <cfRule type="containsText" dxfId="2" priority="18" operator="between" text="库存为">
      <formula>NOT(ISERROR(SEARCH("库存为",AU379)))</formula>
    </cfRule>
  </conditionalFormatting>
  <conditionalFormatting sqref="AU380">
    <cfRule type="cellIs" dxfId="0" priority="799" operator="lessThan">
      <formula>20</formula>
    </cfRule>
    <cfRule type="cellIs" dxfId="1" priority="408" operator="greaterThan">
      <formula>120</formula>
    </cfRule>
    <cfRule type="containsText" dxfId="2" priority="17" operator="between" text="库存为">
      <formula>NOT(ISERROR(SEARCH("库存为",AU380)))</formula>
    </cfRule>
  </conditionalFormatting>
  <conditionalFormatting sqref="AU381">
    <cfRule type="cellIs" dxfId="0" priority="798" operator="lessThan">
      <formula>20</formula>
    </cfRule>
    <cfRule type="cellIs" dxfId="1" priority="407" operator="greaterThan">
      <formula>120</formula>
    </cfRule>
    <cfRule type="containsText" dxfId="2" priority="16" operator="between" text="库存为">
      <formula>NOT(ISERROR(SEARCH("库存为",AU381)))</formula>
    </cfRule>
  </conditionalFormatting>
  <conditionalFormatting sqref="AU382">
    <cfRule type="cellIs" dxfId="0" priority="797" operator="lessThan">
      <formula>20</formula>
    </cfRule>
    <cfRule type="cellIs" dxfId="1" priority="406" operator="greaterThan">
      <formula>120</formula>
    </cfRule>
    <cfRule type="containsText" dxfId="2" priority="15" operator="between" text="库存为">
      <formula>NOT(ISERROR(SEARCH("库存为",AU382)))</formula>
    </cfRule>
  </conditionalFormatting>
  <conditionalFormatting sqref="AU383">
    <cfRule type="cellIs" dxfId="0" priority="796" operator="lessThan">
      <formula>20</formula>
    </cfRule>
    <cfRule type="cellIs" dxfId="1" priority="405" operator="greaterThan">
      <formula>120</formula>
    </cfRule>
    <cfRule type="containsText" dxfId="2" priority="14" operator="between" text="库存为">
      <formula>NOT(ISERROR(SEARCH("库存为",AU383)))</formula>
    </cfRule>
  </conditionalFormatting>
  <conditionalFormatting sqref="AU384">
    <cfRule type="cellIs" dxfId="0" priority="795" operator="lessThan">
      <formula>20</formula>
    </cfRule>
    <cfRule type="cellIs" dxfId="1" priority="404" operator="greaterThan">
      <formula>120</formula>
    </cfRule>
    <cfRule type="containsText" dxfId="2" priority="13" operator="between" text="库存为">
      <formula>NOT(ISERROR(SEARCH("库存为",AU384)))</formula>
    </cfRule>
  </conditionalFormatting>
  <conditionalFormatting sqref="AU385">
    <cfRule type="cellIs" dxfId="0" priority="794" operator="lessThan">
      <formula>20</formula>
    </cfRule>
    <cfRule type="cellIs" dxfId="1" priority="403" operator="greaterThan">
      <formula>120</formula>
    </cfRule>
    <cfRule type="containsText" dxfId="2" priority="12" operator="between" text="库存为">
      <formula>NOT(ISERROR(SEARCH("库存为",AU385)))</formula>
    </cfRule>
  </conditionalFormatting>
  <conditionalFormatting sqref="AU386">
    <cfRule type="cellIs" dxfId="0" priority="793" operator="lessThan">
      <formula>20</formula>
    </cfRule>
    <cfRule type="cellIs" dxfId="1" priority="402" operator="greaterThan">
      <formula>120</formula>
    </cfRule>
    <cfRule type="containsText" dxfId="2" priority="11" operator="between" text="库存为">
      <formula>NOT(ISERROR(SEARCH("库存为",AU386)))</formula>
    </cfRule>
  </conditionalFormatting>
  <conditionalFormatting sqref="AU387">
    <cfRule type="cellIs" dxfId="0" priority="792" operator="lessThan">
      <formula>20</formula>
    </cfRule>
    <cfRule type="cellIs" dxfId="1" priority="401" operator="greaterThan">
      <formula>120</formula>
    </cfRule>
    <cfRule type="containsText" dxfId="2" priority="10" operator="between" text="库存为">
      <formula>NOT(ISERROR(SEARCH("库存为",AU387)))</formula>
    </cfRule>
  </conditionalFormatting>
  <conditionalFormatting sqref="AU388">
    <cfRule type="cellIs" dxfId="0" priority="791" operator="lessThan">
      <formula>20</formula>
    </cfRule>
    <cfRule type="cellIs" dxfId="1" priority="400" operator="greaterThan">
      <formula>120</formula>
    </cfRule>
    <cfRule type="containsText" dxfId="2" priority="9" operator="between" text="库存为">
      <formula>NOT(ISERROR(SEARCH("库存为",AU388)))</formula>
    </cfRule>
  </conditionalFormatting>
  <conditionalFormatting sqref="AU389">
    <cfRule type="cellIs" dxfId="0" priority="790" operator="lessThan">
      <formula>20</formula>
    </cfRule>
    <cfRule type="cellIs" dxfId="1" priority="399" operator="greaterThan">
      <formula>120</formula>
    </cfRule>
    <cfRule type="containsText" dxfId="2" priority="8" operator="between" text="库存为">
      <formula>NOT(ISERROR(SEARCH("库存为",AU389)))</formula>
    </cfRule>
  </conditionalFormatting>
  <conditionalFormatting sqref="AU390">
    <cfRule type="cellIs" dxfId="0" priority="789" operator="lessThan">
      <formula>20</formula>
    </cfRule>
    <cfRule type="cellIs" dxfId="1" priority="398" operator="greaterThan">
      <formula>120</formula>
    </cfRule>
    <cfRule type="containsText" dxfId="2" priority="7" operator="between" text="库存为">
      <formula>NOT(ISERROR(SEARCH("库存为",AU390)))</formula>
    </cfRule>
  </conditionalFormatting>
  <conditionalFormatting sqref="AU391">
    <cfRule type="cellIs" dxfId="0" priority="788" operator="lessThan">
      <formula>20</formula>
    </cfRule>
    <cfRule type="cellIs" dxfId="1" priority="397" operator="greaterThan">
      <formula>120</formula>
    </cfRule>
    <cfRule type="containsText" dxfId="2" priority="6" operator="between" text="库存为">
      <formula>NOT(ISERROR(SEARCH("库存为",AU391)))</formula>
    </cfRule>
  </conditionalFormatting>
  <conditionalFormatting sqref="AU392">
    <cfRule type="cellIs" dxfId="0" priority="787" operator="lessThan">
      <formula>20</formula>
    </cfRule>
    <cfRule type="cellIs" dxfId="1" priority="396" operator="greaterThan">
      <formula>120</formula>
    </cfRule>
    <cfRule type="containsText" dxfId="2" priority="5" operator="between" text="库存为">
      <formula>NOT(ISERROR(SEARCH("库存为",AU392)))</formula>
    </cfRule>
  </conditionalFormatting>
  <conditionalFormatting sqref="AU393">
    <cfRule type="cellIs" dxfId="0" priority="786" operator="lessThan">
      <formula>20</formula>
    </cfRule>
    <cfRule type="cellIs" dxfId="1" priority="395" operator="greaterThan">
      <formula>120</formula>
    </cfRule>
    <cfRule type="containsText" dxfId="2" priority="4" operator="between" text="库存为">
      <formula>NOT(ISERROR(SEARCH("库存为",AU393)))</formula>
    </cfRule>
  </conditionalFormatting>
  <conditionalFormatting sqref="AU394">
    <cfRule type="cellIs" dxfId="0" priority="785" operator="lessThan">
      <formula>20</formula>
    </cfRule>
    <cfRule type="cellIs" dxfId="1" priority="394" operator="greaterThan">
      <formula>120</formula>
    </cfRule>
    <cfRule type="containsText" dxfId="2" priority="3" operator="between" text="库存为">
      <formula>NOT(ISERROR(SEARCH("库存为",AU394)))</formula>
    </cfRule>
  </conditionalFormatting>
  <conditionalFormatting sqref="AU395">
    <cfRule type="cellIs" dxfId="0" priority="784" operator="lessThan">
      <formula>20</formula>
    </cfRule>
    <cfRule type="cellIs" dxfId="1" priority="393" operator="greaterThan">
      <formula>120</formula>
    </cfRule>
    <cfRule type="containsText" dxfId="2" priority="2" operator="between" text="库存为">
      <formula>NOT(ISERROR(SEARCH("库存为",AU395)))</formula>
    </cfRule>
  </conditionalFormatting>
  <conditionalFormatting sqref="AU396">
    <cfRule type="cellIs" dxfId="0" priority="783" operator="lessThan">
      <formula>20</formula>
    </cfRule>
    <cfRule type="cellIs" dxfId="1" priority="392" operator="greaterThan">
      <formula>120</formula>
    </cfRule>
    <cfRule type="containsText" dxfId="2" priority="1" operator="between" text="库存为">
      <formula>NOT(ISERROR(SEARCH("库存为",AU396)))</formula>
    </cfRule>
  </conditionalFormatting>
  <conditionalFormatting sqref="AU397">
    <cfRule type="cellIs" dxfId="0" priority="1958" operator="lessThan">
      <formula>20</formula>
    </cfRule>
    <cfRule type="cellIs" dxfId="1" priority="1566" operator="greaterThan">
      <formula>120</formula>
    </cfRule>
    <cfRule type="containsText" dxfId="2" priority="1174" operator="between" text="库存为">
      <formula>NOT(ISERROR(SEARCH("库存为",AU397)))</formula>
    </cfRule>
  </conditionalFormatting>
  <conditionalFormatting sqref="AU398">
    <cfRule type="cellIs" dxfId="0" priority="3139" operator="lessThan">
      <formula>20</formula>
    </cfRule>
    <cfRule type="cellIs" dxfId="1" priority="2745" operator="greaterThan">
      <formula>120</formula>
    </cfRule>
    <cfRule type="containsText" dxfId="2" priority="2351" operator="between" text="库存为">
      <formula>NOT(ISERROR(SEARCH("库存为",AU398)))</formula>
    </cfRule>
  </conditionalFormatting>
  <conditionalFormatting sqref="AU399">
    <cfRule type="cellIs" dxfId="0" priority="3138" operator="lessThan">
      <formula>20</formula>
    </cfRule>
    <cfRule type="cellIs" dxfId="1" priority="2744" operator="greaterThan">
      <formula>120</formula>
    </cfRule>
    <cfRule type="containsText" dxfId="2" priority="2350" operator="between" text="库存为">
      <formula>NOT(ISERROR(SEARCH("库存为",AU399)))</formula>
    </cfRule>
  </conditionalFormatting>
  <conditionalFormatting sqref="AU400">
    <cfRule type="cellIs" dxfId="0" priority="6683" operator="lessThan">
      <formula>20</formula>
    </cfRule>
    <cfRule type="cellIs" dxfId="1" priority="6287" operator="greaterThan">
      <formula>120</formula>
    </cfRule>
    <cfRule type="containsText" dxfId="2" priority="5891" operator="between" text="库存为">
      <formula>NOT(ISERROR(SEARCH("库存为",AU400)))</formula>
    </cfRule>
  </conditionalFormatting>
  <conditionalFormatting sqref="AU401">
    <cfRule type="cellIs" dxfId="0" priority="6682" operator="lessThan">
      <formula>20</formula>
    </cfRule>
    <cfRule type="cellIs" dxfId="1" priority="6286" operator="greaterThan">
      <formula>120</formula>
    </cfRule>
    <cfRule type="containsText" dxfId="2" priority="5890" operator="between" text="库存为">
      <formula>NOT(ISERROR(SEARCH("库存为",AU401)))</formula>
    </cfRule>
  </conditionalFormatting>
  <conditionalFormatting sqref="AU402">
    <cfRule type="cellIs" dxfId="0" priority="7872" operator="lessThan">
      <formula>20</formula>
    </cfRule>
    <cfRule type="cellIs" dxfId="1" priority="7475" operator="greaterThan">
      <formula>120</formula>
    </cfRule>
    <cfRule type="containsText" dxfId="2" priority="7078" operator="between" text="库存为">
      <formula>NOT(ISERROR(SEARCH("库存为",AU402)))</formula>
    </cfRule>
  </conditionalFormatting>
  <conditionalFormatting sqref="AU403">
    <cfRule type="cellIs" dxfId="0" priority="11597" operator="lessThan">
      <formula>20</formula>
    </cfRule>
    <cfRule type="cellIs" dxfId="1" priority="10752" operator="greaterThan">
      <formula>120</formula>
    </cfRule>
    <cfRule type="containsText" dxfId="2" priority="9907" operator="between" text="库存为">
      <formula>NOT(ISERROR(SEARCH("库存为",AU403)))</formula>
    </cfRule>
  </conditionalFormatting>
  <conditionalFormatting sqref="AU404">
    <cfRule type="cellIs" dxfId="0" priority="11596" operator="lessThan">
      <formula>20</formula>
    </cfRule>
    <cfRule type="cellIs" dxfId="1" priority="10751" operator="greaterThan">
      <formula>120</formula>
    </cfRule>
    <cfRule type="containsText" dxfId="2" priority="9906" operator="between" text="库存为">
      <formula>NOT(ISERROR(SEARCH("库存为",AU404)))</formula>
    </cfRule>
  </conditionalFormatting>
  <conditionalFormatting sqref="AU405">
    <cfRule type="cellIs" dxfId="0" priority="11595" operator="lessThan">
      <formula>20</formula>
    </cfRule>
    <cfRule type="cellIs" dxfId="1" priority="10750" operator="greaterThan">
      <formula>120</formula>
    </cfRule>
    <cfRule type="containsText" dxfId="2" priority="9905" operator="between" text="库存为">
      <formula>NOT(ISERROR(SEARCH("库存为",AU405)))</formula>
    </cfRule>
  </conditionalFormatting>
  <conditionalFormatting sqref="AU406">
    <cfRule type="cellIs" dxfId="0" priority="11594" operator="lessThan">
      <formula>20</formula>
    </cfRule>
    <cfRule type="cellIs" dxfId="1" priority="10749" operator="greaterThan">
      <formula>120</formula>
    </cfRule>
    <cfRule type="containsText" dxfId="2" priority="9904" operator="between" text="库存为">
      <formula>NOT(ISERROR(SEARCH("库存为",AU406)))</formula>
    </cfRule>
  </conditionalFormatting>
  <conditionalFormatting sqref="AU407">
    <cfRule type="cellIs" dxfId="0" priority="11593" operator="lessThan">
      <formula>20</formula>
    </cfRule>
    <cfRule type="cellIs" dxfId="1" priority="10748" operator="greaterThan">
      <formula>120</formula>
    </cfRule>
    <cfRule type="containsText" dxfId="2" priority="9903" operator="between" text="库存为">
      <formula>NOT(ISERROR(SEARCH("库存为",AU407)))</formula>
    </cfRule>
  </conditionalFormatting>
  <conditionalFormatting sqref="AU408">
    <cfRule type="cellIs" dxfId="0" priority="11592" operator="lessThan">
      <formula>20</formula>
    </cfRule>
    <cfRule type="cellIs" dxfId="1" priority="10747" operator="greaterThan">
      <formula>120</formula>
    </cfRule>
    <cfRule type="containsText" dxfId="2" priority="9902" operator="between" text="库存为">
      <formula>NOT(ISERROR(SEARCH("库存为",AU408)))</formula>
    </cfRule>
  </conditionalFormatting>
  <conditionalFormatting sqref="AU409">
    <cfRule type="cellIs" dxfId="0" priority="11591" operator="lessThan">
      <formula>20</formula>
    </cfRule>
    <cfRule type="cellIs" dxfId="1" priority="10746" operator="greaterThan">
      <formula>120</formula>
    </cfRule>
    <cfRule type="containsText" dxfId="2" priority="9901" operator="between" text="库存为">
      <formula>NOT(ISERROR(SEARCH("库存为",AU409)))</formula>
    </cfRule>
  </conditionalFormatting>
  <conditionalFormatting sqref="AU410">
    <cfRule type="cellIs" dxfId="0" priority="11590" operator="lessThan">
      <formula>20</formula>
    </cfRule>
    <cfRule type="cellIs" dxfId="1" priority="10745" operator="greaterThan">
      <formula>120</formula>
    </cfRule>
    <cfRule type="containsText" dxfId="2" priority="9900" operator="between" text="库存为">
      <formula>NOT(ISERROR(SEARCH("库存为",AU410)))</formula>
    </cfRule>
  </conditionalFormatting>
  <conditionalFormatting sqref="AU411">
    <cfRule type="cellIs" dxfId="0" priority="11589" operator="lessThan">
      <formula>20</formula>
    </cfRule>
    <cfRule type="cellIs" dxfId="1" priority="10744" operator="greaterThan">
      <formula>120</formula>
    </cfRule>
    <cfRule type="containsText" dxfId="2" priority="9899" operator="between" text="库存为">
      <formula>NOT(ISERROR(SEARCH("库存为",AU411)))</formula>
    </cfRule>
  </conditionalFormatting>
  <conditionalFormatting sqref="AU412">
    <cfRule type="cellIs" dxfId="0" priority="11588" operator="lessThan">
      <formula>20</formula>
    </cfRule>
    <cfRule type="cellIs" dxfId="1" priority="10743" operator="greaterThan">
      <formula>120</formula>
    </cfRule>
    <cfRule type="containsText" dxfId="2" priority="9898" operator="between" text="库存为">
      <formula>NOT(ISERROR(SEARCH("库存为",AU412)))</formula>
    </cfRule>
  </conditionalFormatting>
  <conditionalFormatting sqref="AU413">
    <cfRule type="cellIs" dxfId="0" priority="11587" operator="lessThan">
      <formula>20</formula>
    </cfRule>
    <cfRule type="cellIs" dxfId="1" priority="10742" operator="greaterThan">
      <formula>120</formula>
    </cfRule>
    <cfRule type="containsText" dxfId="2" priority="9897" operator="between" text="库存为">
      <formula>NOT(ISERROR(SEARCH("库存为",AU413)))</formula>
    </cfRule>
  </conditionalFormatting>
  <conditionalFormatting sqref="AU414">
    <cfRule type="cellIs" dxfId="0" priority="11586" operator="lessThan">
      <formula>20</formula>
    </cfRule>
    <cfRule type="cellIs" dxfId="1" priority="10741" operator="greaterThan">
      <formula>120</formula>
    </cfRule>
    <cfRule type="containsText" dxfId="2" priority="9896" operator="between" text="库存为">
      <formula>NOT(ISERROR(SEARCH("库存为",AU414)))</formula>
    </cfRule>
  </conditionalFormatting>
  <conditionalFormatting sqref="AU415">
    <cfRule type="cellIs" dxfId="0" priority="11585" operator="lessThan">
      <formula>20</formula>
    </cfRule>
    <cfRule type="cellIs" dxfId="1" priority="10740" operator="greaterThan">
      <formula>120</formula>
    </cfRule>
    <cfRule type="containsText" dxfId="2" priority="9895" operator="between" text="库存为">
      <formula>NOT(ISERROR(SEARCH("库存为",AU415)))</formula>
    </cfRule>
  </conditionalFormatting>
  <conditionalFormatting sqref="AU416">
    <cfRule type="cellIs" dxfId="0" priority="11584" operator="lessThan">
      <formula>20</formula>
    </cfRule>
    <cfRule type="cellIs" dxfId="1" priority="10739" operator="greaterThan">
      <formula>120</formula>
    </cfRule>
    <cfRule type="containsText" dxfId="2" priority="9894" operator="between" text="库存为">
      <formula>NOT(ISERROR(SEARCH("库存为",AU416)))</formula>
    </cfRule>
  </conditionalFormatting>
  <conditionalFormatting sqref="AU417">
    <cfRule type="cellIs" dxfId="0" priority="11583" operator="lessThan">
      <formula>20</formula>
    </cfRule>
    <cfRule type="cellIs" dxfId="1" priority="10738" operator="greaterThan">
      <formula>120</formula>
    </cfRule>
    <cfRule type="containsText" dxfId="2" priority="9893" operator="between" text="库存为">
      <formula>NOT(ISERROR(SEARCH("库存为",AU417)))</formula>
    </cfRule>
  </conditionalFormatting>
  <conditionalFormatting sqref="AU418">
    <cfRule type="cellIs" dxfId="0" priority="11582" operator="lessThan">
      <formula>20</formula>
    </cfRule>
    <cfRule type="cellIs" dxfId="1" priority="10737" operator="greaterThan">
      <formula>120</formula>
    </cfRule>
    <cfRule type="containsText" dxfId="2" priority="9892" operator="between" text="库存为">
      <formula>NOT(ISERROR(SEARCH("库存为",AU418)))</formula>
    </cfRule>
  </conditionalFormatting>
  <conditionalFormatting sqref="AU419">
    <cfRule type="cellIs" dxfId="0" priority="11581" operator="lessThan">
      <formula>20</formula>
    </cfRule>
    <cfRule type="cellIs" dxfId="1" priority="10736" operator="greaterThan">
      <formula>120</formula>
    </cfRule>
    <cfRule type="containsText" dxfId="2" priority="9891" operator="between" text="库存为">
      <formula>NOT(ISERROR(SEARCH("库存为",AU419)))</formula>
    </cfRule>
  </conditionalFormatting>
  <conditionalFormatting sqref="AU420">
    <cfRule type="cellIs" dxfId="0" priority="11580" operator="lessThan">
      <formula>20</formula>
    </cfRule>
    <cfRule type="cellIs" dxfId="1" priority="10735" operator="greaterThan">
      <formula>120</formula>
    </cfRule>
    <cfRule type="containsText" dxfId="2" priority="9890" operator="between" text="库存为">
      <formula>NOT(ISERROR(SEARCH("库存为",AU420)))</formula>
    </cfRule>
  </conditionalFormatting>
  <conditionalFormatting sqref="AU421">
    <cfRule type="cellIs" dxfId="0" priority="11579" operator="lessThan">
      <formula>20</formula>
    </cfRule>
    <cfRule type="cellIs" dxfId="1" priority="10734" operator="greaterThan">
      <formula>120</formula>
    </cfRule>
    <cfRule type="containsText" dxfId="2" priority="9889" operator="between" text="库存为">
      <formula>NOT(ISERROR(SEARCH("库存为",AU421)))</formula>
    </cfRule>
  </conditionalFormatting>
  <conditionalFormatting sqref="AU422">
    <cfRule type="cellIs" dxfId="0" priority="11578" operator="lessThan">
      <formula>20</formula>
    </cfRule>
    <cfRule type="cellIs" dxfId="1" priority="10733" operator="greaterThan">
      <formula>120</formula>
    </cfRule>
    <cfRule type="containsText" dxfId="2" priority="9888" operator="between" text="库存为">
      <formula>NOT(ISERROR(SEARCH("库存为",AU422)))</formula>
    </cfRule>
  </conditionalFormatting>
  <conditionalFormatting sqref="AU423">
    <cfRule type="cellIs" dxfId="0" priority="11577" operator="lessThan">
      <formula>20</formula>
    </cfRule>
    <cfRule type="cellIs" dxfId="1" priority="10732" operator="greaterThan">
      <formula>120</formula>
    </cfRule>
    <cfRule type="containsText" dxfId="2" priority="9887" operator="between" text="库存为">
      <formula>NOT(ISERROR(SEARCH("库存为",AU423)))</formula>
    </cfRule>
  </conditionalFormatting>
  <conditionalFormatting sqref="AU424">
    <cfRule type="cellIs" dxfId="0" priority="11576" operator="lessThan">
      <formula>20</formula>
    </cfRule>
    <cfRule type="cellIs" dxfId="1" priority="10731" operator="greaterThan">
      <formula>120</formula>
    </cfRule>
    <cfRule type="containsText" dxfId="2" priority="9886" operator="between" text="库存为">
      <formula>NOT(ISERROR(SEARCH("库存为",AU424)))</formula>
    </cfRule>
  </conditionalFormatting>
  <conditionalFormatting sqref="AU425">
    <cfRule type="cellIs" dxfId="0" priority="11575" operator="lessThan">
      <formula>20</formula>
    </cfRule>
    <cfRule type="cellIs" dxfId="1" priority="10730" operator="greaterThan">
      <formula>120</formula>
    </cfRule>
    <cfRule type="containsText" dxfId="2" priority="9885" operator="between" text="库存为">
      <formula>NOT(ISERROR(SEARCH("库存为",AU425)))</formula>
    </cfRule>
  </conditionalFormatting>
  <conditionalFormatting sqref="AU426">
    <cfRule type="cellIs" dxfId="0" priority="11574" operator="lessThan">
      <formula>20</formula>
    </cfRule>
    <cfRule type="cellIs" dxfId="1" priority="10729" operator="greaterThan">
      <formula>120</formula>
    </cfRule>
    <cfRule type="containsText" dxfId="2" priority="9884" operator="between" text="库存为">
      <formula>NOT(ISERROR(SEARCH("库存为",AU426)))</formula>
    </cfRule>
  </conditionalFormatting>
  <conditionalFormatting sqref="AU427">
    <cfRule type="cellIs" dxfId="0" priority="11573" operator="lessThan">
      <formula>20</formula>
    </cfRule>
    <cfRule type="cellIs" dxfId="1" priority="10728" operator="greaterThan">
      <formula>120</formula>
    </cfRule>
    <cfRule type="containsText" dxfId="2" priority="9883" operator="between" text="库存为">
      <formula>NOT(ISERROR(SEARCH("库存为",AU427)))</formula>
    </cfRule>
  </conditionalFormatting>
  <conditionalFormatting sqref="AU428">
    <cfRule type="cellIs" dxfId="0" priority="11572" operator="lessThan">
      <formula>20</formula>
    </cfRule>
    <cfRule type="cellIs" dxfId="1" priority="10727" operator="greaterThan">
      <formula>120</formula>
    </cfRule>
    <cfRule type="containsText" dxfId="2" priority="9882" operator="between" text="库存为">
      <formula>NOT(ISERROR(SEARCH("库存为",AU428)))</formula>
    </cfRule>
  </conditionalFormatting>
  <conditionalFormatting sqref="AU429">
    <cfRule type="cellIs" dxfId="0" priority="11571" operator="lessThan">
      <formula>20</formula>
    </cfRule>
    <cfRule type="cellIs" dxfId="1" priority="10726" operator="greaterThan">
      <formula>120</formula>
    </cfRule>
    <cfRule type="containsText" dxfId="2" priority="9881" operator="between" text="库存为">
      <formula>NOT(ISERROR(SEARCH("库存为",AU429)))</formula>
    </cfRule>
  </conditionalFormatting>
  <conditionalFormatting sqref="AU430">
    <cfRule type="cellIs" dxfId="0" priority="11570" operator="lessThan">
      <formula>20</formula>
    </cfRule>
    <cfRule type="cellIs" dxfId="1" priority="10725" operator="greaterThan">
      <formula>120</formula>
    </cfRule>
    <cfRule type="containsText" dxfId="2" priority="9880" operator="between" text="库存为">
      <formula>NOT(ISERROR(SEARCH("库存为",AU430)))</formula>
    </cfRule>
  </conditionalFormatting>
  <conditionalFormatting sqref="AU431">
    <cfRule type="cellIs" dxfId="0" priority="11569" operator="lessThan">
      <formula>20</formula>
    </cfRule>
    <cfRule type="cellIs" dxfId="1" priority="10724" operator="greaterThan">
      <formula>120</formula>
    </cfRule>
    <cfRule type="containsText" dxfId="2" priority="9879" operator="between" text="库存为">
      <formula>NOT(ISERROR(SEARCH("库存为",AU431)))</formula>
    </cfRule>
  </conditionalFormatting>
  <conditionalFormatting sqref="AU432">
    <cfRule type="cellIs" dxfId="0" priority="11568" operator="lessThan">
      <formula>20</formula>
    </cfRule>
    <cfRule type="cellIs" dxfId="1" priority="10723" operator="greaterThan">
      <formula>120</formula>
    </cfRule>
    <cfRule type="containsText" dxfId="2" priority="9878" operator="between" text="库存为">
      <formula>NOT(ISERROR(SEARCH("库存为",AU432)))</formula>
    </cfRule>
  </conditionalFormatting>
  <conditionalFormatting sqref="AU433">
    <cfRule type="cellIs" dxfId="0" priority="11567" operator="lessThan">
      <formula>20</formula>
    </cfRule>
    <cfRule type="cellIs" dxfId="1" priority="10722" operator="greaterThan">
      <formula>120</formula>
    </cfRule>
    <cfRule type="containsText" dxfId="2" priority="9877" operator="between" text="库存为">
      <formula>NOT(ISERROR(SEARCH("库存为",AU433)))</formula>
    </cfRule>
  </conditionalFormatting>
  <conditionalFormatting sqref="AU434">
    <cfRule type="cellIs" dxfId="0" priority="11566" operator="lessThan">
      <formula>20</formula>
    </cfRule>
    <cfRule type="cellIs" dxfId="1" priority="10721" operator="greaterThan">
      <formula>120</formula>
    </cfRule>
    <cfRule type="containsText" dxfId="2" priority="9876" operator="between" text="库存为">
      <formula>NOT(ISERROR(SEARCH("库存为",AU434)))</formula>
    </cfRule>
  </conditionalFormatting>
  <conditionalFormatting sqref="AU435">
    <cfRule type="cellIs" dxfId="0" priority="11565" operator="lessThan">
      <formula>20</formula>
    </cfRule>
    <cfRule type="cellIs" dxfId="1" priority="10720" operator="greaterThan">
      <formula>120</formula>
    </cfRule>
    <cfRule type="containsText" dxfId="2" priority="9875" operator="between" text="库存为">
      <formula>NOT(ISERROR(SEARCH("库存为",AU435)))</formula>
    </cfRule>
  </conditionalFormatting>
  <conditionalFormatting sqref="AU436">
    <cfRule type="cellIs" dxfId="0" priority="11564" operator="lessThan">
      <formula>20</formula>
    </cfRule>
    <cfRule type="cellIs" dxfId="1" priority="10719" operator="greaterThan">
      <formula>120</formula>
    </cfRule>
    <cfRule type="containsText" dxfId="2" priority="9874" operator="between" text="库存为">
      <formula>NOT(ISERROR(SEARCH("库存为",AU436)))</formula>
    </cfRule>
  </conditionalFormatting>
  <conditionalFormatting sqref="AU437">
    <cfRule type="cellIs" dxfId="0" priority="11563" operator="lessThan">
      <formula>20</formula>
    </cfRule>
    <cfRule type="cellIs" dxfId="1" priority="10718" operator="greaterThan">
      <formula>120</formula>
    </cfRule>
    <cfRule type="containsText" dxfId="2" priority="9873" operator="between" text="库存为">
      <formula>NOT(ISERROR(SEARCH("库存为",AU437)))</formula>
    </cfRule>
  </conditionalFormatting>
  <conditionalFormatting sqref="AU438">
    <cfRule type="cellIs" dxfId="0" priority="11562" operator="lessThan">
      <formula>20</formula>
    </cfRule>
    <cfRule type="cellIs" dxfId="1" priority="10717" operator="greaterThan">
      <formula>120</formula>
    </cfRule>
    <cfRule type="containsText" dxfId="2" priority="9872" operator="between" text="库存为">
      <formula>NOT(ISERROR(SEARCH("库存为",AU438)))</formula>
    </cfRule>
  </conditionalFormatting>
  <conditionalFormatting sqref="AU439">
    <cfRule type="cellIs" dxfId="0" priority="11561" operator="lessThan">
      <formula>20</formula>
    </cfRule>
    <cfRule type="cellIs" dxfId="1" priority="10716" operator="greaterThan">
      <formula>120</formula>
    </cfRule>
    <cfRule type="containsText" dxfId="2" priority="9871" operator="between" text="库存为">
      <formula>NOT(ISERROR(SEARCH("库存为",AU439)))</formula>
    </cfRule>
  </conditionalFormatting>
  <conditionalFormatting sqref="AU440">
    <cfRule type="cellIs" dxfId="0" priority="11560" operator="lessThan">
      <formula>20</formula>
    </cfRule>
    <cfRule type="cellIs" dxfId="1" priority="10715" operator="greaterThan">
      <formula>120</formula>
    </cfRule>
    <cfRule type="containsText" dxfId="2" priority="9870" operator="between" text="库存为">
      <formula>NOT(ISERROR(SEARCH("库存为",AU440)))</formula>
    </cfRule>
  </conditionalFormatting>
  <conditionalFormatting sqref="AU441">
    <cfRule type="cellIs" dxfId="0" priority="11559" operator="lessThan">
      <formula>20</formula>
    </cfRule>
    <cfRule type="cellIs" dxfId="1" priority="10714" operator="greaterThan">
      <formula>120</formula>
    </cfRule>
    <cfRule type="containsText" dxfId="2" priority="9869" operator="between" text="库存为">
      <formula>NOT(ISERROR(SEARCH("库存为",AU441)))</formula>
    </cfRule>
  </conditionalFormatting>
  <conditionalFormatting sqref="AU442">
    <cfRule type="cellIs" dxfId="0" priority="11558" operator="lessThan">
      <formula>20</formula>
    </cfRule>
    <cfRule type="cellIs" dxfId="1" priority="10713" operator="greaterThan">
      <formula>120</formula>
    </cfRule>
    <cfRule type="containsText" dxfId="2" priority="9868" operator="between" text="库存为">
      <formula>NOT(ISERROR(SEARCH("库存为",AU442)))</formula>
    </cfRule>
  </conditionalFormatting>
  <conditionalFormatting sqref="AU443">
    <cfRule type="cellIs" dxfId="0" priority="11557" operator="lessThan">
      <formula>20</formula>
    </cfRule>
    <cfRule type="cellIs" dxfId="1" priority="10712" operator="greaterThan">
      <formula>120</formula>
    </cfRule>
    <cfRule type="containsText" dxfId="2" priority="9867" operator="between" text="库存为">
      <formula>NOT(ISERROR(SEARCH("库存为",AU443)))</formula>
    </cfRule>
  </conditionalFormatting>
  <conditionalFormatting sqref="AU444">
    <cfRule type="cellIs" dxfId="0" priority="11556" operator="lessThan">
      <formula>20</formula>
    </cfRule>
    <cfRule type="cellIs" dxfId="1" priority="10711" operator="greaterThan">
      <formula>120</formula>
    </cfRule>
    <cfRule type="containsText" dxfId="2" priority="9866" operator="between" text="库存为">
      <formula>NOT(ISERROR(SEARCH("库存为",AU444)))</formula>
    </cfRule>
  </conditionalFormatting>
  <conditionalFormatting sqref="AU445">
    <cfRule type="cellIs" dxfId="0" priority="11555" operator="lessThan">
      <formula>20</formula>
    </cfRule>
    <cfRule type="cellIs" dxfId="1" priority="10710" operator="greaterThan">
      <formula>120</formula>
    </cfRule>
    <cfRule type="containsText" dxfId="2" priority="9865" operator="between" text="库存为">
      <formula>NOT(ISERROR(SEARCH("库存为",AU445)))</formula>
    </cfRule>
  </conditionalFormatting>
  <conditionalFormatting sqref="AU446">
    <cfRule type="cellIs" dxfId="0" priority="11554" operator="lessThan">
      <formula>20</formula>
    </cfRule>
    <cfRule type="cellIs" dxfId="1" priority="10709" operator="greaterThan">
      <formula>120</formula>
    </cfRule>
    <cfRule type="containsText" dxfId="2" priority="9864" operator="between" text="库存为">
      <formula>NOT(ISERROR(SEARCH("库存为",AU446)))</formula>
    </cfRule>
  </conditionalFormatting>
  <conditionalFormatting sqref="AU447">
    <cfRule type="cellIs" dxfId="0" priority="11553" operator="lessThan">
      <formula>20</formula>
    </cfRule>
    <cfRule type="cellIs" dxfId="1" priority="10708" operator="greaterThan">
      <formula>120</formula>
    </cfRule>
    <cfRule type="containsText" dxfId="2" priority="9863" operator="between" text="库存为">
      <formula>NOT(ISERROR(SEARCH("库存为",AU447)))</formula>
    </cfRule>
  </conditionalFormatting>
  <conditionalFormatting sqref="AU448">
    <cfRule type="cellIs" dxfId="0" priority="11552" operator="lessThan">
      <formula>20</formula>
    </cfRule>
    <cfRule type="cellIs" dxfId="1" priority="10707" operator="greaterThan">
      <formula>120</formula>
    </cfRule>
    <cfRule type="containsText" dxfId="2" priority="9862" operator="between" text="库存为">
      <formula>NOT(ISERROR(SEARCH("库存为",AU448)))</formula>
    </cfRule>
  </conditionalFormatting>
  <conditionalFormatting sqref="AU449">
    <cfRule type="cellIs" dxfId="0" priority="11551" operator="lessThan">
      <formula>20</formula>
    </cfRule>
    <cfRule type="cellIs" dxfId="1" priority="10706" operator="greaterThan">
      <formula>120</formula>
    </cfRule>
    <cfRule type="containsText" dxfId="2" priority="9861" operator="between" text="库存为">
      <formula>NOT(ISERROR(SEARCH("库存为",AU449)))</formula>
    </cfRule>
  </conditionalFormatting>
  <conditionalFormatting sqref="AU450">
    <cfRule type="cellIs" dxfId="0" priority="11550" operator="lessThan">
      <formula>20</formula>
    </cfRule>
    <cfRule type="cellIs" dxfId="1" priority="10705" operator="greaterThan">
      <formula>120</formula>
    </cfRule>
    <cfRule type="containsText" dxfId="2" priority="9860" operator="between" text="库存为">
      <formula>NOT(ISERROR(SEARCH("库存为",AU450)))</formula>
    </cfRule>
  </conditionalFormatting>
  <conditionalFormatting sqref="AU451">
    <cfRule type="cellIs" dxfId="0" priority="11549" operator="lessThan">
      <formula>20</formula>
    </cfRule>
    <cfRule type="cellIs" dxfId="1" priority="10704" operator="greaterThan">
      <formula>120</formula>
    </cfRule>
    <cfRule type="containsText" dxfId="2" priority="9859" operator="between" text="库存为">
      <formula>NOT(ISERROR(SEARCH("库存为",AU451)))</formula>
    </cfRule>
  </conditionalFormatting>
  <conditionalFormatting sqref="AU452">
    <cfRule type="cellIs" dxfId="0" priority="11548" operator="lessThan">
      <formula>20</formula>
    </cfRule>
    <cfRule type="cellIs" dxfId="1" priority="10703" operator="greaterThan">
      <formula>120</formula>
    </cfRule>
    <cfRule type="containsText" dxfId="2" priority="9858" operator="between" text="库存为">
      <formula>NOT(ISERROR(SEARCH("库存为",AU452)))</formula>
    </cfRule>
  </conditionalFormatting>
  <conditionalFormatting sqref="AU453">
    <cfRule type="cellIs" dxfId="0" priority="11547" operator="lessThan">
      <formula>20</formula>
    </cfRule>
    <cfRule type="cellIs" dxfId="1" priority="10702" operator="greaterThan">
      <formula>120</formula>
    </cfRule>
    <cfRule type="containsText" dxfId="2" priority="9857" operator="between" text="库存为">
      <formula>NOT(ISERROR(SEARCH("库存为",AU453)))</formula>
    </cfRule>
  </conditionalFormatting>
  <conditionalFormatting sqref="AU454">
    <cfRule type="cellIs" dxfId="0" priority="11546" operator="lessThan">
      <formula>20</formula>
    </cfRule>
    <cfRule type="cellIs" dxfId="1" priority="10701" operator="greaterThan">
      <formula>120</formula>
    </cfRule>
    <cfRule type="containsText" dxfId="2" priority="9856" operator="between" text="库存为">
      <formula>NOT(ISERROR(SEARCH("库存为",AU454)))</formula>
    </cfRule>
  </conditionalFormatting>
  <conditionalFormatting sqref="AU455">
    <cfRule type="cellIs" dxfId="0" priority="11545" operator="lessThan">
      <formula>20</formula>
    </cfRule>
    <cfRule type="cellIs" dxfId="1" priority="10700" operator="greaterThan">
      <formula>120</formula>
    </cfRule>
    <cfRule type="containsText" dxfId="2" priority="9855" operator="between" text="库存为">
      <formula>NOT(ISERROR(SEARCH("库存为",AU455)))</formula>
    </cfRule>
  </conditionalFormatting>
  <conditionalFormatting sqref="AU456">
    <cfRule type="cellIs" dxfId="0" priority="11544" operator="lessThan">
      <formula>20</formula>
    </cfRule>
    <cfRule type="cellIs" dxfId="1" priority="10699" operator="greaterThan">
      <formula>120</formula>
    </cfRule>
    <cfRule type="containsText" dxfId="2" priority="9854" operator="between" text="库存为">
      <formula>NOT(ISERROR(SEARCH("库存为",AU456)))</formula>
    </cfRule>
  </conditionalFormatting>
  <conditionalFormatting sqref="AU457">
    <cfRule type="cellIs" dxfId="0" priority="11543" operator="lessThan">
      <formula>20</formula>
    </cfRule>
    <cfRule type="cellIs" dxfId="1" priority="10698" operator="greaterThan">
      <formula>120</formula>
    </cfRule>
    <cfRule type="containsText" dxfId="2" priority="9853" operator="between" text="库存为">
      <formula>NOT(ISERROR(SEARCH("库存为",AU457)))</formula>
    </cfRule>
  </conditionalFormatting>
  <conditionalFormatting sqref="AU458">
    <cfRule type="cellIs" dxfId="0" priority="11542" operator="lessThan">
      <formula>20</formula>
    </cfRule>
    <cfRule type="cellIs" dxfId="1" priority="10697" operator="greaterThan">
      <formula>120</formula>
    </cfRule>
    <cfRule type="containsText" dxfId="2" priority="9852" operator="between" text="库存为">
      <formula>NOT(ISERROR(SEARCH("库存为",AU458)))</formula>
    </cfRule>
  </conditionalFormatting>
  <conditionalFormatting sqref="AU459">
    <cfRule type="cellIs" dxfId="0" priority="11541" operator="lessThan">
      <formula>20</formula>
    </cfRule>
    <cfRule type="cellIs" dxfId="1" priority="10696" operator="greaterThan">
      <formula>120</formula>
    </cfRule>
    <cfRule type="containsText" dxfId="2" priority="9851" operator="between" text="库存为">
      <formula>NOT(ISERROR(SEARCH("库存为",AU459)))</formula>
    </cfRule>
  </conditionalFormatting>
  <conditionalFormatting sqref="AU460">
    <cfRule type="cellIs" dxfId="0" priority="11540" operator="lessThan">
      <formula>20</formula>
    </cfRule>
    <cfRule type="cellIs" dxfId="1" priority="10695" operator="greaterThan">
      <formula>120</formula>
    </cfRule>
    <cfRule type="containsText" dxfId="2" priority="9850" operator="between" text="库存为">
      <formula>NOT(ISERROR(SEARCH("库存为",AU460)))</formula>
    </cfRule>
  </conditionalFormatting>
  <conditionalFormatting sqref="AU461">
    <cfRule type="cellIs" dxfId="0" priority="11539" operator="lessThan">
      <formula>20</formula>
    </cfRule>
    <cfRule type="cellIs" dxfId="1" priority="10694" operator="greaterThan">
      <formula>120</formula>
    </cfRule>
    <cfRule type="containsText" dxfId="2" priority="9849" operator="between" text="库存为">
      <formula>NOT(ISERROR(SEARCH("库存为",AU461)))</formula>
    </cfRule>
  </conditionalFormatting>
  <conditionalFormatting sqref="AU462">
    <cfRule type="cellIs" dxfId="0" priority="11538" operator="lessThan">
      <formula>20</formula>
    </cfRule>
    <cfRule type="cellIs" dxfId="1" priority="10693" operator="greaterThan">
      <formula>120</formula>
    </cfRule>
    <cfRule type="containsText" dxfId="2" priority="9848" operator="between" text="库存为">
      <formula>NOT(ISERROR(SEARCH("库存为",AU462)))</formula>
    </cfRule>
  </conditionalFormatting>
  <conditionalFormatting sqref="AU463">
    <cfRule type="cellIs" dxfId="0" priority="11537" operator="lessThan">
      <formula>20</formula>
    </cfRule>
    <cfRule type="cellIs" dxfId="1" priority="10692" operator="greaterThan">
      <formula>120</formula>
    </cfRule>
    <cfRule type="containsText" dxfId="2" priority="9847" operator="between" text="库存为">
      <formula>NOT(ISERROR(SEARCH("库存为",AU463)))</formula>
    </cfRule>
  </conditionalFormatting>
  <conditionalFormatting sqref="AU464">
    <cfRule type="cellIs" dxfId="0" priority="11536" operator="lessThan">
      <formula>20</formula>
    </cfRule>
    <cfRule type="cellIs" dxfId="1" priority="10691" operator="greaterThan">
      <formula>120</formula>
    </cfRule>
    <cfRule type="containsText" dxfId="2" priority="9846" operator="between" text="库存为">
      <formula>NOT(ISERROR(SEARCH("库存为",AU464)))</formula>
    </cfRule>
  </conditionalFormatting>
  <conditionalFormatting sqref="AU465">
    <cfRule type="cellIs" dxfId="0" priority="11535" operator="lessThan">
      <formula>20</formula>
    </cfRule>
    <cfRule type="cellIs" dxfId="1" priority="10690" operator="greaterThan">
      <formula>120</formula>
    </cfRule>
    <cfRule type="containsText" dxfId="2" priority="9845" operator="between" text="库存为">
      <formula>NOT(ISERROR(SEARCH("库存为",AU465)))</formula>
    </cfRule>
  </conditionalFormatting>
  <conditionalFormatting sqref="AU466">
    <cfRule type="cellIs" dxfId="0" priority="11534" operator="lessThan">
      <formula>20</formula>
    </cfRule>
    <cfRule type="cellIs" dxfId="1" priority="10689" operator="greaterThan">
      <formula>120</formula>
    </cfRule>
    <cfRule type="containsText" dxfId="2" priority="9844" operator="between" text="库存为">
      <formula>NOT(ISERROR(SEARCH("库存为",AU466)))</formula>
    </cfRule>
  </conditionalFormatting>
  <conditionalFormatting sqref="AU467">
    <cfRule type="cellIs" dxfId="0" priority="11533" operator="lessThan">
      <formula>20</formula>
    </cfRule>
    <cfRule type="cellIs" dxfId="1" priority="10688" operator="greaterThan">
      <formula>120</formula>
    </cfRule>
    <cfRule type="containsText" dxfId="2" priority="9843" operator="between" text="库存为">
      <formula>NOT(ISERROR(SEARCH("库存为",AU467)))</formula>
    </cfRule>
  </conditionalFormatting>
  <conditionalFormatting sqref="AU468">
    <cfRule type="cellIs" dxfId="0" priority="11532" operator="lessThan">
      <formula>20</formula>
    </cfRule>
    <cfRule type="cellIs" dxfId="1" priority="10687" operator="greaterThan">
      <formula>120</formula>
    </cfRule>
    <cfRule type="containsText" dxfId="2" priority="9842" operator="between" text="库存为">
      <formula>NOT(ISERROR(SEARCH("库存为",AU468)))</formula>
    </cfRule>
  </conditionalFormatting>
  <conditionalFormatting sqref="AU469">
    <cfRule type="cellIs" dxfId="0" priority="11531" operator="lessThan">
      <formula>20</formula>
    </cfRule>
    <cfRule type="cellIs" dxfId="1" priority="10686" operator="greaterThan">
      <formula>120</formula>
    </cfRule>
    <cfRule type="containsText" dxfId="2" priority="9841" operator="between" text="库存为">
      <formula>NOT(ISERROR(SEARCH("库存为",AU469)))</formula>
    </cfRule>
  </conditionalFormatting>
  <conditionalFormatting sqref="AU470">
    <cfRule type="cellIs" dxfId="0" priority="11530" operator="lessThan">
      <formula>20</formula>
    </cfRule>
    <cfRule type="cellIs" dxfId="1" priority="10685" operator="greaterThan">
      <formula>120</formula>
    </cfRule>
    <cfRule type="containsText" dxfId="2" priority="9840" operator="between" text="库存为">
      <formula>NOT(ISERROR(SEARCH("库存为",AU470)))</formula>
    </cfRule>
  </conditionalFormatting>
  <conditionalFormatting sqref="AU471">
    <cfRule type="cellIs" dxfId="0" priority="11529" operator="lessThan">
      <formula>20</formula>
    </cfRule>
    <cfRule type="cellIs" dxfId="1" priority="10684" operator="greaterThan">
      <formula>120</formula>
    </cfRule>
    <cfRule type="containsText" dxfId="2" priority="9839" operator="between" text="库存为">
      <formula>NOT(ISERROR(SEARCH("库存为",AU471)))</formula>
    </cfRule>
  </conditionalFormatting>
  <conditionalFormatting sqref="AU472">
    <cfRule type="cellIs" dxfId="0" priority="11528" operator="lessThan">
      <formula>20</formula>
    </cfRule>
    <cfRule type="cellIs" dxfId="1" priority="10683" operator="greaterThan">
      <formula>120</formula>
    </cfRule>
    <cfRule type="containsText" dxfId="2" priority="9838" operator="between" text="库存为">
      <formula>NOT(ISERROR(SEARCH("库存为",AU472)))</formula>
    </cfRule>
  </conditionalFormatting>
  <conditionalFormatting sqref="AU473">
    <cfRule type="cellIs" dxfId="0" priority="11527" operator="lessThan">
      <formula>20</formula>
    </cfRule>
    <cfRule type="cellIs" dxfId="1" priority="10682" operator="greaterThan">
      <formula>120</formula>
    </cfRule>
    <cfRule type="containsText" dxfId="2" priority="9837" operator="between" text="库存为">
      <formula>NOT(ISERROR(SEARCH("库存为",AU473)))</formula>
    </cfRule>
  </conditionalFormatting>
  <conditionalFormatting sqref="AU474">
    <cfRule type="cellIs" dxfId="0" priority="11526" operator="lessThan">
      <formula>20</formula>
    </cfRule>
    <cfRule type="cellIs" dxfId="1" priority="10681" operator="greaterThan">
      <formula>120</formula>
    </cfRule>
    <cfRule type="containsText" dxfId="2" priority="9836" operator="between" text="库存为">
      <formula>NOT(ISERROR(SEARCH("库存为",AU474)))</formula>
    </cfRule>
  </conditionalFormatting>
  <conditionalFormatting sqref="AU475">
    <cfRule type="cellIs" dxfId="0" priority="11525" operator="lessThan">
      <formula>20</formula>
    </cfRule>
    <cfRule type="cellIs" dxfId="1" priority="10680" operator="greaterThan">
      <formula>120</formula>
    </cfRule>
    <cfRule type="containsText" dxfId="2" priority="9835" operator="between" text="库存为">
      <formula>NOT(ISERROR(SEARCH("库存为",AU475)))</formula>
    </cfRule>
  </conditionalFormatting>
  <conditionalFormatting sqref="AU476">
    <cfRule type="cellIs" dxfId="0" priority="11524" operator="lessThan">
      <formula>20</formula>
    </cfRule>
    <cfRule type="cellIs" dxfId="1" priority="10679" operator="greaterThan">
      <formula>120</formula>
    </cfRule>
    <cfRule type="containsText" dxfId="2" priority="9834" operator="between" text="库存为">
      <formula>NOT(ISERROR(SEARCH("库存为",AU476)))</formula>
    </cfRule>
  </conditionalFormatting>
  <conditionalFormatting sqref="AU477">
    <cfRule type="cellIs" dxfId="0" priority="11523" operator="lessThan">
      <formula>20</formula>
    </cfRule>
    <cfRule type="cellIs" dxfId="1" priority="10678" operator="greaterThan">
      <formula>120</formula>
    </cfRule>
    <cfRule type="containsText" dxfId="2" priority="9833" operator="between" text="库存为">
      <formula>NOT(ISERROR(SEARCH("库存为",AU477)))</formula>
    </cfRule>
  </conditionalFormatting>
  <conditionalFormatting sqref="AU478">
    <cfRule type="cellIs" dxfId="0" priority="11522" operator="lessThan">
      <formula>20</formula>
    </cfRule>
    <cfRule type="cellIs" dxfId="1" priority="10677" operator="greaterThan">
      <formula>120</formula>
    </cfRule>
    <cfRule type="containsText" dxfId="2" priority="9832" operator="between" text="库存为">
      <formula>NOT(ISERROR(SEARCH("库存为",AU478)))</formula>
    </cfRule>
  </conditionalFormatting>
  <conditionalFormatting sqref="AU479">
    <cfRule type="cellIs" dxfId="0" priority="11521" operator="lessThan">
      <formula>20</formula>
    </cfRule>
    <cfRule type="cellIs" dxfId="1" priority="10676" operator="greaterThan">
      <formula>120</formula>
    </cfRule>
    <cfRule type="containsText" dxfId="2" priority="9831" operator="between" text="库存为">
      <formula>NOT(ISERROR(SEARCH("库存为",AU479)))</formula>
    </cfRule>
  </conditionalFormatting>
  <conditionalFormatting sqref="AU480">
    <cfRule type="cellIs" dxfId="0" priority="11520" operator="lessThan">
      <formula>20</formula>
    </cfRule>
    <cfRule type="cellIs" dxfId="1" priority="10675" operator="greaterThan">
      <formula>120</formula>
    </cfRule>
    <cfRule type="containsText" dxfId="2" priority="9830" operator="between" text="库存为">
      <formula>NOT(ISERROR(SEARCH("库存为",AU480)))</formula>
    </cfRule>
  </conditionalFormatting>
  <conditionalFormatting sqref="AU481">
    <cfRule type="cellIs" dxfId="0" priority="11519" operator="lessThan">
      <formula>20</formula>
    </cfRule>
    <cfRule type="cellIs" dxfId="1" priority="10674" operator="greaterThan">
      <formula>120</formula>
    </cfRule>
    <cfRule type="containsText" dxfId="2" priority="9829" operator="between" text="库存为">
      <formula>NOT(ISERROR(SEARCH("库存为",AU481)))</formula>
    </cfRule>
  </conditionalFormatting>
  <conditionalFormatting sqref="AU482">
    <cfRule type="cellIs" dxfId="0" priority="11518" operator="lessThan">
      <formula>20</formula>
    </cfRule>
    <cfRule type="cellIs" dxfId="1" priority="10673" operator="greaterThan">
      <formula>120</formula>
    </cfRule>
    <cfRule type="containsText" dxfId="2" priority="9828" operator="between" text="库存为">
      <formula>NOT(ISERROR(SEARCH("库存为",AU482)))</formula>
    </cfRule>
  </conditionalFormatting>
  <conditionalFormatting sqref="AU483">
    <cfRule type="cellIs" dxfId="0" priority="11517" operator="lessThan">
      <formula>20</formula>
    </cfRule>
    <cfRule type="cellIs" dxfId="1" priority="10672" operator="greaterThan">
      <formula>120</formula>
    </cfRule>
    <cfRule type="containsText" dxfId="2" priority="9827" operator="between" text="库存为">
      <formula>NOT(ISERROR(SEARCH("库存为",AU483)))</formula>
    </cfRule>
  </conditionalFormatting>
  <conditionalFormatting sqref="AU484">
    <cfRule type="cellIs" dxfId="0" priority="11516" operator="lessThan">
      <formula>20</formula>
    </cfRule>
    <cfRule type="cellIs" dxfId="1" priority="10671" operator="greaterThan">
      <formula>120</formula>
    </cfRule>
    <cfRule type="containsText" dxfId="2" priority="9826" operator="between" text="库存为">
      <formula>NOT(ISERROR(SEARCH("库存为",AU484)))</formula>
    </cfRule>
  </conditionalFormatting>
  <conditionalFormatting sqref="AU485">
    <cfRule type="cellIs" dxfId="0" priority="11515" operator="lessThan">
      <formula>20</formula>
    </cfRule>
    <cfRule type="cellIs" dxfId="1" priority="10670" operator="greaterThan">
      <formula>120</formula>
    </cfRule>
    <cfRule type="containsText" dxfId="2" priority="9825" operator="between" text="库存为">
      <formula>NOT(ISERROR(SEARCH("库存为",AU485)))</formula>
    </cfRule>
  </conditionalFormatting>
  <conditionalFormatting sqref="AU486">
    <cfRule type="cellIs" dxfId="0" priority="11514" operator="lessThan">
      <formula>20</formula>
    </cfRule>
    <cfRule type="cellIs" dxfId="1" priority="10669" operator="greaterThan">
      <formula>120</formula>
    </cfRule>
    <cfRule type="containsText" dxfId="2" priority="9824" operator="between" text="库存为">
      <formula>NOT(ISERROR(SEARCH("库存为",AU486)))</formula>
    </cfRule>
  </conditionalFormatting>
  <conditionalFormatting sqref="AU487">
    <cfRule type="cellIs" dxfId="0" priority="11513" operator="lessThan">
      <formula>20</formula>
    </cfRule>
    <cfRule type="cellIs" dxfId="1" priority="10668" operator="greaterThan">
      <formula>120</formula>
    </cfRule>
    <cfRule type="containsText" dxfId="2" priority="9823" operator="between" text="库存为">
      <formula>NOT(ISERROR(SEARCH("库存为",AU487)))</formula>
    </cfRule>
  </conditionalFormatting>
  <conditionalFormatting sqref="AU488">
    <cfRule type="cellIs" dxfId="0" priority="11512" operator="lessThan">
      <formula>20</formula>
    </cfRule>
    <cfRule type="cellIs" dxfId="1" priority="10667" operator="greaterThan">
      <formula>120</formula>
    </cfRule>
    <cfRule type="containsText" dxfId="2" priority="9822" operator="between" text="库存为">
      <formula>NOT(ISERROR(SEARCH("库存为",AU488)))</formula>
    </cfRule>
  </conditionalFormatting>
  <conditionalFormatting sqref="AU489">
    <cfRule type="cellIs" dxfId="0" priority="11511" operator="lessThan">
      <formula>20</formula>
    </cfRule>
    <cfRule type="cellIs" dxfId="1" priority="10666" operator="greaterThan">
      <formula>120</formula>
    </cfRule>
    <cfRule type="containsText" dxfId="2" priority="9821" operator="between" text="库存为">
      <formula>NOT(ISERROR(SEARCH("库存为",AU489)))</formula>
    </cfRule>
  </conditionalFormatting>
  <conditionalFormatting sqref="AU490">
    <cfRule type="cellIs" dxfId="0" priority="11510" operator="lessThan">
      <formula>20</formula>
    </cfRule>
    <cfRule type="cellIs" dxfId="1" priority="10665" operator="greaterThan">
      <formula>120</formula>
    </cfRule>
    <cfRule type="containsText" dxfId="2" priority="9820" operator="between" text="库存为">
      <formula>NOT(ISERROR(SEARCH("库存为",AU490)))</formula>
    </cfRule>
  </conditionalFormatting>
  <conditionalFormatting sqref="AU491">
    <cfRule type="cellIs" dxfId="0" priority="11509" operator="lessThan">
      <formula>20</formula>
    </cfRule>
    <cfRule type="cellIs" dxfId="1" priority="10664" operator="greaterThan">
      <formula>120</formula>
    </cfRule>
    <cfRule type="containsText" dxfId="2" priority="9819" operator="between" text="库存为">
      <formula>NOT(ISERROR(SEARCH("库存为",AU491)))</formula>
    </cfRule>
  </conditionalFormatting>
  <conditionalFormatting sqref="AU492">
    <cfRule type="cellIs" dxfId="0" priority="11508" operator="lessThan">
      <formula>20</formula>
    </cfRule>
    <cfRule type="cellIs" dxfId="1" priority="10663" operator="greaterThan">
      <formula>120</formula>
    </cfRule>
    <cfRule type="containsText" dxfId="2" priority="9818" operator="between" text="库存为">
      <formula>NOT(ISERROR(SEARCH("库存为",AU492)))</formula>
    </cfRule>
  </conditionalFormatting>
  <conditionalFormatting sqref="AU493">
    <cfRule type="cellIs" dxfId="0" priority="11507" operator="lessThan">
      <formula>20</formula>
    </cfRule>
    <cfRule type="cellIs" dxfId="1" priority="10662" operator="greaterThan">
      <formula>120</formula>
    </cfRule>
    <cfRule type="containsText" dxfId="2" priority="9817" operator="between" text="库存为">
      <formula>NOT(ISERROR(SEARCH("库存为",AU493)))</formula>
    </cfRule>
  </conditionalFormatting>
  <conditionalFormatting sqref="AU494">
    <cfRule type="cellIs" dxfId="0" priority="11506" operator="lessThan">
      <formula>20</formula>
    </cfRule>
    <cfRule type="cellIs" dxfId="1" priority="10661" operator="greaterThan">
      <formula>120</formula>
    </cfRule>
    <cfRule type="containsText" dxfId="2" priority="9816" operator="between" text="库存为">
      <formula>NOT(ISERROR(SEARCH("库存为",AU494)))</formula>
    </cfRule>
  </conditionalFormatting>
  <conditionalFormatting sqref="AU495">
    <cfRule type="cellIs" dxfId="0" priority="11505" operator="lessThan">
      <formula>20</formula>
    </cfRule>
    <cfRule type="cellIs" dxfId="1" priority="10660" operator="greaterThan">
      <formula>120</formula>
    </cfRule>
    <cfRule type="containsText" dxfId="2" priority="9815" operator="between" text="库存为">
      <formula>NOT(ISERROR(SEARCH("库存为",AU495)))</formula>
    </cfRule>
  </conditionalFormatting>
  <conditionalFormatting sqref="AU496">
    <cfRule type="cellIs" dxfId="0" priority="11504" operator="lessThan">
      <formula>20</formula>
    </cfRule>
    <cfRule type="cellIs" dxfId="1" priority="10659" operator="greaterThan">
      <formula>120</formula>
    </cfRule>
    <cfRule type="containsText" dxfId="2" priority="9814" operator="between" text="库存为">
      <formula>NOT(ISERROR(SEARCH("库存为",AU496)))</formula>
    </cfRule>
  </conditionalFormatting>
  <conditionalFormatting sqref="AU497">
    <cfRule type="cellIs" dxfId="0" priority="11503" operator="lessThan">
      <formula>20</formula>
    </cfRule>
    <cfRule type="cellIs" dxfId="1" priority="10658" operator="greaterThan">
      <formula>120</formula>
    </cfRule>
    <cfRule type="containsText" dxfId="2" priority="9813" operator="between" text="库存为">
      <formula>NOT(ISERROR(SEARCH("库存为",AU497)))</formula>
    </cfRule>
  </conditionalFormatting>
  <conditionalFormatting sqref="AU498">
    <cfRule type="cellIs" dxfId="0" priority="11502" operator="lessThan">
      <formula>20</formula>
    </cfRule>
    <cfRule type="cellIs" dxfId="1" priority="10657" operator="greaterThan">
      <formula>120</formula>
    </cfRule>
    <cfRule type="containsText" dxfId="2" priority="9812" operator="between" text="库存为">
      <formula>NOT(ISERROR(SEARCH("库存为",AU498)))</formula>
    </cfRule>
  </conditionalFormatting>
  <conditionalFormatting sqref="AU499">
    <cfRule type="cellIs" dxfId="0" priority="11501" operator="lessThan">
      <formula>20</formula>
    </cfRule>
    <cfRule type="cellIs" dxfId="1" priority="10656" operator="greaterThan">
      <formula>120</formula>
    </cfRule>
    <cfRule type="containsText" dxfId="2" priority="9811" operator="between" text="库存为">
      <formula>NOT(ISERROR(SEARCH("库存为",AU499)))</formula>
    </cfRule>
  </conditionalFormatting>
  <conditionalFormatting sqref="AU500">
    <cfRule type="cellIs" dxfId="0" priority="11500" operator="lessThan">
      <formula>20</formula>
    </cfRule>
    <cfRule type="cellIs" dxfId="1" priority="10655" operator="greaterThan">
      <formula>120</formula>
    </cfRule>
    <cfRule type="containsText" dxfId="2" priority="9810" operator="between" text="库存为">
      <formula>NOT(ISERROR(SEARCH("库存为",AU500)))</formula>
    </cfRule>
  </conditionalFormatting>
  <conditionalFormatting sqref="AU501">
    <cfRule type="cellIs" dxfId="0" priority="11499" operator="lessThan">
      <formula>20</formula>
    </cfRule>
    <cfRule type="cellIs" dxfId="1" priority="10654" operator="greaterThan">
      <formula>120</formula>
    </cfRule>
    <cfRule type="containsText" dxfId="2" priority="9809" operator="between" text="库存为">
      <formula>NOT(ISERROR(SEARCH("库存为",AU501)))</formula>
    </cfRule>
  </conditionalFormatting>
  <conditionalFormatting sqref="AU502">
    <cfRule type="cellIs" dxfId="0" priority="11498" operator="lessThan">
      <formula>20</formula>
    </cfRule>
    <cfRule type="cellIs" dxfId="1" priority="10653" operator="greaterThan">
      <formula>120</formula>
    </cfRule>
    <cfRule type="containsText" dxfId="2" priority="9808" operator="between" text="库存为">
      <formula>NOT(ISERROR(SEARCH("库存为",AU502)))</formula>
    </cfRule>
  </conditionalFormatting>
  <conditionalFormatting sqref="AU503">
    <cfRule type="cellIs" dxfId="0" priority="11497" operator="lessThan">
      <formula>20</formula>
    </cfRule>
    <cfRule type="cellIs" dxfId="1" priority="10652" operator="greaterThan">
      <formula>120</formula>
    </cfRule>
    <cfRule type="containsText" dxfId="2" priority="9807" operator="between" text="库存为">
      <formula>NOT(ISERROR(SEARCH("库存为",AU503)))</formula>
    </cfRule>
  </conditionalFormatting>
  <conditionalFormatting sqref="AU504">
    <cfRule type="cellIs" dxfId="0" priority="11496" operator="lessThan">
      <formula>20</formula>
    </cfRule>
    <cfRule type="cellIs" dxfId="1" priority="10651" operator="greaterThan">
      <formula>120</formula>
    </cfRule>
    <cfRule type="containsText" dxfId="2" priority="9806" operator="between" text="库存为">
      <formula>NOT(ISERROR(SEARCH("库存为",AU504)))</formula>
    </cfRule>
  </conditionalFormatting>
  <conditionalFormatting sqref="AU505">
    <cfRule type="cellIs" dxfId="0" priority="11495" operator="lessThan">
      <formula>20</formula>
    </cfRule>
    <cfRule type="cellIs" dxfId="1" priority="10650" operator="greaterThan">
      <formula>120</formula>
    </cfRule>
    <cfRule type="containsText" dxfId="2" priority="9805" operator="between" text="库存为">
      <formula>NOT(ISERROR(SEARCH("库存为",AU505)))</formula>
    </cfRule>
  </conditionalFormatting>
  <conditionalFormatting sqref="AU506">
    <cfRule type="cellIs" dxfId="0" priority="11494" operator="lessThan">
      <formula>20</formula>
    </cfRule>
    <cfRule type="cellIs" dxfId="1" priority="10649" operator="greaterThan">
      <formula>120</formula>
    </cfRule>
    <cfRule type="containsText" dxfId="2" priority="9804" operator="between" text="库存为">
      <formula>NOT(ISERROR(SEARCH("库存为",AU506)))</formula>
    </cfRule>
  </conditionalFormatting>
  <conditionalFormatting sqref="AU507">
    <cfRule type="cellIs" dxfId="0" priority="11493" operator="lessThan">
      <formula>20</formula>
    </cfRule>
    <cfRule type="cellIs" dxfId="1" priority="10648" operator="greaterThan">
      <formula>120</formula>
    </cfRule>
    <cfRule type="containsText" dxfId="2" priority="9803" operator="between" text="库存为">
      <formula>NOT(ISERROR(SEARCH("库存为",AU507)))</formula>
    </cfRule>
  </conditionalFormatting>
  <conditionalFormatting sqref="AU508">
    <cfRule type="cellIs" dxfId="0" priority="11492" operator="lessThan">
      <formula>20</formula>
    </cfRule>
    <cfRule type="cellIs" dxfId="1" priority="10647" operator="greaterThan">
      <formula>120</formula>
    </cfRule>
    <cfRule type="containsText" dxfId="2" priority="9802" operator="between" text="库存为">
      <formula>NOT(ISERROR(SEARCH("库存为",AU508)))</formula>
    </cfRule>
  </conditionalFormatting>
  <conditionalFormatting sqref="AU509">
    <cfRule type="cellIs" dxfId="0" priority="11491" operator="lessThan">
      <formula>20</formula>
    </cfRule>
    <cfRule type="cellIs" dxfId="1" priority="10646" operator="greaterThan">
      <formula>120</formula>
    </cfRule>
    <cfRule type="containsText" dxfId="2" priority="9801" operator="between" text="库存为">
      <formula>NOT(ISERROR(SEARCH("库存为",AU509)))</formula>
    </cfRule>
  </conditionalFormatting>
  <conditionalFormatting sqref="AU510">
    <cfRule type="cellIs" dxfId="0" priority="11490" operator="lessThan">
      <formula>20</formula>
    </cfRule>
    <cfRule type="cellIs" dxfId="1" priority="10645" operator="greaterThan">
      <formula>120</formula>
    </cfRule>
    <cfRule type="containsText" dxfId="2" priority="9800" operator="between" text="库存为">
      <formula>NOT(ISERROR(SEARCH("库存为",AU510)))</formula>
    </cfRule>
  </conditionalFormatting>
  <conditionalFormatting sqref="AU511">
    <cfRule type="cellIs" dxfId="0" priority="11489" operator="lessThan">
      <formula>20</formula>
    </cfRule>
    <cfRule type="cellIs" dxfId="1" priority="10644" operator="greaterThan">
      <formula>120</formula>
    </cfRule>
    <cfRule type="containsText" dxfId="2" priority="9799" operator="between" text="库存为">
      <formula>NOT(ISERROR(SEARCH("库存为",AU511)))</formula>
    </cfRule>
  </conditionalFormatting>
  <conditionalFormatting sqref="AU512">
    <cfRule type="cellIs" dxfId="0" priority="11488" operator="lessThan">
      <formula>20</formula>
    </cfRule>
    <cfRule type="cellIs" dxfId="1" priority="10643" operator="greaterThan">
      <formula>120</formula>
    </cfRule>
    <cfRule type="containsText" dxfId="2" priority="9798" operator="between" text="库存为">
      <formula>NOT(ISERROR(SEARCH("库存为",AU512)))</formula>
    </cfRule>
  </conditionalFormatting>
  <conditionalFormatting sqref="AU513">
    <cfRule type="cellIs" dxfId="0" priority="11487" operator="lessThan">
      <formula>20</formula>
    </cfRule>
    <cfRule type="cellIs" dxfId="1" priority="10642" operator="greaterThan">
      <formula>120</formula>
    </cfRule>
    <cfRule type="containsText" dxfId="2" priority="9797" operator="between" text="库存为">
      <formula>NOT(ISERROR(SEARCH("库存为",AU513)))</formula>
    </cfRule>
  </conditionalFormatting>
  <conditionalFormatting sqref="AU514">
    <cfRule type="cellIs" dxfId="0" priority="11486" operator="lessThan">
      <formula>20</formula>
    </cfRule>
    <cfRule type="cellIs" dxfId="1" priority="10641" operator="greaterThan">
      <formula>120</formula>
    </cfRule>
    <cfRule type="containsText" dxfId="2" priority="9796" operator="between" text="库存为">
      <formula>NOT(ISERROR(SEARCH("库存为",AU514)))</formula>
    </cfRule>
  </conditionalFormatting>
  <conditionalFormatting sqref="AU515">
    <cfRule type="cellIs" dxfId="0" priority="11485" operator="lessThan">
      <formula>20</formula>
    </cfRule>
    <cfRule type="cellIs" dxfId="1" priority="10640" operator="greaterThan">
      <formula>120</formula>
    </cfRule>
    <cfRule type="containsText" dxfId="2" priority="9795" operator="between" text="库存为">
      <formula>NOT(ISERROR(SEARCH("库存为",AU515)))</formula>
    </cfRule>
  </conditionalFormatting>
  <conditionalFormatting sqref="AU516">
    <cfRule type="cellIs" dxfId="0" priority="11484" operator="lessThan">
      <formula>20</formula>
    </cfRule>
    <cfRule type="cellIs" dxfId="1" priority="10639" operator="greaterThan">
      <formula>120</formula>
    </cfRule>
    <cfRule type="containsText" dxfId="2" priority="9794" operator="between" text="库存为">
      <formula>NOT(ISERROR(SEARCH("库存为",AU516)))</formula>
    </cfRule>
  </conditionalFormatting>
  <conditionalFormatting sqref="AU517">
    <cfRule type="cellIs" dxfId="0" priority="11483" operator="lessThan">
      <formula>20</formula>
    </cfRule>
    <cfRule type="cellIs" dxfId="1" priority="10638" operator="greaterThan">
      <formula>120</formula>
    </cfRule>
    <cfRule type="containsText" dxfId="2" priority="9793" operator="between" text="库存为">
      <formula>NOT(ISERROR(SEARCH("库存为",AU517)))</formula>
    </cfRule>
  </conditionalFormatting>
  <conditionalFormatting sqref="AU518">
    <cfRule type="cellIs" dxfId="0" priority="11482" operator="lessThan">
      <formula>20</formula>
    </cfRule>
    <cfRule type="cellIs" dxfId="1" priority="10637" operator="greaterThan">
      <formula>120</formula>
    </cfRule>
    <cfRule type="containsText" dxfId="2" priority="9792" operator="between" text="库存为">
      <formula>NOT(ISERROR(SEARCH("库存为",AU518)))</formula>
    </cfRule>
  </conditionalFormatting>
  <conditionalFormatting sqref="AU519">
    <cfRule type="cellIs" dxfId="0" priority="11481" operator="lessThan">
      <formula>20</formula>
    </cfRule>
    <cfRule type="cellIs" dxfId="1" priority="10636" operator="greaterThan">
      <formula>120</formula>
    </cfRule>
    <cfRule type="containsText" dxfId="2" priority="9791" operator="between" text="库存为">
      <formula>NOT(ISERROR(SEARCH("库存为",AU519)))</formula>
    </cfRule>
  </conditionalFormatting>
  <conditionalFormatting sqref="AU520">
    <cfRule type="cellIs" dxfId="0" priority="11480" operator="lessThan">
      <formula>20</formula>
    </cfRule>
    <cfRule type="cellIs" dxfId="1" priority="10635" operator="greaterThan">
      <formula>120</formula>
    </cfRule>
    <cfRule type="containsText" dxfId="2" priority="9790" operator="between" text="库存为">
      <formula>NOT(ISERROR(SEARCH("库存为",AU520)))</formula>
    </cfRule>
  </conditionalFormatting>
  <conditionalFormatting sqref="AU521">
    <cfRule type="cellIs" dxfId="0" priority="11479" operator="lessThan">
      <formula>20</formula>
    </cfRule>
    <cfRule type="cellIs" dxfId="1" priority="10634" operator="greaterThan">
      <formula>120</formula>
    </cfRule>
    <cfRule type="containsText" dxfId="2" priority="9789" operator="between" text="库存为">
      <formula>NOT(ISERROR(SEARCH("库存为",AU521)))</formula>
    </cfRule>
  </conditionalFormatting>
  <conditionalFormatting sqref="AU522">
    <cfRule type="cellIs" dxfId="0" priority="11478" operator="lessThan">
      <formula>20</formula>
    </cfRule>
    <cfRule type="cellIs" dxfId="1" priority="10633" operator="greaterThan">
      <formula>120</formula>
    </cfRule>
    <cfRule type="containsText" dxfId="2" priority="9788" operator="between" text="库存为">
      <formula>NOT(ISERROR(SEARCH("库存为",AU522)))</formula>
    </cfRule>
  </conditionalFormatting>
  <conditionalFormatting sqref="AU523">
    <cfRule type="cellIs" dxfId="0" priority="11477" operator="lessThan">
      <formula>20</formula>
    </cfRule>
    <cfRule type="cellIs" dxfId="1" priority="10632" operator="greaterThan">
      <formula>120</formula>
    </cfRule>
    <cfRule type="containsText" dxfId="2" priority="9787" operator="between" text="库存为">
      <formula>NOT(ISERROR(SEARCH("库存为",AU523)))</formula>
    </cfRule>
  </conditionalFormatting>
  <conditionalFormatting sqref="AU524">
    <cfRule type="cellIs" dxfId="0" priority="11476" operator="lessThan">
      <formula>20</formula>
    </cfRule>
    <cfRule type="cellIs" dxfId="1" priority="10631" operator="greaterThan">
      <formula>120</formula>
    </cfRule>
    <cfRule type="containsText" dxfId="2" priority="9786" operator="between" text="库存为">
      <formula>NOT(ISERROR(SEARCH("库存为",AU524)))</formula>
    </cfRule>
  </conditionalFormatting>
  <conditionalFormatting sqref="AU525">
    <cfRule type="cellIs" dxfId="0" priority="11475" operator="lessThan">
      <formula>20</formula>
    </cfRule>
    <cfRule type="cellIs" dxfId="1" priority="10630" operator="greaterThan">
      <formula>120</formula>
    </cfRule>
    <cfRule type="containsText" dxfId="2" priority="9785" operator="between" text="库存为">
      <formula>NOT(ISERROR(SEARCH("库存为",AU525)))</formula>
    </cfRule>
  </conditionalFormatting>
  <conditionalFormatting sqref="AU526">
    <cfRule type="cellIs" dxfId="0" priority="11474" operator="lessThan">
      <formula>20</formula>
    </cfRule>
    <cfRule type="cellIs" dxfId="1" priority="10629" operator="greaterThan">
      <formula>120</formula>
    </cfRule>
    <cfRule type="containsText" dxfId="2" priority="9784" operator="between" text="库存为">
      <formula>NOT(ISERROR(SEARCH("库存为",AU526)))</formula>
    </cfRule>
  </conditionalFormatting>
  <conditionalFormatting sqref="AU527">
    <cfRule type="cellIs" dxfId="0" priority="11473" operator="lessThan">
      <formula>20</formula>
    </cfRule>
    <cfRule type="cellIs" dxfId="1" priority="10628" operator="greaterThan">
      <formula>120</formula>
    </cfRule>
    <cfRule type="containsText" dxfId="2" priority="9783" operator="between" text="库存为">
      <formula>NOT(ISERROR(SEARCH("库存为",AU527)))</formula>
    </cfRule>
  </conditionalFormatting>
  <conditionalFormatting sqref="AU528">
    <cfRule type="cellIs" dxfId="0" priority="11472" operator="lessThan">
      <formula>20</formula>
    </cfRule>
    <cfRule type="cellIs" dxfId="1" priority="10627" operator="greaterThan">
      <formula>120</formula>
    </cfRule>
    <cfRule type="containsText" dxfId="2" priority="9782" operator="between" text="库存为">
      <formula>NOT(ISERROR(SEARCH("库存为",AU528)))</formula>
    </cfRule>
  </conditionalFormatting>
  <conditionalFormatting sqref="AU529">
    <cfRule type="cellIs" dxfId="0" priority="11471" operator="lessThan">
      <formula>20</formula>
    </cfRule>
    <cfRule type="cellIs" dxfId="1" priority="10626" operator="greaterThan">
      <formula>120</formula>
    </cfRule>
    <cfRule type="containsText" dxfId="2" priority="9781" operator="between" text="库存为">
      <formula>NOT(ISERROR(SEARCH("库存为",AU529)))</formula>
    </cfRule>
  </conditionalFormatting>
  <conditionalFormatting sqref="AU530">
    <cfRule type="cellIs" dxfId="0" priority="11470" operator="lessThan">
      <formula>20</formula>
    </cfRule>
    <cfRule type="cellIs" dxfId="1" priority="10625" operator="greaterThan">
      <formula>120</formula>
    </cfRule>
    <cfRule type="containsText" dxfId="2" priority="9780" operator="between" text="库存为">
      <formula>NOT(ISERROR(SEARCH("库存为",AU530)))</formula>
    </cfRule>
  </conditionalFormatting>
  <conditionalFormatting sqref="AU531">
    <cfRule type="cellIs" dxfId="0" priority="11469" operator="lessThan">
      <formula>20</formula>
    </cfRule>
    <cfRule type="cellIs" dxfId="1" priority="10624" operator="greaterThan">
      <formula>120</formula>
    </cfRule>
    <cfRule type="containsText" dxfId="2" priority="9779" operator="between" text="库存为">
      <formula>NOT(ISERROR(SEARCH("库存为",AU531)))</formula>
    </cfRule>
  </conditionalFormatting>
  <conditionalFormatting sqref="AU532">
    <cfRule type="cellIs" dxfId="0" priority="11468" operator="lessThan">
      <formula>20</formula>
    </cfRule>
    <cfRule type="cellIs" dxfId="1" priority="10623" operator="greaterThan">
      <formula>120</formula>
    </cfRule>
    <cfRule type="containsText" dxfId="2" priority="9778" operator="between" text="库存为">
      <formula>NOT(ISERROR(SEARCH("库存为",AU532)))</formula>
    </cfRule>
  </conditionalFormatting>
  <conditionalFormatting sqref="AU533">
    <cfRule type="cellIs" dxfId="0" priority="11467" operator="lessThan">
      <formula>20</formula>
    </cfRule>
    <cfRule type="cellIs" dxfId="1" priority="10622" operator="greaterThan">
      <formula>120</formula>
    </cfRule>
    <cfRule type="containsText" dxfId="2" priority="9777" operator="between" text="库存为">
      <formula>NOT(ISERROR(SEARCH("库存为",AU533)))</formula>
    </cfRule>
  </conditionalFormatting>
  <conditionalFormatting sqref="AU534">
    <cfRule type="cellIs" dxfId="0" priority="11466" operator="lessThan">
      <formula>20</formula>
    </cfRule>
    <cfRule type="cellIs" dxfId="1" priority="10621" operator="greaterThan">
      <formula>120</formula>
    </cfRule>
    <cfRule type="containsText" dxfId="2" priority="9776" operator="between" text="库存为">
      <formula>NOT(ISERROR(SEARCH("库存为",AU534)))</formula>
    </cfRule>
  </conditionalFormatting>
  <conditionalFormatting sqref="AU535">
    <cfRule type="cellIs" dxfId="0" priority="11465" operator="lessThan">
      <formula>20</formula>
    </cfRule>
    <cfRule type="cellIs" dxfId="1" priority="10620" operator="greaterThan">
      <formula>120</formula>
    </cfRule>
    <cfRule type="containsText" dxfId="2" priority="9775" operator="between" text="库存为">
      <formula>NOT(ISERROR(SEARCH("库存为",AU535)))</formula>
    </cfRule>
  </conditionalFormatting>
  <conditionalFormatting sqref="AU536">
    <cfRule type="cellIs" dxfId="0" priority="11464" operator="lessThan">
      <formula>20</formula>
    </cfRule>
    <cfRule type="cellIs" dxfId="1" priority="10619" operator="greaterThan">
      <formula>120</formula>
    </cfRule>
    <cfRule type="containsText" dxfId="2" priority="9774" operator="between" text="库存为">
      <formula>NOT(ISERROR(SEARCH("库存为",AU536)))</formula>
    </cfRule>
  </conditionalFormatting>
  <conditionalFormatting sqref="AU537">
    <cfRule type="cellIs" dxfId="0" priority="11463" operator="lessThan">
      <formula>20</formula>
    </cfRule>
    <cfRule type="cellIs" dxfId="1" priority="10618" operator="greaterThan">
      <formula>120</formula>
    </cfRule>
    <cfRule type="containsText" dxfId="2" priority="9773" operator="between" text="库存为">
      <formula>NOT(ISERROR(SEARCH("库存为",AU537)))</formula>
    </cfRule>
  </conditionalFormatting>
  <conditionalFormatting sqref="AU538">
    <cfRule type="cellIs" dxfId="0" priority="11462" operator="lessThan">
      <formula>20</formula>
    </cfRule>
    <cfRule type="cellIs" dxfId="1" priority="10617" operator="greaterThan">
      <formula>120</formula>
    </cfRule>
    <cfRule type="containsText" dxfId="2" priority="9772" operator="between" text="库存为">
      <formula>NOT(ISERROR(SEARCH("库存为",AU538)))</formula>
    </cfRule>
  </conditionalFormatting>
  <conditionalFormatting sqref="AU539">
    <cfRule type="cellIs" dxfId="0" priority="11461" operator="lessThan">
      <formula>20</formula>
    </cfRule>
    <cfRule type="cellIs" dxfId="1" priority="10616" operator="greaterThan">
      <formula>120</formula>
    </cfRule>
    <cfRule type="containsText" dxfId="2" priority="9771" operator="between" text="库存为">
      <formula>NOT(ISERROR(SEARCH("库存为",AU539)))</formula>
    </cfRule>
  </conditionalFormatting>
  <conditionalFormatting sqref="AU540">
    <cfRule type="cellIs" dxfId="0" priority="11460" operator="lessThan">
      <formula>20</formula>
    </cfRule>
    <cfRule type="cellIs" dxfId="1" priority="10615" operator="greaterThan">
      <formula>120</formula>
    </cfRule>
    <cfRule type="containsText" dxfId="2" priority="9770" operator="between" text="库存为">
      <formula>NOT(ISERROR(SEARCH("库存为",AU540)))</formula>
    </cfRule>
  </conditionalFormatting>
  <conditionalFormatting sqref="AU541">
    <cfRule type="cellIs" dxfId="0" priority="11459" operator="lessThan">
      <formula>20</formula>
    </cfRule>
    <cfRule type="cellIs" dxfId="1" priority="10614" operator="greaterThan">
      <formula>120</formula>
    </cfRule>
    <cfRule type="containsText" dxfId="2" priority="9769" operator="between" text="库存为">
      <formula>NOT(ISERROR(SEARCH("库存为",AU541)))</formula>
    </cfRule>
  </conditionalFormatting>
  <conditionalFormatting sqref="AU542">
    <cfRule type="cellIs" dxfId="0" priority="11458" operator="lessThan">
      <formula>20</formula>
    </cfRule>
    <cfRule type="cellIs" dxfId="1" priority="10613" operator="greaterThan">
      <formula>120</formula>
    </cfRule>
    <cfRule type="containsText" dxfId="2" priority="9768" operator="between" text="库存为">
      <formula>NOT(ISERROR(SEARCH("库存为",AU542)))</formula>
    </cfRule>
  </conditionalFormatting>
  <conditionalFormatting sqref="AU543">
    <cfRule type="cellIs" dxfId="0" priority="11457" operator="lessThan">
      <formula>20</formula>
    </cfRule>
    <cfRule type="cellIs" dxfId="1" priority="10612" operator="greaterThan">
      <formula>120</formula>
    </cfRule>
    <cfRule type="containsText" dxfId="2" priority="9767" operator="between" text="库存为">
      <formula>NOT(ISERROR(SEARCH("库存为",AU543)))</formula>
    </cfRule>
  </conditionalFormatting>
  <conditionalFormatting sqref="AU544">
    <cfRule type="cellIs" dxfId="0" priority="11456" operator="lessThan">
      <formula>20</formula>
    </cfRule>
    <cfRule type="cellIs" dxfId="1" priority="10611" operator="greaterThan">
      <formula>120</formula>
    </cfRule>
    <cfRule type="containsText" dxfId="2" priority="9766" operator="between" text="库存为">
      <formula>NOT(ISERROR(SEARCH("库存为",AU544)))</formula>
    </cfRule>
  </conditionalFormatting>
  <conditionalFormatting sqref="AU545">
    <cfRule type="cellIs" dxfId="0" priority="11455" operator="lessThan">
      <formula>20</formula>
    </cfRule>
    <cfRule type="cellIs" dxfId="1" priority="10610" operator="greaterThan">
      <formula>120</formula>
    </cfRule>
    <cfRule type="containsText" dxfId="2" priority="9765" operator="between" text="库存为">
      <formula>NOT(ISERROR(SEARCH("库存为",AU545)))</formula>
    </cfRule>
  </conditionalFormatting>
  <conditionalFormatting sqref="AU546">
    <cfRule type="cellIs" dxfId="0" priority="11454" operator="lessThan">
      <formula>20</formula>
    </cfRule>
    <cfRule type="cellIs" dxfId="1" priority="10609" operator="greaterThan">
      <formula>120</formula>
    </cfRule>
    <cfRule type="containsText" dxfId="2" priority="9764" operator="between" text="库存为">
      <formula>NOT(ISERROR(SEARCH("库存为",AU546)))</formula>
    </cfRule>
  </conditionalFormatting>
  <conditionalFormatting sqref="AU547">
    <cfRule type="cellIs" dxfId="0" priority="11453" operator="lessThan">
      <formula>20</formula>
    </cfRule>
    <cfRule type="cellIs" dxfId="1" priority="10608" operator="greaterThan">
      <formula>120</formula>
    </cfRule>
    <cfRule type="containsText" dxfId="2" priority="9763" operator="between" text="库存为">
      <formula>NOT(ISERROR(SEARCH("库存为",AU547)))</formula>
    </cfRule>
  </conditionalFormatting>
  <conditionalFormatting sqref="AU548">
    <cfRule type="cellIs" dxfId="0" priority="11452" operator="lessThan">
      <formula>20</formula>
    </cfRule>
    <cfRule type="cellIs" dxfId="1" priority="10607" operator="greaterThan">
      <formula>120</formula>
    </cfRule>
    <cfRule type="containsText" dxfId="2" priority="9762" operator="between" text="库存为">
      <formula>NOT(ISERROR(SEARCH("库存为",AU548)))</formula>
    </cfRule>
  </conditionalFormatting>
  <conditionalFormatting sqref="AU549">
    <cfRule type="cellIs" dxfId="0" priority="11451" operator="lessThan">
      <formula>20</formula>
    </cfRule>
    <cfRule type="cellIs" dxfId="1" priority="10606" operator="greaterThan">
      <formula>120</formula>
    </cfRule>
    <cfRule type="containsText" dxfId="2" priority="9761" operator="between" text="库存为">
      <formula>NOT(ISERROR(SEARCH("库存为",AU549)))</formula>
    </cfRule>
  </conditionalFormatting>
  <conditionalFormatting sqref="AU550">
    <cfRule type="cellIs" dxfId="0" priority="11450" operator="lessThan">
      <formula>20</formula>
    </cfRule>
    <cfRule type="cellIs" dxfId="1" priority="10605" operator="greaterThan">
      <formula>120</formula>
    </cfRule>
    <cfRule type="containsText" dxfId="2" priority="9760" operator="between" text="库存为">
      <formula>NOT(ISERROR(SEARCH("库存为",AU550)))</formula>
    </cfRule>
  </conditionalFormatting>
  <conditionalFormatting sqref="AU551">
    <cfRule type="cellIs" dxfId="0" priority="11449" operator="lessThan">
      <formula>20</formula>
    </cfRule>
    <cfRule type="cellIs" dxfId="1" priority="10604" operator="greaterThan">
      <formula>120</formula>
    </cfRule>
    <cfRule type="containsText" dxfId="2" priority="9759" operator="between" text="库存为">
      <formula>NOT(ISERROR(SEARCH("库存为",AU551)))</formula>
    </cfRule>
  </conditionalFormatting>
  <conditionalFormatting sqref="AU552">
    <cfRule type="cellIs" dxfId="0" priority="11448" operator="lessThan">
      <formula>20</formula>
    </cfRule>
    <cfRule type="cellIs" dxfId="1" priority="10603" operator="greaterThan">
      <formula>120</formula>
    </cfRule>
    <cfRule type="containsText" dxfId="2" priority="9758" operator="between" text="库存为">
      <formula>NOT(ISERROR(SEARCH("库存为",AU552)))</formula>
    </cfRule>
  </conditionalFormatting>
  <conditionalFormatting sqref="AU553">
    <cfRule type="cellIs" dxfId="0" priority="11447" operator="lessThan">
      <formula>20</formula>
    </cfRule>
    <cfRule type="cellIs" dxfId="1" priority="10602" operator="greaterThan">
      <formula>120</formula>
    </cfRule>
    <cfRule type="containsText" dxfId="2" priority="9757" operator="between" text="库存为">
      <formula>NOT(ISERROR(SEARCH("库存为",AU553)))</formula>
    </cfRule>
  </conditionalFormatting>
  <conditionalFormatting sqref="AU554">
    <cfRule type="cellIs" dxfId="0" priority="11446" operator="lessThan">
      <formula>20</formula>
    </cfRule>
    <cfRule type="cellIs" dxfId="1" priority="10601" operator="greaterThan">
      <formula>120</formula>
    </cfRule>
    <cfRule type="containsText" dxfId="2" priority="9756" operator="between" text="库存为">
      <formula>NOT(ISERROR(SEARCH("库存为",AU554)))</formula>
    </cfRule>
  </conditionalFormatting>
  <conditionalFormatting sqref="AU555">
    <cfRule type="cellIs" dxfId="0" priority="11445" operator="lessThan">
      <formula>20</formula>
    </cfRule>
    <cfRule type="cellIs" dxfId="1" priority="10600" operator="greaterThan">
      <formula>120</formula>
    </cfRule>
    <cfRule type="containsText" dxfId="2" priority="9755" operator="between" text="库存为">
      <formula>NOT(ISERROR(SEARCH("库存为",AU555)))</formula>
    </cfRule>
  </conditionalFormatting>
  <conditionalFormatting sqref="AU556">
    <cfRule type="cellIs" dxfId="0" priority="11444" operator="lessThan">
      <formula>20</formula>
    </cfRule>
    <cfRule type="cellIs" dxfId="1" priority="10599" operator="greaterThan">
      <formula>120</formula>
    </cfRule>
    <cfRule type="containsText" dxfId="2" priority="9754" operator="between" text="库存为">
      <formula>NOT(ISERROR(SEARCH("库存为",AU556)))</formula>
    </cfRule>
  </conditionalFormatting>
  <conditionalFormatting sqref="AU557">
    <cfRule type="cellIs" dxfId="0" priority="11443" operator="lessThan">
      <formula>20</formula>
    </cfRule>
    <cfRule type="cellIs" dxfId="1" priority="10598" operator="greaterThan">
      <formula>120</formula>
    </cfRule>
    <cfRule type="containsText" dxfId="2" priority="9753" operator="between" text="库存为">
      <formula>NOT(ISERROR(SEARCH("库存为",AU557)))</formula>
    </cfRule>
  </conditionalFormatting>
  <conditionalFormatting sqref="AU558">
    <cfRule type="cellIs" dxfId="0" priority="11442" operator="lessThan">
      <formula>20</formula>
    </cfRule>
    <cfRule type="cellIs" dxfId="1" priority="10597" operator="greaterThan">
      <formula>120</formula>
    </cfRule>
    <cfRule type="containsText" dxfId="2" priority="9752" operator="between" text="库存为">
      <formula>NOT(ISERROR(SEARCH("库存为",AU558)))</formula>
    </cfRule>
  </conditionalFormatting>
  <conditionalFormatting sqref="AU559">
    <cfRule type="cellIs" dxfId="0" priority="11441" operator="lessThan">
      <formula>20</formula>
    </cfRule>
    <cfRule type="cellIs" dxfId="1" priority="10596" operator="greaterThan">
      <formula>120</formula>
    </cfRule>
    <cfRule type="containsText" dxfId="2" priority="9751" operator="between" text="库存为">
      <formula>NOT(ISERROR(SEARCH("库存为",AU559)))</formula>
    </cfRule>
  </conditionalFormatting>
  <conditionalFormatting sqref="AU560">
    <cfRule type="cellIs" dxfId="0" priority="11440" operator="lessThan">
      <formula>20</formula>
    </cfRule>
    <cfRule type="cellIs" dxfId="1" priority="10595" operator="greaterThan">
      <formula>120</formula>
    </cfRule>
    <cfRule type="containsText" dxfId="2" priority="9750" operator="between" text="库存为">
      <formula>NOT(ISERROR(SEARCH("库存为",AU560)))</formula>
    </cfRule>
  </conditionalFormatting>
  <conditionalFormatting sqref="AU561">
    <cfRule type="cellIs" dxfId="0" priority="11439" operator="lessThan">
      <formula>20</formula>
    </cfRule>
    <cfRule type="cellIs" dxfId="1" priority="10594" operator="greaterThan">
      <formula>120</formula>
    </cfRule>
    <cfRule type="containsText" dxfId="2" priority="9749" operator="between" text="库存为">
      <formula>NOT(ISERROR(SEARCH("库存为",AU561)))</formula>
    </cfRule>
  </conditionalFormatting>
  <conditionalFormatting sqref="AU562">
    <cfRule type="cellIs" dxfId="0" priority="11438" operator="lessThan">
      <formula>20</formula>
    </cfRule>
    <cfRule type="cellIs" dxfId="1" priority="10593" operator="greaterThan">
      <formula>120</formula>
    </cfRule>
    <cfRule type="containsText" dxfId="2" priority="9748" operator="between" text="库存为">
      <formula>NOT(ISERROR(SEARCH("库存为",AU562)))</formula>
    </cfRule>
  </conditionalFormatting>
  <conditionalFormatting sqref="AU563">
    <cfRule type="cellIs" dxfId="0" priority="11437" operator="lessThan">
      <formula>20</formula>
    </cfRule>
    <cfRule type="cellIs" dxfId="1" priority="10592" operator="greaterThan">
      <formula>120</formula>
    </cfRule>
    <cfRule type="containsText" dxfId="2" priority="9747" operator="between" text="库存为">
      <formula>NOT(ISERROR(SEARCH("库存为",AU563)))</formula>
    </cfRule>
  </conditionalFormatting>
  <conditionalFormatting sqref="AU564">
    <cfRule type="cellIs" dxfId="0" priority="11436" operator="lessThan">
      <formula>20</formula>
    </cfRule>
    <cfRule type="cellIs" dxfId="1" priority="10591" operator="greaterThan">
      <formula>120</formula>
    </cfRule>
    <cfRule type="containsText" dxfId="2" priority="9746" operator="between" text="库存为">
      <formula>NOT(ISERROR(SEARCH("库存为",AU564)))</formula>
    </cfRule>
  </conditionalFormatting>
  <conditionalFormatting sqref="AU565">
    <cfRule type="cellIs" dxfId="0" priority="11435" operator="lessThan">
      <formula>20</formula>
    </cfRule>
    <cfRule type="cellIs" dxfId="1" priority="10590" operator="greaterThan">
      <formula>120</formula>
    </cfRule>
    <cfRule type="containsText" dxfId="2" priority="9745" operator="between" text="库存为">
      <formula>NOT(ISERROR(SEARCH("库存为",AU565)))</formula>
    </cfRule>
  </conditionalFormatting>
  <conditionalFormatting sqref="AU566">
    <cfRule type="cellIs" dxfId="0" priority="11434" operator="lessThan">
      <formula>20</formula>
    </cfRule>
    <cfRule type="cellIs" dxfId="1" priority="10589" operator="greaterThan">
      <formula>120</formula>
    </cfRule>
    <cfRule type="containsText" dxfId="2" priority="9744" operator="between" text="库存为">
      <formula>NOT(ISERROR(SEARCH("库存为",AU566)))</formula>
    </cfRule>
  </conditionalFormatting>
  <conditionalFormatting sqref="AU567">
    <cfRule type="cellIs" dxfId="0" priority="11433" operator="lessThan">
      <formula>20</formula>
    </cfRule>
    <cfRule type="cellIs" dxfId="1" priority="10588" operator="greaterThan">
      <formula>120</formula>
    </cfRule>
    <cfRule type="containsText" dxfId="2" priority="9743" operator="between" text="库存为">
      <formula>NOT(ISERROR(SEARCH("库存为",AU567)))</formula>
    </cfRule>
  </conditionalFormatting>
  <conditionalFormatting sqref="AU568">
    <cfRule type="cellIs" dxfId="0" priority="11432" operator="lessThan">
      <formula>20</formula>
    </cfRule>
    <cfRule type="cellIs" dxfId="1" priority="10587" operator="greaterThan">
      <formula>120</formula>
    </cfRule>
    <cfRule type="containsText" dxfId="2" priority="9742" operator="between" text="库存为">
      <formula>NOT(ISERROR(SEARCH("库存为",AU568)))</formula>
    </cfRule>
  </conditionalFormatting>
  <conditionalFormatting sqref="AU569">
    <cfRule type="cellIs" dxfId="0" priority="11431" operator="lessThan">
      <formula>20</formula>
    </cfRule>
    <cfRule type="cellIs" dxfId="1" priority="10586" operator="greaterThan">
      <formula>120</formula>
    </cfRule>
    <cfRule type="containsText" dxfId="2" priority="9741" operator="between" text="库存为">
      <formula>NOT(ISERROR(SEARCH("库存为",AU569)))</formula>
    </cfRule>
  </conditionalFormatting>
  <conditionalFormatting sqref="AU570">
    <cfRule type="cellIs" dxfId="0" priority="11430" operator="lessThan">
      <formula>20</formula>
    </cfRule>
    <cfRule type="cellIs" dxfId="1" priority="10585" operator="greaterThan">
      <formula>120</formula>
    </cfRule>
    <cfRule type="containsText" dxfId="2" priority="9740" operator="between" text="库存为">
      <formula>NOT(ISERROR(SEARCH("库存为",AU570)))</formula>
    </cfRule>
  </conditionalFormatting>
  <conditionalFormatting sqref="AU571">
    <cfRule type="cellIs" dxfId="0" priority="11429" operator="lessThan">
      <formula>20</formula>
    </cfRule>
    <cfRule type="cellIs" dxfId="1" priority="10584" operator="greaterThan">
      <formula>120</formula>
    </cfRule>
    <cfRule type="containsText" dxfId="2" priority="9739" operator="between" text="库存为">
      <formula>NOT(ISERROR(SEARCH("库存为",AU571)))</formula>
    </cfRule>
  </conditionalFormatting>
  <conditionalFormatting sqref="AU572">
    <cfRule type="cellIs" dxfId="0" priority="11428" operator="lessThan">
      <formula>20</formula>
    </cfRule>
    <cfRule type="cellIs" dxfId="1" priority="10583" operator="greaterThan">
      <formula>120</formula>
    </cfRule>
    <cfRule type="containsText" dxfId="2" priority="9738" operator="between" text="库存为">
      <formula>NOT(ISERROR(SEARCH("库存为",AU572)))</formula>
    </cfRule>
  </conditionalFormatting>
  <conditionalFormatting sqref="AU573">
    <cfRule type="cellIs" dxfId="0" priority="11427" operator="lessThan">
      <formula>20</formula>
    </cfRule>
    <cfRule type="cellIs" dxfId="1" priority="10582" operator="greaterThan">
      <formula>120</formula>
    </cfRule>
    <cfRule type="containsText" dxfId="2" priority="9737" operator="between" text="库存为">
      <formula>NOT(ISERROR(SEARCH("库存为",AU573)))</formula>
    </cfRule>
  </conditionalFormatting>
  <conditionalFormatting sqref="AU574">
    <cfRule type="cellIs" dxfId="0" priority="11426" operator="lessThan">
      <formula>20</formula>
    </cfRule>
    <cfRule type="cellIs" dxfId="1" priority="10581" operator="greaterThan">
      <formula>120</formula>
    </cfRule>
    <cfRule type="containsText" dxfId="2" priority="9736" operator="between" text="库存为">
      <formula>NOT(ISERROR(SEARCH("库存为",AU574)))</formula>
    </cfRule>
  </conditionalFormatting>
  <conditionalFormatting sqref="AU575">
    <cfRule type="cellIs" dxfId="0" priority="11425" operator="lessThan">
      <formula>20</formula>
    </cfRule>
    <cfRule type="cellIs" dxfId="1" priority="10580" operator="greaterThan">
      <formula>120</formula>
    </cfRule>
    <cfRule type="containsText" dxfId="2" priority="9735" operator="between" text="库存为">
      <formula>NOT(ISERROR(SEARCH("库存为",AU575)))</formula>
    </cfRule>
  </conditionalFormatting>
  <conditionalFormatting sqref="AU576">
    <cfRule type="cellIs" dxfId="0" priority="11424" operator="lessThan">
      <formula>20</formula>
    </cfRule>
    <cfRule type="cellIs" dxfId="1" priority="10579" operator="greaterThan">
      <formula>120</formula>
    </cfRule>
    <cfRule type="containsText" dxfId="2" priority="9734" operator="between" text="库存为">
      <formula>NOT(ISERROR(SEARCH("库存为",AU576)))</formula>
    </cfRule>
  </conditionalFormatting>
  <conditionalFormatting sqref="AU577">
    <cfRule type="cellIs" dxfId="0" priority="11423" operator="lessThan">
      <formula>20</formula>
    </cfRule>
    <cfRule type="cellIs" dxfId="1" priority="10578" operator="greaterThan">
      <formula>120</formula>
    </cfRule>
    <cfRule type="containsText" dxfId="2" priority="9733" operator="between" text="库存为">
      <formula>NOT(ISERROR(SEARCH("库存为",AU577)))</formula>
    </cfRule>
  </conditionalFormatting>
  <conditionalFormatting sqref="AU578">
    <cfRule type="cellIs" dxfId="0" priority="11422" operator="lessThan">
      <formula>20</formula>
    </cfRule>
    <cfRule type="cellIs" dxfId="1" priority="10577" operator="greaterThan">
      <formula>120</formula>
    </cfRule>
    <cfRule type="containsText" dxfId="2" priority="9732" operator="between" text="库存为">
      <formula>NOT(ISERROR(SEARCH("库存为",AU578)))</formula>
    </cfRule>
  </conditionalFormatting>
  <conditionalFormatting sqref="AU579">
    <cfRule type="cellIs" dxfId="0" priority="11421" operator="lessThan">
      <formula>20</formula>
    </cfRule>
    <cfRule type="cellIs" dxfId="1" priority="10576" operator="greaterThan">
      <formula>120</formula>
    </cfRule>
    <cfRule type="containsText" dxfId="2" priority="9731" operator="between" text="库存为">
      <formula>NOT(ISERROR(SEARCH("库存为",AU579)))</formula>
    </cfRule>
  </conditionalFormatting>
  <conditionalFormatting sqref="AU580">
    <cfRule type="cellIs" dxfId="0" priority="11420" operator="lessThan">
      <formula>20</formula>
    </cfRule>
    <cfRule type="cellIs" dxfId="1" priority="10575" operator="greaterThan">
      <formula>120</formula>
    </cfRule>
    <cfRule type="containsText" dxfId="2" priority="9730" operator="between" text="库存为">
      <formula>NOT(ISERROR(SEARCH("库存为",AU580)))</formula>
    </cfRule>
  </conditionalFormatting>
  <conditionalFormatting sqref="AU581">
    <cfRule type="cellIs" dxfId="0" priority="11419" operator="lessThan">
      <formula>20</formula>
    </cfRule>
    <cfRule type="cellIs" dxfId="1" priority="10574" operator="greaterThan">
      <formula>120</formula>
    </cfRule>
    <cfRule type="containsText" dxfId="2" priority="9729" operator="between" text="库存为">
      <formula>NOT(ISERROR(SEARCH("库存为",AU581)))</formula>
    </cfRule>
  </conditionalFormatting>
  <conditionalFormatting sqref="AU582">
    <cfRule type="cellIs" dxfId="0" priority="11418" operator="lessThan">
      <formula>20</formula>
    </cfRule>
    <cfRule type="cellIs" dxfId="1" priority="10573" operator="greaterThan">
      <formula>120</formula>
    </cfRule>
    <cfRule type="containsText" dxfId="2" priority="9728" operator="between" text="库存为">
      <formula>NOT(ISERROR(SEARCH("库存为",AU582)))</formula>
    </cfRule>
  </conditionalFormatting>
  <conditionalFormatting sqref="AU583">
    <cfRule type="cellIs" dxfId="0" priority="11417" operator="lessThan">
      <formula>20</formula>
    </cfRule>
    <cfRule type="cellIs" dxfId="1" priority="10572" operator="greaterThan">
      <formula>120</formula>
    </cfRule>
    <cfRule type="containsText" dxfId="2" priority="9727" operator="between" text="库存为">
      <formula>NOT(ISERROR(SEARCH("库存为",AU583)))</formula>
    </cfRule>
  </conditionalFormatting>
  <conditionalFormatting sqref="AU584">
    <cfRule type="cellIs" dxfId="0" priority="11416" operator="lessThan">
      <formula>20</formula>
    </cfRule>
    <cfRule type="cellIs" dxfId="1" priority="10571" operator="greaterThan">
      <formula>120</formula>
    </cfRule>
    <cfRule type="containsText" dxfId="2" priority="9726" operator="between" text="库存为">
      <formula>NOT(ISERROR(SEARCH("库存为",AU584)))</formula>
    </cfRule>
  </conditionalFormatting>
  <conditionalFormatting sqref="AU585">
    <cfRule type="cellIs" dxfId="0" priority="11415" operator="lessThan">
      <formula>20</formula>
    </cfRule>
    <cfRule type="cellIs" dxfId="1" priority="10570" operator="greaterThan">
      <formula>120</formula>
    </cfRule>
    <cfRule type="containsText" dxfId="2" priority="9725" operator="between" text="库存为">
      <formula>NOT(ISERROR(SEARCH("库存为",AU585)))</formula>
    </cfRule>
  </conditionalFormatting>
  <conditionalFormatting sqref="AU586">
    <cfRule type="cellIs" dxfId="0" priority="11414" operator="lessThan">
      <formula>20</formula>
    </cfRule>
    <cfRule type="cellIs" dxfId="1" priority="10569" operator="greaterThan">
      <formula>120</formula>
    </cfRule>
    <cfRule type="containsText" dxfId="2" priority="9724" operator="between" text="库存为">
      <formula>NOT(ISERROR(SEARCH("库存为",AU586)))</formula>
    </cfRule>
  </conditionalFormatting>
  <conditionalFormatting sqref="AU587">
    <cfRule type="cellIs" dxfId="0" priority="11413" operator="lessThan">
      <formula>20</formula>
    </cfRule>
    <cfRule type="cellIs" dxfId="1" priority="10568" operator="greaterThan">
      <formula>120</formula>
    </cfRule>
    <cfRule type="containsText" dxfId="2" priority="9723" operator="between" text="库存为">
      <formula>NOT(ISERROR(SEARCH("库存为",AU587)))</formula>
    </cfRule>
  </conditionalFormatting>
  <conditionalFormatting sqref="AU588">
    <cfRule type="cellIs" dxfId="0" priority="11412" operator="lessThan">
      <formula>20</formula>
    </cfRule>
    <cfRule type="cellIs" dxfId="1" priority="10567" operator="greaterThan">
      <formula>120</formula>
    </cfRule>
    <cfRule type="containsText" dxfId="2" priority="9722" operator="between" text="库存为">
      <formula>NOT(ISERROR(SEARCH("库存为",AU588)))</formula>
    </cfRule>
  </conditionalFormatting>
  <conditionalFormatting sqref="AU589">
    <cfRule type="cellIs" dxfId="0" priority="11411" operator="lessThan">
      <formula>20</formula>
    </cfRule>
    <cfRule type="cellIs" dxfId="1" priority="10566" operator="greaterThan">
      <formula>120</formula>
    </cfRule>
    <cfRule type="containsText" dxfId="2" priority="9721" operator="between" text="库存为">
      <formula>NOT(ISERROR(SEARCH("库存为",AU589)))</formula>
    </cfRule>
  </conditionalFormatting>
  <conditionalFormatting sqref="AU590">
    <cfRule type="cellIs" dxfId="0" priority="11410" operator="lessThan">
      <formula>20</formula>
    </cfRule>
    <cfRule type="cellIs" dxfId="1" priority="10565" operator="greaterThan">
      <formula>120</formula>
    </cfRule>
    <cfRule type="containsText" dxfId="2" priority="9720" operator="between" text="库存为">
      <formula>NOT(ISERROR(SEARCH("库存为",AU590)))</formula>
    </cfRule>
  </conditionalFormatting>
  <conditionalFormatting sqref="AU591">
    <cfRule type="cellIs" dxfId="0" priority="11409" operator="lessThan">
      <formula>20</formula>
    </cfRule>
    <cfRule type="cellIs" dxfId="1" priority="10564" operator="greaterThan">
      <formula>120</formula>
    </cfRule>
    <cfRule type="containsText" dxfId="2" priority="9719" operator="between" text="库存为">
      <formula>NOT(ISERROR(SEARCH("库存为",AU591)))</formula>
    </cfRule>
  </conditionalFormatting>
  <conditionalFormatting sqref="AU592">
    <cfRule type="cellIs" dxfId="0" priority="11408" operator="lessThan">
      <formula>20</formula>
    </cfRule>
    <cfRule type="cellIs" dxfId="1" priority="10563" operator="greaterThan">
      <formula>120</formula>
    </cfRule>
    <cfRule type="containsText" dxfId="2" priority="9718" operator="between" text="库存为">
      <formula>NOT(ISERROR(SEARCH("库存为",AU592)))</formula>
    </cfRule>
  </conditionalFormatting>
  <conditionalFormatting sqref="AU593">
    <cfRule type="cellIs" dxfId="0" priority="11407" operator="lessThan">
      <formula>20</formula>
    </cfRule>
    <cfRule type="cellIs" dxfId="1" priority="10562" operator="greaterThan">
      <formula>120</formula>
    </cfRule>
    <cfRule type="containsText" dxfId="2" priority="9717" operator="between" text="库存为">
      <formula>NOT(ISERROR(SEARCH("库存为",AU593)))</formula>
    </cfRule>
  </conditionalFormatting>
  <conditionalFormatting sqref="AU594">
    <cfRule type="cellIs" dxfId="0" priority="11406" operator="lessThan">
      <formula>20</formula>
    </cfRule>
    <cfRule type="cellIs" dxfId="1" priority="10561" operator="greaterThan">
      <formula>120</formula>
    </cfRule>
    <cfRule type="containsText" dxfId="2" priority="9716" operator="between" text="库存为">
      <formula>NOT(ISERROR(SEARCH("库存为",AU594)))</formula>
    </cfRule>
  </conditionalFormatting>
  <conditionalFormatting sqref="AU595">
    <cfRule type="cellIs" dxfId="0" priority="11405" operator="lessThan">
      <formula>20</formula>
    </cfRule>
    <cfRule type="cellIs" dxfId="1" priority="10560" operator="greaterThan">
      <formula>120</formula>
    </cfRule>
    <cfRule type="containsText" dxfId="2" priority="9715" operator="between" text="库存为">
      <formula>NOT(ISERROR(SEARCH("库存为",AU595)))</formula>
    </cfRule>
  </conditionalFormatting>
  <conditionalFormatting sqref="AU596">
    <cfRule type="cellIs" dxfId="0" priority="11404" operator="lessThan">
      <formula>20</formula>
    </cfRule>
    <cfRule type="cellIs" dxfId="1" priority="10559" operator="greaterThan">
      <formula>120</formula>
    </cfRule>
    <cfRule type="containsText" dxfId="2" priority="9714" operator="between" text="库存为">
      <formula>NOT(ISERROR(SEARCH("库存为",AU596)))</formula>
    </cfRule>
  </conditionalFormatting>
  <conditionalFormatting sqref="AU597">
    <cfRule type="cellIs" dxfId="0" priority="11403" operator="lessThan">
      <formula>20</formula>
    </cfRule>
    <cfRule type="cellIs" dxfId="1" priority="10558" operator="greaterThan">
      <formula>120</formula>
    </cfRule>
    <cfRule type="containsText" dxfId="2" priority="9713" operator="between" text="库存为">
      <formula>NOT(ISERROR(SEARCH("库存为",AU597)))</formula>
    </cfRule>
  </conditionalFormatting>
  <conditionalFormatting sqref="AU598">
    <cfRule type="cellIs" dxfId="0" priority="11402" operator="lessThan">
      <formula>20</formula>
    </cfRule>
    <cfRule type="cellIs" dxfId="1" priority="10557" operator="greaterThan">
      <formula>120</formula>
    </cfRule>
    <cfRule type="containsText" dxfId="2" priority="9712" operator="between" text="库存为">
      <formula>NOT(ISERROR(SEARCH("库存为",AU598)))</formula>
    </cfRule>
  </conditionalFormatting>
  <conditionalFormatting sqref="AU599">
    <cfRule type="cellIs" dxfId="0" priority="11401" operator="lessThan">
      <formula>20</formula>
    </cfRule>
    <cfRule type="cellIs" dxfId="1" priority="10556" operator="greaterThan">
      <formula>120</formula>
    </cfRule>
    <cfRule type="containsText" dxfId="2" priority="9711" operator="between" text="库存为">
      <formula>NOT(ISERROR(SEARCH("库存为",AU599)))</formula>
    </cfRule>
  </conditionalFormatting>
  <conditionalFormatting sqref="AU600">
    <cfRule type="cellIs" dxfId="0" priority="11400" operator="lessThan">
      <formula>20</formula>
    </cfRule>
    <cfRule type="cellIs" dxfId="1" priority="10555" operator="greaterThan">
      <formula>120</formula>
    </cfRule>
    <cfRule type="containsText" dxfId="2" priority="9710" operator="between" text="库存为">
      <formula>NOT(ISERROR(SEARCH("库存为",AU600)))</formula>
    </cfRule>
  </conditionalFormatting>
  <conditionalFormatting sqref="AU601">
    <cfRule type="cellIs" dxfId="0" priority="11399" operator="lessThan">
      <formula>20</formula>
    </cfRule>
    <cfRule type="cellIs" dxfId="1" priority="10554" operator="greaterThan">
      <formula>120</formula>
    </cfRule>
    <cfRule type="containsText" dxfId="2" priority="9709" operator="between" text="库存为">
      <formula>NOT(ISERROR(SEARCH("库存为",AU601)))</formula>
    </cfRule>
  </conditionalFormatting>
  <conditionalFormatting sqref="AU602">
    <cfRule type="cellIs" dxfId="0" priority="11398" operator="lessThan">
      <formula>20</formula>
    </cfRule>
    <cfRule type="cellIs" dxfId="1" priority="10553" operator="greaterThan">
      <formula>120</formula>
    </cfRule>
    <cfRule type="containsText" dxfId="2" priority="9708" operator="between" text="库存为">
      <formula>NOT(ISERROR(SEARCH("库存为",AU602)))</formula>
    </cfRule>
  </conditionalFormatting>
  <conditionalFormatting sqref="AU603">
    <cfRule type="cellIs" dxfId="0" priority="11397" operator="lessThan">
      <formula>20</formula>
    </cfRule>
    <cfRule type="cellIs" dxfId="1" priority="10552" operator="greaterThan">
      <formula>120</formula>
    </cfRule>
    <cfRule type="containsText" dxfId="2" priority="9707" operator="between" text="库存为">
      <formula>NOT(ISERROR(SEARCH("库存为",AU603)))</formula>
    </cfRule>
  </conditionalFormatting>
  <conditionalFormatting sqref="AU604">
    <cfRule type="cellIs" dxfId="0" priority="11396" operator="lessThan">
      <formula>20</formula>
    </cfRule>
    <cfRule type="cellIs" dxfId="1" priority="10551" operator="greaterThan">
      <formula>120</formula>
    </cfRule>
    <cfRule type="containsText" dxfId="2" priority="9706" operator="between" text="库存为">
      <formula>NOT(ISERROR(SEARCH("库存为",AU604)))</formula>
    </cfRule>
  </conditionalFormatting>
  <conditionalFormatting sqref="AU605">
    <cfRule type="cellIs" dxfId="0" priority="11395" operator="lessThan">
      <formula>20</formula>
    </cfRule>
    <cfRule type="cellIs" dxfId="1" priority="10550" operator="greaterThan">
      <formula>120</formula>
    </cfRule>
    <cfRule type="containsText" dxfId="2" priority="9705" operator="between" text="库存为">
      <formula>NOT(ISERROR(SEARCH("库存为",AU605)))</formula>
    </cfRule>
  </conditionalFormatting>
  <conditionalFormatting sqref="AU606">
    <cfRule type="cellIs" dxfId="0" priority="11394" operator="lessThan">
      <formula>20</formula>
    </cfRule>
    <cfRule type="cellIs" dxfId="1" priority="10549" operator="greaterThan">
      <formula>120</formula>
    </cfRule>
    <cfRule type="containsText" dxfId="2" priority="9704" operator="between" text="库存为">
      <formula>NOT(ISERROR(SEARCH("库存为",AU606)))</formula>
    </cfRule>
  </conditionalFormatting>
  <conditionalFormatting sqref="AU607">
    <cfRule type="cellIs" dxfId="0" priority="11393" operator="lessThan">
      <formula>20</formula>
    </cfRule>
    <cfRule type="cellIs" dxfId="1" priority="10548" operator="greaterThan">
      <formula>120</formula>
    </cfRule>
    <cfRule type="containsText" dxfId="2" priority="9703" operator="between" text="库存为">
      <formula>NOT(ISERROR(SEARCH("库存为",AU607)))</formula>
    </cfRule>
  </conditionalFormatting>
  <conditionalFormatting sqref="AU608">
    <cfRule type="cellIs" dxfId="0" priority="11392" operator="lessThan">
      <formula>20</formula>
    </cfRule>
    <cfRule type="cellIs" dxfId="1" priority="10547" operator="greaterThan">
      <formula>120</formula>
    </cfRule>
    <cfRule type="containsText" dxfId="2" priority="9702" operator="between" text="库存为">
      <formula>NOT(ISERROR(SEARCH("库存为",AU608)))</formula>
    </cfRule>
  </conditionalFormatting>
  <conditionalFormatting sqref="AU609">
    <cfRule type="cellIs" dxfId="0" priority="11391" operator="lessThan">
      <formula>20</formula>
    </cfRule>
    <cfRule type="cellIs" dxfId="1" priority="10546" operator="greaterThan">
      <formula>120</formula>
    </cfRule>
    <cfRule type="containsText" dxfId="2" priority="9701" operator="between" text="库存为">
      <formula>NOT(ISERROR(SEARCH("库存为",AU609)))</formula>
    </cfRule>
  </conditionalFormatting>
  <conditionalFormatting sqref="AU610">
    <cfRule type="cellIs" dxfId="0" priority="11390" operator="lessThan">
      <formula>20</formula>
    </cfRule>
    <cfRule type="cellIs" dxfId="1" priority="10545" operator="greaterThan">
      <formula>120</formula>
    </cfRule>
    <cfRule type="containsText" dxfId="2" priority="9700" operator="between" text="库存为">
      <formula>NOT(ISERROR(SEARCH("库存为",AU610)))</formula>
    </cfRule>
  </conditionalFormatting>
  <conditionalFormatting sqref="AU611">
    <cfRule type="cellIs" dxfId="0" priority="11389" operator="lessThan">
      <formula>20</formula>
    </cfRule>
    <cfRule type="cellIs" dxfId="1" priority="10544" operator="greaterThan">
      <formula>120</formula>
    </cfRule>
    <cfRule type="containsText" dxfId="2" priority="9699" operator="between" text="库存为">
      <formula>NOT(ISERROR(SEARCH("库存为",AU611)))</formula>
    </cfRule>
  </conditionalFormatting>
  <conditionalFormatting sqref="AU612">
    <cfRule type="cellIs" dxfId="0" priority="11388" operator="lessThan">
      <formula>20</formula>
    </cfRule>
    <cfRule type="cellIs" dxfId="1" priority="10543" operator="greaterThan">
      <formula>120</formula>
    </cfRule>
    <cfRule type="containsText" dxfId="2" priority="9698" operator="between" text="库存为">
      <formula>NOT(ISERROR(SEARCH("库存为",AU612)))</formula>
    </cfRule>
  </conditionalFormatting>
  <conditionalFormatting sqref="AU613">
    <cfRule type="cellIs" dxfId="0" priority="11387" operator="lessThan">
      <formula>20</formula>
    </cfRule>
    <cfRule type="cellIs" dxfId="1" priority="10542" operator="greaterThan">
      <formula>120</formula>
    </cfRule>
    <cfRule type="containsText" dxfId="2" priority="9697" operator="between" text="库存为">
      <formula>NOT(ISERROR(SEARCH("库存为",AU613)))</formula>
    </cfRule>
  </conditionalFormatting>
  <conditionalFormatting sqref="AU614">
    <cfRule type="cellIs" dxfId="0" priority="11386" operator="lessThan">
      <formula>20</formula>
    </cfRule>
    <cfRule type="cellIs" dxfId="1" priority="10541" operator="greaterThan">
      <formula>120</formula>
    </cfRule>
    <cfRule type="containsText" dxfId="2" priority="9696" operator="between" text="库存为">
      <formula>NOT(ISERROR(SEARCH("库存为",AU614)))</formula>
    </cfRule>
  </conditionalFormatting>
  <conditionalFormatting sqref="AU615">
    <cfRule type="cellIs" dxfId="0" priority="11385" operator="lessThan">
      <formula>20</formula>
    </cfRule>
    <cfRule type="cellIs" dxfId="1" priority="10540" operator="greaterThan">
      <formula>120</formula>
    </cfRule>
    <cfRule type="containsText" dxfId="2" priority="9695" operator="between" text="库存为">
      <formula>NOT(ISERROR(SEARCH("库存为",AU615)))</formula>
    </cfRule>
  </conditionalFormatting>
  <conditionalFormatting sqref="AU616">
    <cfRule type="cellIs" dxfId="0" priority="11384" operator="lessThan">
      <formula>20</formula>
    </cfRule>
    <cfRule type="cellIs" dxfId="1" priority="10539" operator="greaterThan">
      <formula>120</formula>
    </cfRule>
    <cfRule type="containsText" dxfId="2" priority="9694" operator="between" text="库存为">
      <formula>NOT(ISERROR(SEARCH("库存为",AU616)))</formula>
    </cfRule>
  </conditionalFormatting>
  <conditionalFormatting sqref="AU617">
    <cfRule type="cellIs" dxfId="0" priority="11383" operator="lessThan">
      <formula>20</formula>
    </cfRule>
    <cfRule type="cellIs" dxfId="1" priority="10538" operator="greaterThan">
      <formula>120</formula>
    </cfRule>
    <cfRule type="containsText" dxfId="2" priority="9693" operator="between" text="库存为">
      <formula>NOT(ISERROR(SEARCH("库存为",AU617)))</formula>
    </cfRule>
  </conditionalFormatting>
  <conditionalFormatting sqref="AU618">
    <cfRule type="cellIs" dxfId="0" priority="11382" operator="lessThan">
      <formula>20</formula>
    </cfRule>
    <cfRule type="cellIs" dxfId="1" priority="10537" operator="greaterThan">
      <formula>120</formula>
    </cfRule>
    <cfRule type="containsText" dxfId="2" priority="9692" operator="between" text="库存为">
      <formula>NOT(ISERROR(SEARCH("库存为",AU618)))</formula>
    </cfRule>
  </conditionalFormatting>
  <conditionalFormatting sqref="AU619">
    <cfRule type="cellIs" dxfId="0" priority="11381" operator="lessThan">
      <formula>20</formula>
    </cfRule>
    <cfRule type="cellIs" dxfId="1" priority="10536" operator="greaterThan">
      <formula>120</formula>
    </cfRule>
    <cfRule type="containsText" dxfId="2" priority="9691" operator="between" text="库存为">
      <formula>NOT(ISERROR(SEARCH("库存为",AU619)))</formula>
    </cfRule>
  </conditionalFormatting>
  <conditionalFormatting sqref="AU620">
    <cfRule type="cellIs" dxfId="0" priority="11380" operator="lessThan">
      <formula>20</formula>
    </cfRule>
    <cfRule type="cellIs" dxfId="1" priority="10535" operator="greaterThan">
      <formula>120</formula>
    </cfRule>
    <cfRule type="containsText" dxfId="2" priority="9690" operator="between" text="库存为">
      <formula>NOT(ISERROR(SEARCH("库存为",AU620)))</formula>
    </cfRule>
  </conditionalFormatting>
  <conditionalFormatting sqref="AU621">
    <cfRule type="cellIs" dxfId="0" priority="11379" operator="lessThan">
      <formula>20</formula>
    </cfRule>
    <cfRule type="cellIs" dxfId="1" priority="10534" operator="greaterThan">
      <formula>120</formula>
    </cfRule>
    <cfRule type="containsText" dxfId="2" priority="9689" operator="between" text="库存为">
      <formula>NOT(ISERROR(SEARCH("库存为",AU621)))</formula>
    </cfRule>
  </conditionalFormatting>
  <conditionalFormatting sqref="AU622">
    <cfRule type="cellIs" dxfId="0" priority="11378" operator="lessThan">
      <formula>20</formula>
    </cfRule>
    <cfRule type="cellIs" dxfId="1" priority="10533" operator="greaterThan">
      <formula>120</formula>
    </cfRule>
    <cfRule type="containsText" dxfId="2" priority="9688" operator="between" text="库存为">
      <formula>NOT(ISERROR(SEARCH("库存为",AU622)))</formula>
    </cfRule>
  </conditionalFormatting>
  <conditionalFormatting sqref="AU623">
    <cfRule type="cellIs" dxfId="0" priority="11377" operator="lessThan">
      <formula>20</formula>
    </cfRule>
    <cfRule type="cellIs" dxfId="1" priority="10532" operator="greaterThan">
      <formula>120</formula>
    </cfRule>
    <cfRule type="containsText" dxfId="2" priority="9687" operator="between" text="库存为">
      <formula>NOT(ISERROR(SEARCH("库存为",AU623)))</formula>
    </cfRule>
  </conditionalFormatting>
  <conditionalFormatting sqref="AU624">
    <cfRule type="cellIs" dxfId="0" priority="11376" operator="lessThan">
      <formula>20</formula>
    </cfRule>
    <cfRule type="cellIs" dxfId="1" priority="10531" operator="greaterThan">
      <formula>120</formula>
    </cfRule>
    <cfRule type="containsText" dxfId="2" priority="9686" operator="between" text="库存为">
      <formula>NOT(ISERROR(SEARCH("库存为",AU624)))</formula>
    </cfRule>
  </conditionalFormatting>
  <conditionalFormatting sqref="AU625">
    <cfRule type="cellIs" dxfId="0" priority="11375" operator="lessThan">
      <formula>20</formula>
    </cfRule>
    <cfRule type="cellIs" dxfId="1" priority="10530" operator="greaterThan">
      <formula>120</formula>
    </cfRule>
    <cfRule type="containsText" dxfId="2" priority="9685" operator="between" text="库存为">
      <formula>NOT(ISERROR(SEARCH("库存为",AU625)))</formula>
    </cfRule>
  </conditionalFormatting>
  <conditionalFormatting sqref="AU626">
    <cfRule type="cellIs" dxfId="0" priority="11374" operator="lessThan">
      <formula>20</formula>
    </cfRule>
    <cfRule type="cellIs" dxfId="1" priority="10529" operator="greaterThan">
      <formula>120</formula>
    </cfRule>
    <cfRule type="containsText" dxfId="2" priority="9684" operator="between" text="库存为">
      <formula>NOT(ISERROR(SEARCH("库存为",AU626)))</formula>
    </cfRule>
  </conditionalFormatting>
  <conditionalFormatting sqref="AU627">
    <cfRule type="cellIs" dxfId="0" priority="11373" operator="lessThan">
      <formula>20</formula>
    </cfRule>
    <cfRule type="cellIs" dxfId="1" priority="10528" operator="greaterThan">
      <formula>120</formula>
    </cfRule>
    <cfRule type="containsText" dxfId="2" priority="9683" operator="between" text="库存为">
      <formula>NOT(ISERROR(SEARCH("库存为",AU627)))</formula>
    </cfRule>
  </conditionalFormatting>
  <conditionalFormatting sqref="AU628">
    <cfRule type="cellIs" dxfId="0" priority="11372" operator="lessThan">
      <formula>20</formula>
    </cfRule>
    <cfRule type="cellIs" dxfId="1" priority="10527" operator="greaterThan">
      <formula>120</formula>
    </cfRule>
    <cfRule type="containsText" dxfId="2" priority="9682" operator="between" text="库存为">
      <formula>NOT(ISERROR(SEARCH("库存为",AU628)))</formula>
    </cfRule>
  </conditionalFormatting>
  <conditionalFormatting sqref="AU629">
    <cfRule type="cellIs" dxfId="0" priority="11371" operator="lessThan">
      <formula>20</formula>
    </cfRule>
    <cfRule type="cellIs" dxfId="1" priority="10526" operator="greaterThan">
      <formula>120</formula>
    </cfRule>
    <cfRule type="containsText" dxfId="2" priority="9681" operator="between" text="库存为">
      <formula>NOT(ISERROR(SEARCH("库存为",AU629)))</formula>
    </cfRule>
  </conditionalFormatting>
  <conditionalFormatting sqref="AU630">
    <cfRule type="cellIs" dxfId="0" priority="11370" operator="lessThan">
      <formula>20</formula>
    </cfRule>
    <cfRule type="cellIs" dxfId="1" priority="10525" operator="greaterThan">
      <formula>120</formula>
    </cfRule>
    <cfRule type="containsText" dxfId="2" priority="9680" operator="between" text="库存为">
      <formula>NOT(ISERROR(SEARCH("库存为",AU630)))</formula>
    </cfRule>
  </conditionalFormatting>
  <conditionalFormatting sqref="AU631">
    <cfRule type="cellIs" dxfId="0" priority="11369" operator="lessThan">
      <formula>20</formula>
    </cfRule>
    <cfRule type="cellIs" dxfId="1" priority="10524" operator="greaterThan">
      <formula>120</formula>
    </cfRule>
    <cfRule type="containsText" dxfId="2" priority="9679" operator="between" text="库存为">
      <formula>NOT(ISERROR(SEARCH("库存为",AU631)))</formula>
    </cfRule>
  </conditionalFormatting>
  <conditionalFormatting sqref="AU632">
    <cfRule type="cellIs" dxfId="0" priority="11368" operator="lessThan">
      <formula>20</formula>
    </cfRule>
    <cfRule type="cellIs" dxfId="1" priority="10523" operator="greaterThan">
      <formula>120</formula>
    </cfRule>
    <cfRule type="containsText" dxfId="2" priority="9678" operator="between" text="库存为">
      <formula>NOT(ISERROR(SEARCH("库存为",AU632)))</formula>
    </cfRule>
  </conditionalFormatting>
  <conditionalFormatting sqref="AU633">
    <cfRule type="cellIs" dxfId="0" priority="11367" operator="lessThan">
      <formula>20</formula>
    </cfRule>
    <cfRule type="cellIs" dxfId="1" priority="10522" operator="greaterThan">
      <formula>120</formula>
    </cfRule>
    <cfRule type="containsText" dxfId="2" priority="9677" operator="between" text="库存为">
      <formula>NOT(ISERROR(SEARCH("库存为",AU633)))</formula>
    </cfRule>
  </conditionalFormatting>
  <conditionalFormatting sqref="AU634">
    <cfRule type="cellIs" dxfId="0" priority="11366" operator="lessThan">
      <formula>20</formula>
    </cfRule>
    <cfRule type="cellIs" dxfId="1" priority="10521" operator="greaterThan">
      <formula>120</formula>
    </cfRule>
    <cfRule type="containsText" dxfId="2" priority="9676" operator="between" text="库存为">
      <formula>NOT(ISERROR(SEARCH("库存为",AU634)))</formula>
    </cfRule>
  </conditionalFormatting>
  <conditionalFormatting sqref="AU635">
    <cfRule type="cellIs" dxfId="0" priority="11365" operator="lessThan">
      <formula>20</formula>
    </cfRule>
    <cfRule type="cellIs" dxfId="1" priority="10520" operator="greaterThan">
      <formula>120</formula>
    </cfRule>
    <cfRule type="containsText" dxfId="2" priority="9675" operator="between" text="库存为">
      <formula>NOT(ISERROR(SEARCH("库存为",AU635)))</formula>
    </cfRule>
  </conditionalFormatting>
  <conditionalFormatting sqref="AU636">
    <cfRule type="cellIs" dxfId="0" priority="11364" operator="lessThan">
      <formula>20</formula>
    </cfRule>
    <cfRule type="cellIs" dxfId="1" priority="10519" operator="greaterThan">
      <formula>120</formula>
    </cfRule>
    <cfRule type="containsText" dxfId="2" priority="9674" operator="between" text="库存为">
      <formula>NOT(ISERROR(SEARCH("库存为",AU636)))</formula>
    </cfRule>
  </conditionalFormatting>
  <conditionalFormatting sqref="AU637">
    <cfRule type="cellIs" dxfId="0" priority="11363" operator="lessThan">
      <formula>20</formula>
    </cfRule>
    <cfRule type="cellIs" dxfId="1" priority="10518" operator="greaterThan">
      <formula>120</formula>
    </cfRule>
    <cfRule type="containsText" dxfId="2" priority="9673" operator="between" text="库存为">
      <formula>NOT(ISERROR(SEARCH("库存为",AU637)))</formula>
    </cfRule>
  </conditionalFormatting>
  <conditionalFormatting sqref="AU638">
    <cfRule type="cellIs" dxfId="0" priority="11362" operator="lessThan">
      <formula>20</formula>
    </cfRule>
    <cfRule type="cellIs" dxfId="1" priority="10517" operator="greaterThan">
      <formula>120</formula>
    </cfRule>
    <cfRule type="containsText" dxfId="2" priority="9672" operator="between" text="库存为">
      <formula>NOT(ISERROR(SEARCH("库存为",AU638)))</formula>
    </cfRule>
  </conditionalFormatting>
  <conditionalFormatting sqref="AU639">
    <cfRule type="cellIs" dxfId="0" priority="11361" operator="lessThan">
      <formula>20</formula>
    </cfRule>
    <cfRule type="cellIs" dxfId="1" priority="10516" operator="greaterThan">
      <formula>120</formula>
    </cfRule>
    <cfRule type="containsText" dxfId="2" priority="9671" operator="between" text="库存为">
      <formula>NOT(ISERROR(SEARCH("库存为",AU639)))</formula>
    </cfRule>
  </conditionalFormatting>
  <conditionalFormatting sqref="AU640">
    <cfRule type="cellIs" dxfId="0" priority="11360" operator="lessThan">
      <formula>20</formula>
    </cfRule>
    <cfRule type="cellIs" dxfId="1" priority="10515" operator="greaterThan">
      <formula>120</formula>
    </cfRule>
    <cfRule type="containsText" dxfId="2" priority="9670" operator="between" text="库存为">
      <formula>NOT(ISERROR(SEARCH("库存为",AU640)))</formula>
    </cfRule>
  </conditionalFormatting>
  <conditionalFormatting sqref="AU641">
    <cfRule type="cellIs" dxfId="0" priority="11359" operator="lessThan">
      <formula>20</formula>
    </cfRule>
    <cfRule type="cellIs" dxfId="1" priority="10514" operator="greaterThan">
      <formula>120</formula>
    </cfRule>
    <cfRule type="containsText" dxfId="2" priority="9669" operator="between" text="库存为">
      <formula>NOT(ISERROR(SEARCH("库存为",AU641)))</formula>
    </cfRule>
  </conditionalFormatting>
  <conditionalFormatting sqref="AU642">
    <cfRule type="cellIs" dxfId="0" priority="11358" operator="lessThan">
      <formula>20</formula>
    </cfRule>
    <cfRule type="cellIs" dxfId="1" priority="10513" operator="greaterThan">
      <formula>120</formula>
    </cfRule>
    <cfRule type="containsText" dxfId="2" priority="9668" operator="between" text="库存为">
      <formula>NOT(ISERROR(SEARCH("库存为",AU642)))</formula>
    </cfRule>
  </conditionalFormatting>
  <conditionalFormatting sqref="AU643">
    <cfRule type="cellIs" dxfId="0" priority="11357" operator="lessThan">
      <formula>20</formula>
    </cfRule>
    <cfRule type="cellIs" dxfId="1" priority="10512" operator="greaterThan">
      <formula>120</formula>
    </cfRule>
    <cfRule type="containsText" dxfId="2" priority="9667" operator="between" text="库存为">
      <formula>NOT(ISERROR(SEARCH("库存为",AU643)))</formula>
    </cfRule>
  </conditionalFormatting>
  <conditionalFormatting sqref="AU644">
    <cfRule type="cellIs" dxfId="0" priority="11356" operator="lessThan">
      <formula>20</formula>
    </cfRule>
    <cfRule type="cellIs" dxfId="1" priority="10511" operator="greaterThan">
      <formula>120</formula>
    </cfRule>
    <cfRule type="containsText" dxfId="2" priority="9666" operator="between" text="库存为">
      <formula>NOT(ISERROR(SEARCH("库存为",AU644)))</formula>
    </cfRule>
  </conditionalFormatting>
  <conditionalFormatting sqref="AU645">
    <cfRule type="cellIs" dxfId="0" priority="11355" operator="lessThan">
      <formula>20</formula>
    </cfRule>
    <cfRule type="cellIs" dxfId="1" priority="10510" operator="greaterThan">
      <formula>120</formula>
    </cfRule>
    <cfRule type="containsText" dxfId="2" priority="9665" operator="between" text="库存为">
      <formula>NOT(ISERROR(SEARCH("库存为",AU645)))</formula>
    </cfRule>
  </conditionalFormatting>
  <conditionalFormatting sqref="AU646">
    <cfRule type="cellIs" dxfId="0" priority="11354" operator="lessThan">
      <formula>20</formula>
    </cfRule>
    <cfRule type="cellIs" dxfId="1" priority="10509" operator="greaterThan">
      <formula>120</formula>
    </cfRule>
    <cfRule type="containsText" dxfId="2" priority="9664" operator="between" text="库存为">
      <formula>NOT(ISERROR(SEARCH("库存为",AU646)))</formula>
    </cfRule>
  </conditionalFormatting>
  <conditionalFormatting sqref="AU647">
    <cfRule type="cellIs" dxfId="0" priority="11353" operator="lessThan">
      <formula>20</formula>
    </cfRule>
    <cfRule type="cellIs" dxfId="1" priority="10508" operator="greaterThan">
      <formula>120</formula>
    </cfRule>
    <cfRule type="containsText" dxfId="2" priority="9663" operator="between" text="库存为">
      <formula>NOT(ISERROR(SEARCH("库存为",AU647)))</formula>
    </cfRule>
  </conditionalFormatting>
  <conditionalFormatting sqref="AU648">
    <cfRule type="cellIs" dxfId="0" priority="11352" operator="lessThan">
      <formula>20</formula>
    </cfRule>
    <cfRule type="cellIs" dxfId="1" priority="10507" operator="greaterThan">
      <formula>120</formula>
    </cfRule>
    <cfRule type="containsText" dxfId="2" priority="9662" operator="between" text="库存为">
      <formula>NOT(ISERROR(SEARCH("库存为",AU648)))</formula>
    </cfRule>
  </conditionalFormatting>
  <conditionalFormatting sqref="AU649">
    <cfRule type="cellIs" dxfId="0" priority="11351" operator="lessThan">
      <formula>20</formula>
    </cfRule>
    <cfRule type="cellIs" dxfId="1" priority="10506" operator="greaterThan">
      <formula>120</formula>
    </cfRule>
    <cfRule type="containsText" dxfId="2" priority="9661" operator="between" text="库存为">
      <formula>NOT(ISERROR(SEARCH("库存为",AU649)))</formula>
    </cfRule>
  </conditionalFormatting>
  <conditionalFormatting sqref="AU650">
    <cfRule type="cellIs" dxfId="0" priority="11350" operator="lessThan">
      <formula>20</formula>
    </cfRule>
    <cfRule type="cellIs" dxfId="1" priority="10505" operator="greaterThan">
      <formula>120</formula>
    </cfRule>
    <cfRule type="containsText" dxfId="2" priority="9660" operator="between" text="库存为">
      <formula>NOT(ISERROR(SEARCH("库存为",AU650)))</formula>
    </cfRule>
  </conditionalFormatting>
  <conditionalFormatting sqref="AU651">
    <cfRule type="cellIs" dxfId="0" priority="11349" operator="lessThan">
      <formula>20</formula>
    </cfRule>
    <cfRule type="cellIs" dxfId="1" priority="10504" operator="greaterThan">
      <formula>120</formula>
    </cfRule>
    <cfRule type="containsText" dxfId="2" priority="9659" operator="between" text="库存为">
      <formula>NOT(ISERROR(SEARCH("库存为",AU651)))</formula>
    </cfRule>
  </conditionalFormatting>
  <conditionalFormatting sqref="AU652">
    <cfRule type="cellIs" dxfId="0" priority="11348" operator="lessThan">
      <formula>20</formula>
    </cfRule>
    <cfRule type="cellIs" dxfId="1" priority="10503" operator="greaterThan">
      <formula>120</formula>
    </cfRule>
    <cfRule type="containsText" dxfId="2" priority="9658" operator="between" text="库存为">
      <formula>NOT(ISERROR(SEARCH("库存为",AU652)))</formula>
    </cfRule>
  </conditionalFormatting>
  <conditionalFormatting sqref="AU653">
    <cfRule type="cellIs" dxfId="0" priority="11347" operator="lessThan">
      <formula>20</formula>
    </cfRule>
    <cfRule type="cellIs" dxfId="1" priority="10502" operator="greaterThan">
      <formula>120</formula>
    </cfRule>
    <cfRule type="containsText" dxfId="2" priority="9657" operator="between" text="库存为">
      <formula>NOT(ISERROR(SEARCH("库存为",AU653)))</formula>
    </cfRule>
  </conditionalFormatting>
  <conditionalFormatting sqref="AU654">
    <cfRule type="cellIs" dxfId="0" priority="11346" operator="lessThan">
      <formula>20</formula>
    </cfRule>
    <cfRule type="cellIs" dxfId="1" priority="10501" operator="greaterThan">
      <formula>120</formula>
    </cfRule>
    <cfRule type="containsText" dxfId="2" priority="9656" operator="between" text="库存为">
      <formula>NOT(ISERROR(SEARCH("库存为",AU654)))</formula>
    </cfRule>
  </conditionalFormatting>
  <conditionalFormatting sqref="AU655">
    <cfRule type="cellIs" dxfId="0" priority="11345" operator="lessThan">
      <formula>20</formula>
    </cfRule>
    <cfRule type="cellIs" dxfId="1" priority="10500" operator="greaterThan">
      <formula>120</formula>
    </cfRule>
    <cfRule type="containsText" dxfId="2" priority="9655" operator="between" text="库存为">
      <formula>NOT(ISERROR(SEARCH("库存为",AU655)))</formula>
    </cfRule>
  </conditionalFormatting>
  <conditionalFormatting sqref="AU656">
    <cfRule type="cellIs" dxfId="0" priority="11344" operator="lessThan">
      <formula>20</formula>
    </cfRule>
    <cfRule type="cellIs" dxfId="1" priority="10499" operator="greaterThan">
      <formula>120</formula>
    </cfRule>
    <cfRule type="containsText" dxfId="2" priority="9654" operator="between" text="库存为">
      <formula>NOT(ISERROR(SEARCH("库存为",AU656)))</formula>
    </cfRule>
  </conditionalFormatting>
  <conditionalFormatting sqref="AU657">
    <cfRule type="cellIs" dxfId="0" priority="11343" operator="lessThan">
      <formula>20</formula>
    </cfRule>
    <cfRule type="cellIs" dxfId="1" priority="10498" operator="greaterThan">
      <formula>120</formula>
    </cfRule>
    <cfRule type="containsText" dxfId="2" priority="9653" operator="between" text="库存为">
      <formula>NOT(ISERROR(SEARCH("库存为",AU657)))</formula>
    </cfRule>
  </conditionalFormatting>
  <conditionalFormatting sqref="AU658">
    <cfRule type="cellIs" dxfId="0" priority="11342" operator="lessThan">
      <formula>20</formula>
    </cfRule>
    <cfRule type="cellIs" dxfId="1" priority="10497" operator="greaterThan">
      <formula>120</formula>
    </cfRule>
    <cfRule type="containsText" dxfId="2" priority="9652" operator="between" text="库存为">
      <formula>NOT(ISERROR(SEARCH("库存为",AU658)))</formula>
    </cfRule>
  </conditionalFormatting>
  <conditionalFormatting sqref="AU659">
    <cfRule type="cellIs" dxfId="0" priority="11341" operator="lessThan">
      <formula>20</formula>
    </cfRule>
    <cfRule type="cellIs" dxfId="1" priority="10496" operator="greaterThan">
      <formula>120</formula>
    </cfRule>
    <cfRule type="containsText" dxfId="2" priority="9651" operator="between" text="库存为">
      <formula>NOT(ISERROR(SEARCH("库存为",AU659)))</formula>
    </cfRule>
  </conditionalFormatting>
  <conditionalFormatting sqref="AU660">
    <cfRule type="cellIs" dxfId="0" priority="11340" operator="lessThan">
      <formula>20</formula>
    </cfRule>
    <cfRule type="cellIs" dxfId="1" priority="10495" operator="greaterThan">
      <formula>120</formula>
    </cfRule>
    <cfRule type="containsText" dxfId="2" priority="9650" operator="between" text="库存为">
      <formula>NOT(ISERROR(SEARCH("库存为",AU660)))</formula>
    </cfRule>
  </conditionalFormatting>
  <conditionalFormatting sqref="AU661">
    <cfRule type="cellIs" dxfId="0" priority="11339" operator="lessThan">
      <formula>20</formula>
    </cfRule>
    <cfRule type="cellIs" dxfId="1" priority="10494" operator="greaterThan">
      <formula>120</formula>
    </cfRule>
    <cfRule type="containsText" dxfId="2" priority="9649" operator="between" text="库存为">
      <formula>NOT(ISERROR(SEARCH("库存为",AU661)))</formula>
    </cfRule>
  </conditionalFormatting>
  <conditionalFormatting sqref="AU662">
    <cfRule type="cellIs" dxfId="0" priority="11338" operator="lessThan">
      <formula>20</formula>
    </cfRule>
    <cfRule type="cellIs" dxfId="1" priority="10493" operator="greaterThan">
      <formula>120</formula>
    </cfRule>
    <cfRule type="containsText" dxfId="2" priority="9648" operator="between" text="库存为">
      <formula>NOT(ISERROR(SEARCH("库存为",AU662)))</formula>
    </cfRule>
  </conditionalFormatting>
  <conditionalFormatting sqref="AU663">
    <cfRule type="cellIs" dxfId="0" priority="11337" operator="lessThan">
      <formula>20</formula>
    </cfRule>
    <cfRule type="cellIs" dxfId="1" priority="10492" operator="greaterThan">
      <formula>120</formula>
    </cfRule>
    <cfRule type="containsText" dxfId="2" priority="9647" operator="between" text="库存为">
      <formula>NOT(ISERROR(SEARCH("库存为",AU663)))</formula>
    </cfRule>
  </conditionalFormatting>
  <conditionalFormatting sqref="AU664">
    <cfRule type="cellIs" dxfId="0" priority="11336" operator="lessThan">
      <formula>20</formula>
    </cfRule>
    <cfRule type="cellIs" dxfId="1" priority="10491" operator="greaterThan">
      <formula>120</formula>
    </cfRule>
    <cfRule type="containsText" dxfId="2" priority="9646" operator="between" text="库存为">
      <formula>NOT(ISERROR(SEARCH("库存为",AU664)))</formula>
    </cfRule>
  </conditionalFormatting>
  <conditionalFormatting sqref="AU665">
    <cfRule type="cellIs" dxfId="0" priority="11335" operator="lessThan">
      <formula>20</formula>
    </cfRule>
    <cfRule type="cellIs" dxfId="1" priority="10490" operator="greaterThan">
      <formula>120</formula>
    </cfRule>
    <cfRule type="containsText" dxfId="2" priority="9645" operator="between" text="库存为">
      <formula>NOT(ISERROR(SEARCH("库存为",AU665)))</formula>
    </cfRule>
  </conditionalFormatting>
  <conditionalFormatting sqref="AU666">
    <cfRule type="cellIs" dxfId="0" priority="11334" operator="lessThan">
      <formula>20</formula>
    </cfRule>
    <cfRule type="cellIs" dxfId="1" priority="10489" operator="greaterThan">
      <formula>120</formula>
    </cfRule>
    <cfRule type="containsText" dxfId="2" priority="9644" operator="between" text="库存为">
      <formula>NOT(ISERROR(SEARCH("库存为",AU666)))</formula>
    </cfRule>
  </conditionalFormatting>
  <conditionalFormatting sqref="AU667">
    <cfRule type="cellIs" dxfId="0" priority="11333" operator="lessThan">
      <formula>20</formula>
    </cfRule>
    <cfRule type="cellIs" dxfId="1" priority="10488" operator="greaterThan">
      <formula>120</formula>
    </cfRule>
    <cfRule type="containsText" dxfId="2" priority="9643" operator="between" text="库存为">
      <formula>NOT(ISERROR(SEARCH("库存为",AU667)))</formula>
    </cfRule>
  </conditionalFormatting>
  <conditionalFormatting sqref="AU668">
    <cfRule type="cellIs" dxfId="0" priority="11332" operator="lessThan">
      <formula>20</formula>
    </cfRule>
    <cfRule type="cellIs" dxfId="1" priority="10487" operator="greaterThan">
      <formula>120</formula>
    </cfRule>
    <cfRule type="containsText" dxfId="2" priority="9642" operator="between" text="库存为">
      <formula>NOT(ISERROR(SEARCH("库存为",AU668)))</formula>
    </cfRule>
  </conditionalFormatting>
  <conditionalFormatting sqref="AU669">
    <cfRule type="cellIs" dxfId="0" priority="11331" operator="lessThan">
      <formula>20</formula>
    </cfRule>
    <cfRule type="cellIs" dxfId="1" priority="10486" operator="greaterThan">
      <formula>120</formula>
    </cfRule>
    <cfRule type="containsText" dxfId="2" priority="9641" operator="between" text="库存为">
      <formula>NOT(ISERROR(SEARCH("库存为",AU669)))</formula>
    </cfRule>
  </conditionalFormatting>
  <conditionalFormatting sqref="AU670">
    <cfRule type="cellIs" dxfId="0" priority="11330" operator="lessThan">
      <formula>20</formula>
    </cfRule>
    <cfRule type="cellIs" dxfId="1" priority="10485" operator="greaterThan">
      <formula>120</formula>
    </cfRule>
    <cfRule type="containsText" dxfId="2" priority="9640" operator="between" text="库存为">
      <formula>NOT(ISERROR(SEARCH("库存为",AU670)))</formula>
    </cfRule>
  </conditionalFormatting>
  <conditionalFormatting sqref="AU671">
    <cfRule type="cellIs" dxfId="0" priority="11329" operator="lessThan">
      <formula>20</formula>
    </cfRule>
    <cfRule type="cellIs" dxfId="1" priority="10484" operator="greaterThan">
      <formula>120</formula>
    </cfRule>
    <cfRule type="containsText" dxfId="2" priority="9639" operator="between" text="库存为">
      <formula>NOT(ISERROR(SEARCH("库存为",AU671)))</formula>
    </cfRule>
  </conditionalFormatting>
  <conditionalFormatting sqref="AU672">
    <cfRule type="cellIs" dxfId="0" priority="11328" operator="lessThan">
      <formula>20</formula>
    </cfRule>
    <cfRule type="cellIs" dxfId="1" priority="10483" operator="greaterThan">
      <formula>120</formula>
    </cfRule>
    <cfRule type="containsText" dxfId="2" priority="9638" operator="between" text="库存为">
      <formula>NOT(ISERROR(SEARCH("库存为",AU672)))</formula>
    </cfRule>
  </conditionalFormatting>
  <conditionalFormatting sqref="AU673">
    <cfRule type="cellIs" dxfId="0" priority="11327" operator="lessThan">
      <formula>20</formula>
    </cfRule>
    <cfRule type="cellIs" dxfId="1" priority="10482" operator="greaterThan">
      <formula>120</formula>
    </cfRule>
    <cfRule type="containsText" dxfId="2" priority="9637" operator="between" text="库存为">
      <formula>NOT(ISERROR(SEARCH("库存为",AU673)))</formula>
    </cfRule>
  </conditionalFormatting>
  <conditionalFormatting sqref="AU674">
    <cfRule type="cellIs" dxfId="0" priority="11326" operator="lessThan">
      <formula>20</formula>
    </cfRule>
    <cfRule type="cellIs" dxfId="1" priority="10481" operator="greaterThan">
      <formula>120</formula>
    </cfRule>
    <cfRule type="containsText" dxfId="2" priority="9636" operator="between" text="库存为">
      <formula>NOT(ISERROR(SEARCH("库存为",AU674)))</formula>
    </cfRule>
  </conditionalFormatting>
  <conditionalFormatting sqref="AU675">
    <cfRule type="cellIs" dxfId="0" priority="11325" operator="lessThan">
      <formula>20</formula>
    </cfRule>
    <cfRule type="cellIs" dxfId="1" priority="10480" operator="greaterThan">
      <formula>120</formula>
    </cfRule>
    <cfRule type="containsText" dxfId="2" priority="9635" operator="between" text="库存为">
      <formula>NOT(ISERROR(SEARCH("库存为",AU675)))</formula>
    </cfRule>
  </conditionalFormatting>
  <conditionalFormatting sqref="AU676">
    <cfRule type="cellIs" dxfId="0" priority="11324" operator="lessThan">
      <formula>20</formula>
    </cfRule>
    <cfRule type="cellIs" dxfId="1" priority="10479" operator="greaterThan">
      <formula>120</formula>
    </cfRule>
    <cfRule type="containsText" dxfId="2" priority="9634" operator="between" text="库存为">
      <formula>NOT(ISERROR(SEARCH("库存为",AU676)))</formula>
    </cfRule>
  </conditionalFormatting>
  <conditionalFormatting sqref="AU677">
    <cfRule type="cellIs" dxfId="0" priority="11323" operator="lessThan">
      <formula>20</formula>
    </cfRule>
    <cfRule type="cellIs" dxfId="1" priority="10478" operator="greaterThan">
      <formula>120</formula>
    </cfRule>
    <cfRule type="containsText" dxfId="2" priority="9633" operator="between" text="库存为">
      <formula>NOT(ISERROR(SEARCH("库存为",AU677)))</formula>
    </cfRule>
  </conditionalFormatting>
  <conditionalFormatting sqref="AU678">
    <cfRule type="cellIs" dxfId="0" priority="11322" operator="lessThan">
      <formula>20</formula>
    </cfRule>
    <cfRule type="cellIs" dxfId="1" priority="10477" operator="greaterThan">
      <formula>120</formula>
    </cfRule>
    <cfRule type="containsText" dxfId="2" priority="9632" operator="between" text="库存为">
      <formula>NOT(ISERROR(SEARCH("库存为",AU678)))</formula>
    </cfRule>
  </conditionalFormatting>
  <conditionalFormatting sqref="AU679">
    <cfRule type="cellIs" dxfId="0" priority="11321" operator="lessThan">
      <formula>20</formula>
    </cfRule>
    <cfRule type="cellIs" dxfId="1" priority="10476" operator="greaterThan">
      <formula>120</formula>
    </cfRule>
    <cfRule type="containsText" dxfId="2" priority="9631" operator="between" text="库存为">
      <formula>NOT(ISERROR(SEARCH("库存为",AU679)))</formula>
    </cfRule>
  </conditionalFormatting>
  <conditionalFormatting sqref="AU680">
    <cfRule type="cellIs" dxfId="0" priority="11320" operator="lessThan">
      <formula>20</formula>
    </cfRule>
    <cfRule type="cellIs" dxfId="1" priority="10475" operator="greaterThan">
      <formula>120</formula>
    </cfRule>
    <cfRule type="containsText" dxfId="2" priority="9630" operator="between" text="库存为">
      <formula>NOT(ISERROR(SEARCH("库存为",AU680)))</formula>
    </cfRule>
  </conditionalFormatting>
  <conditionalFormatting sqref="AU681">
    <cfRule type="cellIs" dxfId="0" priority="11319" operator="lessThan">
      <formula>20</formula>
    </cfRule>
    <cfRule type="cellIs" dxfId="1" priority="10474" operator="greaterThan">
      <formula>120</formula>
    </cfRule>
    <cfRule type="containsText" dxfId="2" priority="9629" operator="between" text="库存为">
      <formula>NOT(ISERROR(SEARCH("库存为",AU681)))</formula>
    </cfRule>
  </conditionalFormatting>
  <conditionalFormatting sqref="AU682">
    <cfRule type="cellIs" dxfId="0" priority="11318" operator="lessThan">
      <formula>20</formula>
    </cfRule>
    <cfRule type="cellIs" dxfId="1" priority="10473" operator="greaterThan">
      <formula>120</formula>
    </cfRule>
    <cfRule type="containsText" dxfId="2" priority="9628" operator="between" text="库存为">
      <formula>NOT(ISERROR(SEARCH("库存为",AU682)))</formula>
    </cfRule>
  </conditionalFormatting>
  <conditionalFormatting sqref="AU683">
    <cfRule type="cellIs" dxfId="0" priority="11317" operator="lessThan">
      <formula>20</formula>
    </cfRule>
    <cfRule type="cellIs" dxfId="1" priority="10472" operator="greaterThan">
      <formula>120</formula>
    </cfRule>
    <cfRule type="containsText" dxfId="2" priority="9627" operator="between" text="库存为">
      <formula>NOT(ISERROR(SEARCH("库存为",AU683)))</formula>
    </cfRule>
  </conditionalFormatting>
  <conditionalFormatting sqref="AU684">
    <cfRule type="cellIs" dxfId="0" priority="11316" operator="lessThan">
      <formula>20</formula>
    </cfRule>
    <cfRule type="cellIs" dxfId="1" priority="10471" operator="greaterThan">
      <formula>120</formula>
    </cfRule>
    <cfRule type="containsText" dxfId="2" priority="9626" operator="between" text="库存为">
      <formula>NOT(ISERROR(SEARCH("库存为",AU684)))</formula>
    </cfRule>
  </conditionalFormatting>
  <conditionalFormatting sqref="AU685">
    <cfRule type="cellIs" dxfId="0" priority="11315" operator="lessThan">
      <formula>20</formula>
    </cfRule>
    <cfRule type="cellIs" dxfId="1" priority="10470" operator="greaterThan">
      <formula>120</formula>
    </cfRule>
    <cfRule type="containsText" dxfId="2" priority="9625" operator="between" text="库存为">
      <formula>NOT(ISERROR(SEARCH("库存为",AU685)))</formula>
    </cfRule>
  </conditionalFormatting>
  <conditionalFormatting sqref="AU686">
    <cfRule type="cellIs" dxfId="0" priority="11314" operator="lessThan">
      <formula>20</formula>
    </cfRule>
    <cfRule type="cellIs" dxfId="1" priority="10469" operator="greaterThan">
      <formula>120</formula>
    </cfRule>
    <cfRule type="containsText" dxfId="2" priority="9624" operator="between" text="库存为">
      <formula>NOT(ISERROR(SEARCH("库存为",AU686)))</formula>
    </cfRule>
  </conditionalFormatting>
  <conditionalFormatting sqref="AU687">
    <cfRule type="cellIs" dxfId="0" priority="11313" operator="lessThan">
      <formula>20</formula>
    </cfRule>
    <cfRule type="cellIs" dxfId="1" priority="10468" operator="greaterThan">
      <formula>120</formula>
    </cfRule>
    <cfRule type="containsText" dxfId="2" priority="9623" operator="between" text="库存为">
      <formula>NOT(ISERROR(SEARCH("库存为",AU687)))</formula>
    </cfRule>
  </conditionalFormatting>
  <conditionalFormatting sqref="AU688">
    <cfRule type="cellIs" dxfId="0" priority="11312" operator="lessThan">
      <formula>20</formula>
    </cfRule>
    <cfRule type="cellIs" dxfId="1" priority="10467" operator="greaterThan">
      <formula>120</formula>
    </cfRule>
    <cfRule type="containsText" dxfId="2" priority="9622" operator="between" text="库存为">
      <formula>NOT(ISERROR(SEARCH("库存为",AU688)))</formula>
    </cfRule>
  </conditionalFormatting>
  <conditionalFormatting sqref="AU689">
    <cfRule type="cellIs" dxfId="0" priority="11311" operator="lessThan">
      <formula>20</formula>
    </cfRule>
    <cfRule type="cellIs" dxfId="1" priority="10466" operator="greaterThan">
      <formula>120</formula>
    </cfRule>
    <cfRule type="containsText" dxfId="2" priority="9621" operator="between" text="库存为">
      <formula>NOT(ISERROR(SEARCH("库存为",AU689)))</formula>
    </cfRule>
  </conditionalFormatting>
  <conditionalFormatting sqref="AU690">
    <cfRule type="cellIs" dxfId="0" priority="11310" operator="lessThan">
      <formula>20</formula>
    </cfRule>
    <cfRule type="cellIs" dxfId="1" priority="10465" operator="greaterThan">
      <formula>120</formula>
    </cfRule>
    <cfRule type="containsText" dxfId="2" priority="9620" operator="between" text="库存为">
      <formula>NOT(ISERROR(SEARCH("库存为",AU690)))</formula>
    </cfRule>
  </conditionalFormatting>
  <conditionalFormatting sqref="AU691">
    <cfRule type="cellIs" dxfId="0" priority="11309" operator="lessThan">
      <formula>20</formula>
    </cfRule>
    <cfRule type="cellIs" dxfId="1" priority="10464" operator="greaterThan">
      <formula>120</formula>
    </cfRule>
    <cfRule type="containsText" dxfId="2" priority="9619" operator="between" text="库存为">
      <formula>NOT(ISERROR(SEARCH("库存为",AU691)))</formula>
    </cfRule>
  </conditionalFormatting>
  <conditionalFormatting sqref="AU692">
    <cfRule type="cellIs" dxfId="0" priority="11308" operator="lessThan">
      <formula>20</formula>
    </cfRule>
    <cfRule type="cellIs" dxfId="1" priority="10463" operator="greaterThan">
      <formula>120</formula>
    </cfRule>
    <cfRule type="containsText" dxfId="2" priority="9618" operator="between" text="库存为">
      <formula>NOT(ISERROR(SEARCH("库存为",AU692)))</formula>
    </cfRule>
  </conditionalFormatting>
  <conditionalFormatting sqref="AU693">
    <cfRule type="cellIs" dxfId="0" priority="11307" operator="lessThan">
      <formula>20</formula>
    </cfRule>
    <cfRule type="cellIs" dxfId="1" priority="10462" operator="greaterThan">
      <formula>120</formula>
    </cfRule>
    <cfRule type="containsText" dxfId="2" priority="9617" operator="between" text="库存为">
      <formula>NOT(ISERROR(SEARCH("库存为",AU693)))</formula>
    </cfRule>
  </conditionalFormatting>
  <conditionalFormatting sqref="AU694">
    <cfRule type="cellIs" dxfId="0" priority="11306" operator="lessThan">
      <formula>20</formula>
    </cfRule>
    <cfRule type="cellIs" dxfId="1" priority="10461" operator="greaterThan">
      <formula>120</formula>
    </cfRule>
    <cfRule type="containsText" dxfId="2" priority="9616" operator="between" text="库存为">
      <formula>NOT(ISERROR(SEARCH("库存为",AU694)))</formula>
    </cfRule>
  </conditionalFormatting>
  <conditionalFormatting sqref="AU695">
    <cfRule type="cellIs" dxfId="0" priority="11305" operator="lessThan">
      <formula>20</formula>
    </cfRule>
    <cfRule type="cellIs" dxfId="1" priority="10460" operator="greaterThan">
      <formula>120</formula>
    </cfRule>
    <cfRule type="containsText" dxfId="2" priority="9615" operator="between" text="库存为">
      <formula>NOT(ISERROR(SEARCH("库存为",AU695)))</formula>
    </cfRule>
  </conditionalFormatting>
  <conditionalFormatting sqref="AU696">
    <cfRule type="cellIs" dxfId="0" priority="11304" operator="lessThan">
      <formula>20</formula>
    </cfRule>
    <cfRule type="cellIs" dxfId="1" priority="10459" operator="greaterThan">
      <formula>120</formula>
    </cfRule>
    <cfRule type="containsText" dxfId="2" priority="9614" operator="between" text="库存为">
      <formula>NOT(ISERROR(SEARCH("库存为",AU696)))</formula>
    </cfRule>
  </conditionalFormatting>
  <conditionalFormatting sqref="AU697">
    <cfRule type="cellIs" dxfId="0" priority="11303" operator="lessThan">
      <formula>20</formula>
    </cfRule>
    <cfRule type="cellIs" dxfId="1" priority="10458" operator="greaterThan">
      <formula>120</formula>
    </cfRule>
    <cfRule type="containsText" dxfId="2" priority="9613" operator="between" text="库存为">
      <formula>NOT(ISERROR(SEARCH("库存为",AU697)))</formula>
    </cfRule>
  </conditionalFormatting>
  <conditionalFormatting sqref="AU698">
    <cfRule type="cellIs" dxfId="0" priority="11302" operator="lessThan">
      <formula>20</formula>
    </cfRule>
    <cfRule type="cellIs" dxfId="1" priority="10457" operator="greaterThan">
      <formula>120</formula>
    </cfRule>
    <cfRule type="containsText" dxfId="2" priority="9612" operator="between" text="库存为">
      <formula>NOT(ISERROR(SEARCH("库存为",AU698)))</formula>
    </cfRule>
  </conditionalFormatting>
  <conditionalFormatting sqref="AU699">
    <cfRule type="cellIs" dxfId="0" priority="11301" operator="lessThan">
      <formula>20</formula>
    </cfRule>
    <cfRule type="cellIs" dxfId="1" priority="10456" operator="greaterThan">
      <formula>120</formula>
    </cfRule>
    <cfRule type="containsText" dxfId="2" priority="9611" operator="between" text="库存为">
      <formula>NOT(ISERROR(SEARCH("库存为",AU699)))</formula>
    </cfRule>
  </conditionalFormatting>
  <conditionalFormatting sqref="AU700">
    <cfRule type="cellIs" dxfId="0" priority="11300" operator="lessThan">
      <formula>20</formula>
    </cfRule>
    <cfRule type="cellIs" dxfId="1" priority="10455" operator="greaterThan">
      <formula>120</formula>
    </cfRule>
    <cfRule type="containsText" dxfId="2" priority="9610" operator="between" text="库存为">
      <formula>NOT(ISERROR(SEARCH("库存为",AU700)))</formula>
    </cfRule>
  </conditionalFormatting>
  <conditionalFormatting sqref="AU701">
    <cfRule type="cellIs" dxfId="0" priority="11299" operator="lessThan">
      <formula>20</formula>
    </cfRule>
    <cfRule type="cellIs" dxfId="1" priority="10454" operator="greaterThan">
      <formula>120</formula>
    </cfRule>
    <cfRule type="containsText" dxfId="2" priority="9609" operator="between" text="库存为">
      <formula>NOT(ISERROR(SEARCH("库存为",AU701)))</formula>
    </cfRule>
  </conditionalFormatting>
  <conditionalFormatting sqref="AU702">
    <cfRule type="cellIs" dxfId="0" priority="11298" operator="lessThan">
      <formula>20</formula>
    </cfRule>
    <cfRule type="cellIs" dxfId="1" priority="10453" operator="greaterThan">
      <formula>120</formula>
    </cfRule>
    <cfRule type="containsText" dxfId="2" priority="9608" operator="between" text="库存为">
      <formula>NOT(ISERROR(SEARCH("库存为",AU702)))</formula>
    </cfRule>
  </conditionalFormatting>
  <conditionalFormatting sqref="AU703">
    <cfRule type="cellIs" dxfId="0" priority="11297" operator="lessThan">
      <formula>20</formula>
    </cfRule>
    <cfRule type="cellIs" dxfId="1" priority="10452" operator="greaterThan">
      <formula>120</formula>
    </cfRule>
    <cfRule type="containsText" dxfId="2" priority="9607" operator="between" text="库存为">
      <formula>NOT(ISERROR(SEARCH("库存为",AU703)))</formula>
    </cfRule>
  </conditionalFormatting>
  <conditionalFormatting sqref="AU704">
    <cfRule type="cellIs" dxfId="0" priority="11296" operator="lessThan">
      <formula>20</formula>
    </cfRule>
    <cfRule type="cellIs" dxfId="1" priority="10451" operator="greaterThan">
      <formula>120</formula>
    </cfRule>
    <cfRule type="containsText" dxfId="2" priority="9606" operator="between" text="库存为">
      <formula>NOT(ISERROR(SEARCH("库存为",AU704)))</formula>
    </cfRule>
  </conditionalFormatting>
  <conditionalFormatting sqref="AU705">
    <cfRule type="cellIs" dxfId="0" priority="11295" operator="lessThan">
      <formula>20</formula>
    </cfRule>
    <cfRule type="cellIs" dxfId="1" priority="10450" operator="greaterThan">
      <formula>120</formula>
    </cfRule>
    <cfRule type="containsText" dxfId="2" priority="9605" operator="between" text="库存为">
      <formula>NOT(ISERROR(SEARCH("库存为",AU705)))</formula>
    </cfRule>
  </conditionalFormatting>
  <conditionalFormatting sqref="AU706">
    <cfRule type="cellIs" dxfId="0" priority="11294" operator="lessThan">
      <formula>20</formula>
    </cfRule>
    <cfRule type="cellIs" dxfId="1" priority="10449" operator="greaterThan">
      <formula>120</formula>
    </cfRule>
    <cfRule type="containsText" dxfId="2" priority="9604" operator="between" text="库存为">
      <formula>NOT(ISERROR(SEARCH("库存为",AU706)))</formula>
    </cfRule>
  </conditionalFormatting>
  <conditionalFormatting sqref="AU707">
    <cfRule type="cellIs" dxfId="0" priority="11293" operator="lessThan">
      <formula>20</formula>
    </cfRule>
    <cfRule type="cellIs" dxfId="1" priority="10448" operator="greaterThan">
      <formula>120</formula>
    </cfRule>
    <cfRule type="containsText" dxfId="2" priority="9603" operator="between" text="库存为">
      <formula>NOT(ISERROR(SEARCH("库存为",AU707)))</formula>
    </cfRule>
  </conditionalFormatting>
  <conditionalFormatting sqref="AU708">
    <cfRule type="cellIs" dxfId="0" priority="11292" operator="lessThan">
      <formula>20</formula>
    </cfRule>
    <cfRule type="cellIs" dxfId="1" priority="10447" operator="greaterThan">
      <formula>120</formula>
    </cfRule>
    <cfRule type="containsText" dxfId="2" priority="9602" operator="between" text="库存为">
      <formula>NOT(ISERROR(SEARCH("库存为",AU708)))</formula>
    </cfRule>
  </conditionalFormatting>
  <conditionalFormatting sqref="AU709">
    <cfRule type="cellIs" dxfId="0" priority="11291" operator="lessThan">
      <formula>20</formula>
    </cfRule>
    <cfRule type="cellIs" dxfId="1" priority="10446" operator="greaterThan">
      <formula>120</formula>
    </cfRule>
    <cfRule type="containsText" dxfId="2" priority="9601" operator="between" text="库存为">
      <formula>NOT(ISERROR(SEARCH("库存为",AU709)))</formula>
    </cfRule>
  </conditionalFormatting>
  <conditionalFormatting sqref="AU710">
    <cfRule type="cellIs" dxfId="0" priority="11290" operator="lessThan">
      <formula>20</formula>
    </cfRule>
    <cfRule type="cellIs" dxfId="1" priority="10445" operator="greaterThan">
      <formula>120</formula>
    </cfRule>
    <cfRule type="containsText" dxfId="2" priority="9600" operator="between" text="库存为">
      <formula>NOT(ISERROR(SEARCH("库存为",AU710)))</formula>
    </cfRule>
  </conditionalFormatting>
  <conditionalFormatting sqref="AU711">
    <cfRule type="cellIs" dxfId="0" priority="11289" operator="lessThan">
      <formula>20</formula>
    </cfRule>
    <cfRule type="cellIs" dxfId="1" priority="10444" operator="greaterThan">
      <formula>120</formula>
    </cfRule>
    <cfRule type="containsText" dxfId="2" priority="9599" operator="between" text="库存为">
      <formula>NOT(ISERROR(SEARCH("库存为",AU711)))</formula>
    </cfRule>
  </conditionalFormatting>
  <conditionalFormatting sqref="AU712">
    <cfRule type="cellIs" dxfId="0" priority="11288" operator="lessThan">
      <formula>20</formula>
    </cfRule>
    <cfRule type="cellIs" dxfId="1" priority="10443" operator="greaterThan">
      <formula>120</formula>
    </cfRule>
    <cfRule type="containsText" dxfId="2" priority="9598" operator="between" text="库存为">
      <formula>NOT(ISERROR(SEARCH("库存为",AU712)))</formula>
    </cfRule>
  </conditionalFormatting>
  <conditionalFormatting sqref="AU713">
    <cfRule type="cellIs" dxfId="0" priority="11287" operator="lessThan">
      <formula>20</formula>
    </cfRule>
    <cfRule type="cellIs" dxfId="1" priority="10442" operator="greaterThan">
      <formula>120</formula>
    </cfRule>
    <cfRule type="containsText" dxfId="2" priority="9597" operator="between" text="库存为">
      <formula>NOT(ISERROR(SEARCH("库存为",AU713)))</formula>
    </cfRule>
  </conditionalFormatting>
  <conditionalFormatting sqref="AU714">
    <cfRule type="cellIs" dxfId="0" priority="11286" operator="lessThan">
      <formula>20</formula>
    </cfRule>
    <cfRule type="cellIs" dxfId="1" priority="10441" operator="greaterThan">
      <formula>120</formula>
    </cfRule>
    <cfRule type="containsText" dxfId="2" priority="9596" operator="between" text="库存为">
      <formula>NOT(ISERROR(SEARCH("库存为",AU714)))</formula>
    </cfRule>
  </conditionalFormatting>
  <conditionalFormatting sqref="AU715">
    <cfRule type="cellIs" dxfId="0" priority="11285" operator="lessThan">
      <formula>20</formula>
    </cfRule>
    <cfRule type="cellIs" dxfId="1" priority="10440" operator="greaterThan">
      <formula>120</formula>
    </cfRule>
    <cfRule type="containsText" dxfId="2" priority="9595" operator="between" text="库存为">
      <formula>NOT(ISERROR(SEARCH("库存为",AU715)))</formula>
    </cfRule>
  </conditionalFormatting>
  <conditionalFormatting sqref="AU716">
    <cfRule type="cellIs" dxfId="0" priority="11284" operator="lessThan">
      <formula>20</formula>
    </cfRule>
    <cfRule type="cellIs" dxfId="1" priority="10439" operator="greaterThan">
      <formula>120</formula>
    </cfRule>
    <cfRule type="containsText" dxfId="2" priority="9594" operator="between" text="库存为">
      <formula>NOT(ISERROR(SEARCH("库存为",AU716)))</formula>
    </cfRule>
  </conditionalFormatting>
  <conditionalFormatting sqref="AU717">
    <cfRule type="cellIs" dxfId="0" priority="11283" operator="lessThan">
      <formula>20</formula>
    </cfRule>
    <cfRule type="cellIs" dxfId="1" priority="10438" operator="greaterThan">
      <formula>120</formula>
    </cfRule>
    <cfRule type="containsText" dxfId="2" priority="9593" operator="between" text="库存为">
      <formula>NOT(ISERROR(SEARCH("库存为",AU717)))</formula>
    </cfRule>
  </conditionalFormatting>
  <conditionalFormatting sqref="AU718">
    <cfRule type="cellIs" dxfId="0" priority="11282" operator="lessThan">
      <formula>20</formula>
    </cfRule>
    <cfRule type="cellIs" dxfId="1" priority="10437" operator="greaterThan">
      <formula>120</formula>
    </cfRule>
    <cfRule type="containsText" dxfId="2" priority="9592" operator="between" text="库存为">
      <formula>NOT(ISERROR(SEARCH("库存为",AU718)))</formula>
    </cfRule>
  </conditionalFormatting>
  <conditionalFormatting sqref="AU719">
    <cfRule type="cellIs" dxfId="0" priority="11281" operator="lessThan">
      <formula>20</formula>
    </cfRule>
    <cfRule type="cellIs" dxfId="1" priority="10436" operator="greaterThan">
      <formula>120</formula>
    </cfRule>
    <cfRule type="containsText" dxfId="2" priority="9591" operator="between" text="库存为">
      <formula>NOT(ISERROR(SEARCH("库存为",AU719)))</formula>
    </cfRule>
  </conditionalFormatting>
  <conditionalFormatting sqref="AU720">
    <cfRule type="cellIs" dxfId="0" priority="11280" operator="lessThan">
      <formula>20</formula>
    </cfRule>
    <cfRule type="cellIs" dxfId="1" priority="10435" operator="greaterThan">
      <formula>120</formula>
    </cfRule>
    <cfRule type="containsText" dxfId="2" priority="9590" operator="between" text="库存为">
      <formula>NOT(ISERROR(SEARCH("库存为",AU720)))</formula>
    </cfRule>
  </conditionalFormatting>
  <conditionalFormatting sqref="AU721">
    <cfRule type="cellIs" dxfId="0" priority="11279" operator="lessThan">
      <formula>20</formula>
    </cfRule>
    <cfRule type="cellIs" dxfId="1" priority="10434" operator="greaterThan">
      <formula>120</formula>
    </cfRule>
    <cfRule type="containsText" dxfId="2" priority="9589" operator="between" text="库存为">
      <formula>NOT(ISERROR(SEARCH("库存为",AU721)))</formula>
    </cfRule>
  </conditionalFormatting>
  <conditionalFormatting sqref="AU722">
    <cfRule type="cellIs" dxfId="0" priority="11278" operator="lessThan">
      <formula>20</formula>
    </cfRule>
    <cfRule type="cellIs" dxfId="1" priority="10433" operator="greaterThan">
      <formula>120</formula>
    </cfRule>
    <cfRule type="containsText" dxfId="2" priority="9588" operator="between" text="库存为">
      <formula>NOT(ISERROR(SEARCH("库存为",AU722)))</formula>
    </cfRule>
  </conditionalFormatting>
  <conditionalFormatting sqref="AU723">
    <cfRule type="cellIs" dxfId="0" priority="11277" operator="lessThan">
      <formula>20</formula>
    </cfRule>
    <cfRule type="cellIs" dxfId="1" priority="10432" operator="greaterThan">
      <formula>120</formula>
    </cfRule>
    <cfRule type="containsText" dxfId="2" priority="9587" operator="between" text="库存为">
      <formula>NOT(ISERROR(SEARCH("库存为",AU723)))</formula>
    </cfRule>
  </conditionalFormatting>
  <conditionalFormatting sqref="AU724">
    <cfRule type="cellIs" dxfId="0" priority="11276" operator="lessThan">
      <formula>20</formula>
    </cfRule>
    <cfRule type="cellIs" dxfId="1" priority="10431" operator="greaterThan">
      <formula>120</formula>
    </cfRule>
    <cfRule type="containsText" dxfId="2" priority="9586" operator="between" text="库存为">
      <formula>NOT(ISERROR(SEARCH("库存为",AU724)))</formula>
    </cfRule>
  </conditionalFormatting>
  <conditionalFormatting sqref="AU725">
    <cfRule type="cellIs" dxfId="0" priority="11275" operator="lessThan">
      <formula>20</formula>
    </cfRule>
    <cfRule type="cellIs" dxfId="1" priority="10430" operator="greaterThan">
      <formula>120</formula>
    </cfRule>
    <cfRule type="containsText" dxfId="2" priority="9585" operator="between" text="库存为">
      <formula>NOT(ISERROR(SEARCH("库存为",AU725)))</formula>
    </cfRule>
  </conditionalFormatting>
  <conditionalFormatting sqref="AU726">
    <cfRule type="cellIs" dxfId="0" priority="11274" operator="lessThan">
      <formula>20</formula>
    </cfRule>
    <cfRule type="cellIs" dxfId="1" priority="10429" operator="greaterThan">
      <formula>120</formula>
    </cfRule>
    <cfRule type="containsText" dxfId="2" priority="9584" operator="between" text="库存为">
      <formula>NOT(ISERROR(SEARCH("库存为",AU726)))</formula>
    </cfRule>
  </conditionalFormatting>
  <conditionalFormatting sqref="AU727">
    <cfRule type="cellIs" dxfId="0" priority="11273" operator="lessThan">
      <formula>20</formula>
    </cfRule>
    <cfRule type="cellIs" dxfId="1" priority="10428" operator="greaterThan">
      <formula>120</formula>
    </cfRule>
    <cfRule type="containsText" dxfId="2" priority="9583" operator="between" text="库存为">
      <formula>NOT(ISERROR(SEARCH("库存为",AU727)))</formula>
    </cfRule>
  </conditionalFormatting>
  <conditionalFormatting sqref="AU728">
    <cfRule type="cellIs" dxfId="0" priority="11272" operator="lessThan">
      <formula>20</formula>
    </cfRule>
    <cfRule type="cellIs" dxfId="1" priority="10427" operator="greaterThan">
      <formula>120</formula>
    </cfRule>
    <cfRule type="containsText" dxfId="2" priority="9582" operator="between" text="库存为">
      <formula>NOT(ISERROR(SEARCH("库存为",AU728)))</formula>
    </cfRule>
  </conditionalFormatting>
  <conditionalFormatting sqref="AU729">
    <cfRule type="cellIs" dxfId="0" priority="11271" operator="lessThan">
      <formula>20</formula>
    </cfRule>
    <cfRule type="cellIs" dxfId="1" priority="10426" operator="greaterThan">
      <formula>120</formula>
    </cfRule>
    <cfRule type="containsText" dxfId="2" priority="9581" operator="between" text="库存为">
      <formula>NOT(ISERROR(SEARCH("库存为",AU729)))</formula>
    </cfRule>
  </conditionalFormatting>
  <conditionalFormatting sqref="AU730">
    <cfRule type="cellIs" dxfId="0" priority="11270" operator="lessThan">
      <formula>20</formula>
    </cfRule>
    <cfRule type="cellIs" dxfId="1" priority="10425" operator="greaterThan">
      <formula>120</formula>
    </cfRule>
    <cfRule type="containsText" dxfId="2" priority="9580" operator="between" text="库存为">
      <formula>NOT(ISERROR(SEARCH("库存为",AU730)))</formula>
    </cfRule>
  </conditionalFormatting>
  <conditionalFormatting sqref="AU731">
    <cfRule type="cellIs" dxfId="0" priority="11269" operator="lessThan">
      <formula>20</formula>
    </cfRule>
    <cfRule type="cellIs" dxfId="1" priority="10424" operator="greaterThan">
      <formula>120</formula>
    </cfRule>
    <cfRule type="containsText" dxfId="2" priority="9579" operator="between" text="库存为">
      <formula>NOT(ISERROR(SEARCH("库存为",AU731)))</formula>
    </cfRule>
  </conditionalFormatting>
  <conditionalFormatting sqref="AU732">
    <cfRule type="cellIs" dxfId="0" priority="11268" operator="lessThan">
      <formula>20</formula>
    </cfRule>
    <cfRule type="cellIs" dxfId="1" priority="10423" operator="greaterThan">
      <formula>120</formula>
    </cfRule>
    <cfRule type="containsText" dxfId="2" priority="9578" operator="between" text="库存为">
      <formula>NOT(ISERROR(SEARCH("库存为",AU732)))</formula>
    </cfRule>
  </conditionalFormatting>
  <conditionalFormatting sqref="AU733">
    <cfRule type="cellIs" dxfId="0" priority="11267" operator="lessThan">
      <formula>20</formula>
    </cfRule>
    <cfRule type="cellIs" dxfId="1" priority="10422" operator="greaterThan">
      <formula>120</formula>
    </cfRule>
    <cfRule type="containsText" dxfId="2" priority="9577" operator="between" text="库存为">
      <formula>NOT(ISERROR(SEARCH("库存为",AU733)))</formula>
    </cfRule>
  </conditionalFormatting>
  <conditionalFormatting sqref="AU734">
    <cfRule type="cellIs" dxfId="0" priority="11266" operator="lessThan">
      <formula>20</formula>
    </cfRule>
    <cfRule type="cellIs" dxfId="1" priority="10421" operator="greaterThan">
      <formula>120</formula>
    </cfRule>
    <cfRule type="containsText" dxfId="2" priority="9576" operator="between" text="库存为">
      <formula>NOT(ISERROR(SEARCH("库存为",AU734)))</formula>
    </cfRule>
  </conditionalFormatting>
  <conditionalFormatting sqref="AU735">
    <cfRule type="cellIs" dxfId="0" priority="11265" operator="lessThan">
      <formula>20</formula>
    </cfRule>
    <cfRule type="cellIs" dxfId="1" priority="10420" operator="greaterThan">
      <formula>120</formula>
    </cfRule>
    <cfRule type="containsText" dxfId="2" priority="9575" operator="between" text="库存为">
      <formula>NOT(ISERROR(SEARCH("库存为",AU735)))</formula>
    </cfRule>
  </conditionalFormatting>
  <conditionalFormatting sqref="AU736">
    <cfRule type="cellIs" dxfId="0" priority="11264" operator="lessThan">
      <formula>20</formula>
    </cfRule>
    <cfRule type="cellIs" dxfId="1" priority="10419" operator="greaterThan">
      <formula>120</formula>
    </cfRule>
    <cfRule type="containsText" dxfId="2" priority="9574" operator="between" text="库存为">
      <formula>NOT(ISERROR(SEARCH("库存为",AU736)))</formula>
    </cfRule>
  </conditionalFormatting>
  <conditionalFormatting sqref="AU737">
    <cfRule type="cellIs" dxfId="0" priority="11263" operator="lessThan">
      <formula>20</formula>
    </cfRule>
    <cfRule type="cellIs" dxfId="1" priority="10418" operator="greaterThan">
      <formula>120</formula>
    </cfRule>
    <cfRule type="containsText" dxfId="2" priority="9573" operator="between" text="库存为">
      <formula>NOT(ISERROR(SEARCH("库存为",AU737)))</formula>
    </cfRule>
  </conditionalFormatting>
  <conditionalFormatting sqref="AU738">
    <cfRule type="cellIs" dxfId="0" priority="11262" operator="lessThan">
      <formula>20</formula>
    </cfRule>
    <cfRule type="cellIs" dxfId="1" priority="10417" operator="greaterThan">
      <formula>120</formula>
    </cfRule>
    <cfRule type="containsText" dxfId="2" priority="9572" operator="between" text="库存为">
      <formula>NOT(ISERROR(SEARCH("库存为",AU738)))</formula>
    </cfRule>
  </conditionalFormatting>
  <conditionalFormatting sqref="AU739">
    <cfRule type="cellIs" dxfId="0" priority="11261" operator="lessThan">
      <formula>20</formula>
    </cfRule>
    <cfRule type="cellIs" dxfId="1" priority="10416" operator="greaterThan">
      <formula>120</formula>
    </cfRule>
    <cfRule type="containsText" dxfId="2" priority="9571" operator="between" text="库存为">
      <formula>NOT(ISERROR(SEARCH("库存为",AU739)))</formula>
    </cfRule>
  </conditionalFormatting>
  <conditionalFormatting sqref="AU740">
    <cfRule type="cellIs" dxfId="0" priority="11260" operator="lessThan">
      <formula>20</formula>
    </cfRule>
    <cfRule type="cellIs" dxfId="1" priority="10415" operator="greaterThan">
      <formula>120</formula>
    </cfRule>
    <cfRule type="containsText" dxfId="2" priority="9570" operator="between" text="库存为">
      <formula>NOT(ISERROR(SEARCH("库存为",AU740)))</formula>
    </cfRule>
  </conditionalFormatting>
  <conditionalFormatting sqref="AU741">
    <cfRule type="cellIs" dxfId="0" priority="11259" operator="lessThan">
      <formula>20</formula>
    </cfRule>
    <cfRule type="cellIs" dxfId="1" priority="10414" operator="greaterThan">
      <formula>120</formula>
    </cfRule>
    <cfRule type="containsText" dxfId="2" priority="9569" operator="between" text="库存为">
      <formula>NOT(ISERROR(SEARCH("库存为",AU741)))</formula>
    </cfRule>
  </conditionalFormatting>
  <conditionalFormatting sqref="AU742">
    <cfRule type="cellIs" dxfId="0" priority="11258" operator="lessThan">
      <formula>20</formula>
    </cfRule>
    <cfRule type="cellIs" dxfId="1" priority="10413" operator="greaterThan">
      <formula>120</formula>
    </cfRule>
    <cfRule type="containsText" dxfId="2" priority="9568" operator="between" text="库存为">
      <formula>NOT(ISERROR(SEARCH("库存为",AU742)))</formula>
    </cfRule>
  </conditionalFormatting>
  <conditionalFormatting sqref="AU743">
    <cfRule type="cellIs" dxfId="0" priority="11257" operator="lessThan">
      <formula>20</formula>
    </cfRule>
    <cfRule type="cellIs" dxfId="1" priority="10412" operator="greaterThan">
      <formula>120</formula>
    </cfRule>
    <cfRule type="containsText" dxfId="2" priority="9567" operator="between" text="库存为">
      <formula>NOT(ISERROR(SEARCH("库存为",AU743)))</formula>
    </cfRule>
  </conditionalFormatting>
  <conditionalFormatting sqref="AU744">
    <cfRule type="cellIs" dxfId="0" priority="11256" operator="lessThan">
      <formula>20</formula>
    </cfRule>
    <cfRule type="cellIs" dxfId="1" priority="10411" operator="greaterThan">
      <formula>120</formula>
    </cfRule>
    <cfRule type="containsText" dxfId="2" priority="9566" operator="between" text="库存为">
      <formula>NOT(ISERROR(SEARCH("库存为",AU744)))</formula>
    </cfRule>
  </conditionalFormatting>
  <conditionalFormatting sqref="AU745">
    <cfRule type="cellIs" dxfId="0" priority="11255" operator="lessThan">
      <formula>20</formula>
    </cfRule>
    <cfRule type="cellIs" dxfId="1" priority="10410" operator="greaterThan">
      <formula>120</formula>
    </cfRule>
    <cfRule type="containsText" dxfId="2" priority="9565" operator="between" text="库存为">
      <formula>NOT(ISERROR(SEARCH("库存为",AU745)))</formula>
    </cfRule>
  </conditionalFormatting>
  <conditionalFormatting sqref="AU746">
    <cfRule type="cellIs" dxfId="0" priority="11254" operator="lessThan">
      <formula>20</formula>
    </cfRule>
    <cfRule type="cellIs" dxfId="1" priority="10409" operator="greaterThan">
      <formula>120</formula>
    </cfRule>
    <cfRule type="containsText" dxfId="2" priority="9564" operator="between" text="库存为">
      <formula>NOT(ISERROR(SEARCH("库存为",AU746)))</formula>
    </cfRule>
  </conditionalFormatting>
  <conditionalFormatting sqref="AU747">
    <cfRule type="cellIs" dxfId="0" priority="11253" operator="lessThan">
      <formula>20</formula>
    </cfRule>
    <cfRule type="cellIs" dxfId="1" priority="10408" operator="greaterThan">
      <formula>120</formula>
    </cfRule>
    <cfRule type="containsText" dxfId="2" priority="9563" operator="between" text="库存为">
      <formula>NOT(ISERROR(SEARCH("库存为",AU747)))</formula>
    </cfRule>
  </conditionalFormatting>
  <conditionalFormatting sqref="AU748">
    <cfRule type="cellIs" dxfId="0" priority="11252" operator="lessThan">
      <formula>20</formula>
    </cfRule>
    <cfRule type="cellIs" dxfId="1" priority="10407" operator="greaterThan">
      <formula>120</formula>
    </cfRule>
    <cfRule type="containsText" dxfId="2" priority="9562" operator="between" text="库存为">
      <formula>NOT(ISERROR(SEARCH("库存为",AU748)))</formula>
    </cfRule>
  </conditionalFormatting>
  <conditionalFormatting sqref="AU749">
    <cfRule type="cellIs" dxfId="0" priority="11251" operator="lessThan">
      <formula>20</formula>
    </cfRule>
    <cfRule type="cellIs" dxfId="1" priority="10406" operator="greaterThan">
      <formula>120</formula>
    </cfRule>
    <cfRule type="containsText" dxfId="2" priority="9561" operator="between" text="库存为">
      <formula>NOT(ISERROR(SEARCH("库存为",AU749)))</formula>
    </cfRule>
  </conditionalFormatting>
  <conditionalFormatting sqref="AU750">
    <cfRule type="cellIs" dxfId="0" priority="11250" operator="lessThan">
      <formula>20</formula>
    </cfRule>
    <cfRule type="cellIs" dxfId="1" priority="10405" operator="greaterThan">
      <formula>120</formula>
    </cfRule>
    <cfRule type="containsText" dxfId="2" priority="9560" operator="between" text="库存为">
      <formula>NOT(ISERROR(SEARCH("库存为",AU750)))</formula>
    </cfRule>
  </conditionalFormatting>
  <conditionalFormatting sqref="AU751">
    <cfRule type="cellIs" dxfId="0" priority="11249" operator="lessThan">
      <formula>20</formula>
    </cfRule>
    <cfRule type="cellIs" dxfId="1" priority="10404" operator="greaterThan">
      <formula>120</formula>
    </cfRule>
    <cfRule type="containsText" dxfId="2" priority="9559" operator="between" text="库存为">
      <formula>NOT(ISERROR(SEARCH("库存为",AU751)))</formula>
    </cfRule>
  </conditionalFormatting>
  <conditionalFormatting sqref="AU752">
    <cfRule type="cellIs" dxfId="0" priority="11248" operator="lessThan">
      <formula>20</formula>
    </cfRule>
    <cfRule type="cellIs" dxfId="1" priority="10403" operator="greaterThan">
      <formula>120</formula>
    </cfRule>
    <cfRule type="containsText" dxfId="2" priority="9558" operator="between" text="库存为">
      <formula>NOT(ISERROR(SEARCH("库存为",AU752)))</formula>
    </cfRule>
  </conditionalFormatting>
  <conditionalFormatting sqref="AU753">
    <cfRule type="cellIs" dxfId="0" priority="11247" operator="lessThan">
      <formula>20</formula>
    </cfRule>
    <cfRule type="cellIs" dxfId="1" priority="10402" operator="greaterThan">
      <formula>120</formula>
    </cfRule>
    <cfRule type="containsText" dxfId="2" priority="9557" operator="between" text="库存为">
      <formula>NOT(ISERROR(SEARCH("库存为",AU753)))</formula>
    </cfRule>
  </conditionalFormatting>
  <conditionalFormatting sqref="AU754">
    <cfRule type="cellIs" dxfId="0" priority="11246" operator="lessThan">
      <formula>20</formula>
    </cfRule>
    <cfRule type="cellIs" dxfId="1" priority="10401" operator="greaterThan">
      <formula>120</formula>
    </cfRule>
    <cfRule type="containsText" dxfId="2" priority="9556" operator="between" text="库存为">
      <formula>NOT(ISERROR(SEARCH("库存为",AU754)))</formula>
    </cfRule>
  </conditionalFormatting>
  <conditionalFormatting sqref="AU755">
    <cfRule type="cellIs" dxfId="0" priority="11245" operator="lessThan">
      <formula>20</formula>
    </cfRule>
    <cfRule type="cellIs" dxfId="1" priority="10400" operator="greaterThan">
      <formula>120</formula>
    </cfRule>
    <cfRule type="containsText" dxfId="2" priority="9555" operator="between" text="库存为">
      <formula>NOT(ISERROR(SEARCH("库存为",AU755)))</formula>
    </cfRule>
  </conditionalFormatting>
  <conditionalFormatting sqref="AU756">
    <cfRule type="cellIs" dxfId="0" priority="11244" operator="lessThan">
      <formula>20</formula>
    </cfRule>
    <cfRule type="cellIs" dxfId="1" priority="10399" operator="greaterThan">
      <formula>120</formula>
    </cfRule>
    <cfRule type="containsText" dxfId="2" priority="9554" operator="between" text="库存为">
      <formula>NOT(ISERROR(SEARCH("库存为",AU756)))</formula>
    </cfRule>
  </conditionalFormatting>
  <conditionalFormatting sqref="AU757">
    <cfRule type="cellIs" dxfId="0" priority="11243" operator="lessThan">
      <formula>20</formula>
    </cfRule>
    <cfRule type="cellIs" dxfId="1" priority="10398" operator="greaterThan">
      <formula>120</formula>
    </cfRule>
    <cfRule type="containsText" dxfId="2" priority="9553" operator="between" text="库存为">
      <formula>NOT(ISERROR(SEARCH("库存为",AU757)))</formula>
    </cfRule>
  </conditionalFormatting>
  <conditionalFormatting sqref="AU758">
    <cfRule type="cellIs" dxfId="0" priority="11242" operator="lessThan">
      <formula>20</formula>
    </cfRule>
    <cfRule type="cellIs" dxfId="1" priority="10397" operator="greaterThan">
      <formula>120</formula>
    </cfRule>
    <cfRule type="containsText" dxfId="2" priority="9552" operator="between" text="库存为">
      <formula>NOT(ISERROR(SEARCH("库存为",AU758)))</formula>
    </cfRule>
  </conditionalFormatting>
  <conditionalFormatting sqref="AU759">
    <cfRule type="cellIs" dxfId="0" priority="11241" operator="lessThan">
      <formula>20</formula>
    </cfRule>
    <cfRule type="cellIs" dxfId="1" priority="10396" operator="greaterThan">
      <formula>120</formula>
    </cfRule>
    <cfRule type="containsText" dxfId="2" priority="9551" operator="between" text="库存为">
      <formula>NOT(ISERROR(SEARCH("库存为",AU759)))</formula>
    </cfRule>
  </conditionalFormatting>
  <conditionalFormatting sqref="AU760">
    <cfRule type="cellIs" dxfId="0" priority="11240" operator="lessThan">
      <formula>20</formula>
    </cfRule>
    <cfRule type="cellIs" dxfId="1" priority="10395" operator="greaterThan">
      <formula>120</formula>
    </cfRule>
    <cfRule type="containsText" dxfId="2" priority="9550" operator="between" text="库存为">
      <formula>NOT(ISERROR(SEARCH("库存为",AU760)))</formula>
    </cfRule>
  </conditionalFormatting>
  <conditionalFormatting sqref="AU761">
    <cfRule type="cellIs" dxfId="0" priority="11239" operator="lessThan">
      <formula>20</formula>
    </cfRule>
    <cfRule type="cellIs" dxfId="1" priority="10394" operator="greaterThan">
      <formula>120</formula>
    </cfRule>
    <cfRule type="containsText" dxfId="2" priority="9549" operator="between" text="库存为">
      <formula>NOT(ISERROR(SEARCH("库存为",AU761)))</formula>
    </cfRule>
  </conditionalFormatting>
  <conditionalFormatting sqref="AU762">
    <cfRule type="cellIs" dxfId="0" priority="11238" operator="lessThan">
      <formula>20</formula>
    </cfRule>
    <cfRule type="cellIs" dxfId="1" priority="10393" operator="greaterThan">
      <formula>120</formula>
    </cfRule>
    <cfRule type="containsText" dxfId="2" priority="9548" operator="between" text="库存为">
      <formula>NOT(ISERROR(SEARCH("库存为",AU762)))</formula>
    </cfRule>
  </conditionalFormatting>
  <conditionalFormatting sqref="AU763">
    <cfRule type="cellIs" dxfId="0" priority="11237" operator="lessThan">
      <formula>20</formula>
    </cfRule>
    <cfRule type="cellIs" dxfId="1" priority="10392" operator="greaterThan">
      <formula>120</formula>
    </cfRule>
    <cfRule type="containsText" dxfId="2" priority="9547" operator="between" text="库存为">
      <formula>NOT(ISERROR(SEARCH("库存为",AU763)))</formula>
    </cfRule>
  </conditionalFormatting>
  <conditionalFormatting sqref="AU764">
    <cfRule type="cellIs" dxfId="0" priority="11236" operator="lessThan">
      <formula>20</formula>
    </cfRule>
    <cfRule type="cellIs" dxfId="1" priority="10391" operator="greaterThan">
      <formula>120</formula>
    </cfRule>
    <cfRule type="containsText" dxfId="2" priority="9546" operator="between" text="库存为">
      <formula>NOT(ISERROR(SEARCH("库存为",AU764)))</formula>
    </cfRule>
  </conditionalFormatting>
  <conditionalFormatting sqref="AU765">
    <cfRule type="cellIs" dxfId="0" priority="11235" operator="lessThan">
      <formula>20</formula>
    </cfRule>
    <cfRule type="cellIs" dxfId="1" priority="10390" operator="greaterThan">
      <formula>120</formula>
    </cfRule>
    <cfRule type="containsText" dxfId="2" priority="9545" operator="between" text="库存为">
      <formula>NOT(ISERROR(SEARCH("库存为",AU765)))</formula>
    </cfRule>
  </conditionalFormatting>
  <conditionalFormatting sqref="AU766">
    <cfRule type="cellIs" dxfId="0" priority="11234" operator="lessThan">
      <formula>20</formula>
    </cfRule>
    <cfRule type="cellIs" dxfId="1" priority="10389" operator="greaterThan">
      <formula>120</formula>
    </cfRule>
    <cfRule type="containsText" dxfId="2" priority="9544" operator="between" text="库存为">
      <formula>NOT(ISERROR(SEARCH("库存为",AU766)))</formula>
    </cfRule>
  </conditionalFormatting>
  <conditionalFormatting sqref="AU767">
    <cfRule type="cellIs" dxfId="0" priority="11233" operator="lessThan">
      <formula>20</formula>
    </cfRule>
    <cfRule type="cellIs" dxfId="1" priority="10388" operator="greaterThan">
      <formula>120</formula>
    </cfRule>
    <cfRule type="containsText" dxfId="2" priority="9543" operator="between" text="库存为">
      <formula>NOT(ISERROR(SEARCH("库存为",AU767)))</formula>
    </cfRule>
  </conditionalFormatting>
  <conditionalFormatting sqref="AU768">
    <cfRule type="cellIs" dxfId="0" priority="11232" operator="lessThan">
      <formula>20</formula>
    </cfRule>
    <cfRule type="cellIs" dxfId="1" priority="10387" operator="greaterThan">
      <formula>120</formula>
    </cfRule>
    <cfRule type="containsText" dxfId="2" priority="9542" operator="between" text="库存为">
      <formula>NOT(ISERROR(SEARCH("库存为",AU768)))</formula>
    </cfRule>
  </conditionalFormatting>
  <conditionalFormatting sqref="AU769">
    <cfRule type="cellIs" dxfId="0" priority="11231" operator="lessThan">
      <formula>20</formula>
    </cfRule>
    <cfRule type="cellIs" dxfId="1" priority="10386" operator="greaterThan">
      <formula>120</formula>
    </cfRule>
    <cfRule type="containsText" dxfId="2" priority="9541" operator="between" text="库存为">
      <formula>NOT(ISERROR(SEARCH("库存为",AU769)))</formula>
    </cfRule>
  </conditionalFormatting>
  <conditionalFormatting sqref="AU770">
    <cfRule type="cellIs" dxfId="0" priority="11230" operator="lessThan">
      <formula>20</formula>
    </cfRule>
    <cfRule type="cellIs" dxfId="1" priority="10385" operator="greaterThan">
      <formula>120</formula>
    </cfRule>
    <cfRule type="containsText" dxfId="2" priority="9540" operator="between" text="库存为">
      <formula>NOT(ISERROR(SEARCH("库存为",AU770)))</formula>
    </cfRule>
  </conditionalFormatting>
  <conditionalFormatting sqref="AU771">
    <cfRule type="cellIs" dxfId="0" priority="11229" operator="lessThan">
      <formula>20</formula>
    </cfRule>
    <cfRule type="cellIs" dxfId="1" priority="10384" operator="greaterThan">
      <formula>120</formula>
    </cfRule>
    <cfRule type="containsText" dxfId="2" priority="9539" operator="between" text="库存为">
      <formula>NOT(ISERROR(SEARCH("库存为",AU771)))</formula>
    </cfRule>
  </conditionalFormatting>
  <conditionalFormatting sqref="AU772">
    <cfRule type="cellIs" dxfId="0" priority="11228" operator="lessThan">
      <formula>20</formula>
    </cfRule>
    <cfRule type="cellIs" dxfId="1" priority="10383" operator="greaterThan">
      <formula>120</formula>
    </cfRule>
    <cfRule type="containsText" dxfId="2" priority="9538" operator="between" text="库存为">
      <formula>NOT(ISERROR(SEARCH("库存为",AU772)))</formula>
    </cfRule>
  </conditionalFormatting>
  <conditionalFormatting sqref="AU773">
    <cfRule type="cellIs" dxfId="0" priority="11227" operator="lessThan">
      <formula>20</formula>
    </cfRule>
    <cfRule type="cellIs" dxfId="1" priority="10382" operator="greaterThan">
      <formula>120</formula>
    </cfRule>
    <cfRule type="containsText" dxfId="2" priority="9537" operator="between" text="库存为">
      <formula>NOT(ISERROR(SEARCH("库存为",AU773)))</formula>
    </cfRule>
  </conditionalFormatting>
  <conditionalFormatting sqref="AU774">
    <cfRule type="cellIs" dxfId="0" priority="11226" operator="lessThan">
      <formula>20</formula>
    </cfRule>
    <cfRule type="cellIs" dxfId="1" priority="10381" operator="greaterThan">
      <formula>120</formula>
    </cfRule>
    <cfRule type="containsText" dxfId="2" priority="9536" operator="between" text="库存为">
      <formula>NOT(ISERROR(SEARCH("库存为",AU774)))</formula>
    </cfRule>
  </conditionalFormatting>
  <conditionalFormatting sqref="AU775">
    <cfRule type="cellIs" dxfId="0" priority="11225" operator="lessThan">
      <formula>20</formula>
    </cfRule>
    <cfRule type="cellIs" dxfId="1" priority="10380" operator="greaterThan">
      <formula>120</formula>
    </cfRule>
    <cfRule type="containsText" dxfId="2" priority="9535" operator="between" text="库存为">
      <formula>NOT(ISERROR(SEARCH("库存为",AU775)))</formula>
    </cfRule>
  </conditionalFormatting>
  <conditionalFormatting sqref="AU776">
    <cfRule type="cellIs" dxfId="0" priority="11224" operator="lessThan">
      <formula>20</formula>
    </cfRule>
    <cfRule type="cellIs" dxfId="1" priority="10379" operator="greaterThan">
      <formula>120</formula>
    </cfRule>
    <cfRule type="containsText" dxfId="2" priority="9534" operator="between" text="库存为">
      <formula>NOT(ISERROR(SEARCH("库存为",AU776)))</formula>
    </cfRule>
  </conditionalFormatting>
  <conditionalFormatting sqref="AU777">
    <cfRule type="cellIs" dxfId="0" priority="11223" operator="lessThan">
      <formula>20</formula>
    </cfRule>
    <cfRule type="cellIs" dxfId="1" priority="10378" operator="greaterThan">
      <formula>120</formula>
    </cfRule>
    <cfRule type="containsText" dxfId="2" priority="9533" operator="between" text="库存为">
      <formula>NOT(ISERROR(SEARCH("库存为",AU777)))</formula>
    </cfRule>
  </conditionalFormatting>
  <conditionalFormatting sqref="AU778">
    <cfRule type="cellIs" dxfId="0" priority="11222" operator="lessThan">
      <formula>20</formula>
    </cfRule>
    <cfRule type="cellIs" dxfId="1" priority="10377" operator="greaterThan">
      <formula>120</formula>
    </cfRule>
    <cfRule type="containsText" dxfId="2" priority="9532" operator="between" text="库存为">
      <formula>NOT(ISERROR(SEARCH("库存为",AU778)))</formula>
    </cfRule>
  </conditionalFormatting>
  <conditionalFormatting sqref="AU779">
    <cfRule type="cellIs" dxfId="0" priority="11221" operator="lessThan">
      <formula>20</formula>
    </cfRule>
    <cfRule type="cellIs" dxfId="1" priority="10376" operator="greaterThan">
      <formula>120</formula>
    </cfRule>
    <cfRule type="containsText" dxfId="2" priority="9531" operator="between" text="库存为">
      <formula>NOT(ISERROR(SEARCH("库存为",AU779)))</formula>
    </cfRule>
  </conditionalFormatting>
  <conditionalFormatting sqref="AU780">
    <cfRule type="cellIs" dxfId="0" priority="11220" operator="lessThan">
      <formula>20</formula>
    </cfRule>
    <cfRule type="cellIs" dxfId="1" priority="10375" operator="greaterThan">
      <formula>120</formula>
    </cfRule>
    <cfRule type="containsText" dxfId="2" priority="9530" operator="between" text="库存为">
      <formula>NOT(ISERROR(SEARCH("库存为",AU780)))</formula>
    </cfRule>
  </conditionalFormatting>
  <conditionalFormatting sqref="AU781">
    <cfRule type="cellIs" dxfId="0" priority="11219" operator="lessThan">
      <formula>20</formula>
    </cfRule>
    <cfRule type="cellIs" dxfId="1" priority="10374" operator="greaterThan">
      <formula>120</formula>
    </cfRule>
    <cfRule type="containsText" dxfId="2" priority="9529" operator="between" text="库存为">
      <formula>NOT(ISERROR(SEARCH("库存为",AU781)))</formula>
    </cfRule>
  </conditionalFormatting>
  <conditionalFormatting sqref="AU782">
    <cfRule type="cellIs" dxfId="0" priority="11218" operator="lessThan">
      <formula>20</formula>
    </cfRule>
    <cfRule type="cellIs" dxfId="1" priority="10373" operator="greaterThan">
      <formula>120</formula>
    </cfRule>
    <cfRule type="containsText" dxfId="2" priority="9528" operator="between" text="库存为">
      <formula>NOT(ISERROR(SEARCH("库存为",AU782)))</formula>
    </cfRule>
  </conditionalFormatting>
  <conditionalFormatting sqref="AU783">
    <cfRule type="cellIs" dxfId="0" priority="11217" operator="lessThan">
      <formula>20</formula>
    </cfRule>
    <cfRule type="cellIs" dxfId="1" priority="10372" operator="greaterThan">
      <formula>120</formula>
    </cfRule>
    <cfRule type="containsText" dxfId="2" priority="9527" operator="between" text="库存为">
      <formula>NOT(ISERROR(SEARCH("库存为",AU783)))</formula>
    </cfRule>
  </conditionalFormatting>
  <conditionalFormatting sqref="AU784">
    <cfRule type="cellIs" dxfId="0" priority="11216" operator="lessThan">
      <formula>20</formula>
    </cfRule>
    <cfRule type="cellIs" dxfId="1" priority="10371" operator="greaterThan">
      <formula>120</formula>
    </cfRule>
    <cfRule type="containsText" dxfId="2" priority="9526" operator="between" text="库存为">
      <formula>NOT(ISERROR(SEARCH("库存为",AU784)))</formula>
    </cfRule>
  </conditionalFormatting>
  <conditionalFormatting sqref="AU785">
    <cfRule type="cellIs" dxfId="0" priority="11215" operator="lessThan">
      <formula>20</formula>
    </cfRule>
    <cfRule type="cellIs" dxfId="1" priority="10370" operator="greaterThan">
      <formula>120</formula>
    </cfRule>
    <cfRule type="containsText" dxfId="2" priority="9525" operator="between" text="库存为">
      <formula>NOT(ISERROR(SEARCH("库存为",AU785)))</formula>
    </cfRule>
  </conditionalFormatting>
  <conditionalFormatting sqref="AU786">
    <cfRule type="cellIs" dxfId="0" priority="11214" operator="lessThan">
      <formula>20</formula>
    </cfRule>
    <cfRule type="cellIs" dxfId="1" priority="10369" operator="greaterThan">
      <formula>120</formula>
    </cfRule>
    <cfRule type="containsText" dxfId="2" priority="9524" operator="between" text="库存为">
      <formula>NOT(ISERROR(SEARCH("库存为",AU786)))</formula>
    </cfRule>
  </conditionalFormatting>
  <conditionalFormatting sqref="AU787">
    <cfRule type="cellIs" dxfId="0" priority="11213" operator="lessThan">
      <formula>20</formula>
    </cfRule>
    <cfRule type="cellIs" dxfId="1" priority="10368" operator="greaterThan">
      <formula>120</formula>
    </cfRule>
    <cfRule type="containsText" dxfId="2" priority="9523" operator="between" text="库存为">
      <formula>NOT(ISERROR(SEARCH("库存为",AU787)))</formula>
    </cfRule>
  </conditionalFormatting>
  <conditionalFormatting sqref="AU788">
    <cfRule type="cellIs" dxfId="0" priority="11212" operator="lessThan">
      <formula>20</formula>
    </cfRule>
    <cfRule type="cellIs" dxfId="1" priority="10367" operator="greaterThan">
      <formula>120</formula>
    </cfRule>
    <cfRule type="containsText" dxfId="2" priority="9522" operator="between" text="库存为">
      <formula>NOT(ISERROR(SEARCH("库存为",AU788)))</formula>
    </cfRule>
  </conditionalFormatting>
  <conditionalFormatting sqref="AU789">
    <cfRule type="cellIs" dxfId="0" priority="11211" operator="lessThan">
      <formula>20</formula>
    </cfRule>
    <cfRule type="cellIs" dxfId="1" priority="10366" operator="greaterThan">
      <formula>120</formula>
    </cfRule>
    <cfRule type="containsText" dxfId="2" priority="9521" operator="between" text="库存为">
      <formula>NOT(ISERROR(SEARCH("库存为",AU789)))</formula>
    </cfRule>
  </conditionalFormatting>
  <conditionalFormatting sqref="AU790">
    <cfRule type="cellIs" dxfId="0" priority="11210" operator="lessThan">
      <formula>20</formula>
    </cfRule>
    <cfRule type="cellIs" dxfId="1" priority="10365" operator="greaterThan">
      <formula>120</formula>
    </cfRule>
    <cfRule type="containsText" dxfId="2" priority="9520" operator="between" text="库存为">
      <formula>NOT(ISERROR(SEARCH("库存为",AU790)))</formula>
    </cfRule>
  </conditionalFormatting>
  <conditionalFormatting sqref="AU791">
    <cfRule type="cellIs" dxfId="0" priority="11209" operator="lessThan">
      <formula>20</formula>
    </cfRule>
    <cfRule type="cellIs" dxfId="1" priority="10364" operator="greaterThan">
      <formula>120</formula>
    </cfRule>
    <cfRule type="containsText" dxfId="2" priority="9519" operator="between" text="库存为">
      <formula>NOT(ISERROR(SEARCH("库存为",AU791)))</formula>
    </cfRule>
  </conditionalFormatting>
  <conditionalFormatting sqref="AU792">
    <cfRule type="cellIs" dxfId="0" priority="11208" operator="lessThan">
      <formula>20</formula>
    </cfRule>
    <cfRule type="cellIs" dxfId="1" priority="10363" operator="greaterThan">
      <formula>120</formula>
    </cfRule>
    <cfRule type="containsText" dxfId="2" priority="9518" operator="between" text="库存为">
      <formula>NOT(ISERROR(SEARCH("库存为",AU792)))</formula>
    </cfRule>
  </conditionalFormatting>
  <conditionalFormatting sqref="AU793">
    <cfRule type="cellIs" dxfId="0" priority="11207" operator="lessThan">
      <formula>20</formula>
    </cfRule>
    <cfRule type="cellIs" dxfId="1" priority="10362" operator="greaterThan">
      <formula>120</formula>
    </cfRule>
    <cfRule type="containsText" dxfId="2" priority="9517" operator="between" text="库存为">
      <formula>NOT(ISERROR(SEARCH("库存为",AU793)))</formula>
    </cfRule>
  </conditionalFormatting>
  <conditionalFormatting sqref="AU794">
    <cfRule type="cellIs" dxfId="0" priority="11206" operator="lessThan">
      <formula>20</formula>
    </cfRule>
    <cfRule type="cellIs" dxfId="1" priority="10361" operator="greaterThan">
      <formula>120</formula>
    </cfRule>
    <cfRule type="containsText" dxfId="2" priority="9516" operator="between" text="库存为">
      <formula>NOT(ISERROR(SEARCH("库存为",AU794)))</formula>
    </cfRule>
  </conditionalFormatting>
  <conditionalFormatting sqref="AU795">
    <cfRule type="cellIs" dxfId="0" priority="11205" operator="lessThan">
      <formula>20</formula>
    </cfRule>
    <cfRule type="cellIs" dxfId="1" priority="10360" operator="greaterThan">
      <formula>120</formula>
    </cfRule>
    <cfRule type="containsText" dxfId="2" priority="9515" operator="between" text="库存为">
      <formula>NOT(ISERROR(SEARCH("库存为",AU795)))</formula>
    </cfRule>
  </conditionalFormatting>
  <conditionalFormatting sqref="AU796">
    <cfRule type="cellIs" dxfId="0" priority="11204" operator="lessThan">
      <formula>20</formula>
    </cfRule>
    <cfRule type="cellIs" dxfId="1" priority="10359" operator="greaterThan">
      <formula>120</formula>
    </cfRule>
    <cfRule type="containsText" dxfId="2" priority="9514" operator="between" text="库存为">
      <formula>NOT(ISERROR(SEARCH("库存为",AU796)))</formula>
    </cfRule>
  </conditionalFormatting>
  <conditionalFormatting sqref="AU797">
    <cfRule type="cellIs" dxfId="0" priority="11203" operator="lessThan">
      <formula>20</formula>
    </cfRule>
    <cfRule type="cellIs" dxfId="1" priority="10358" operator="greaterThan">
      <formula>120</formula>
    </cfRule>
    <cfRule type="containsText" dxfId="2" priority="9513" operator="between" text="库存为">
      <formula>NOT(ISERROR(SEARCH("库存为",AU797)))</formula>
    </cfRule>
  </conditionalFormatting>
  <conditionalFormatting sqref="AU798">
    <cfRule type="cellIs" dxfId="0" priority="11202" operator="lessThan">
      <formula>20</formula>
    </cfRule>
    <cfRule type="cellIs" dxfId="1" priority="10357" operator="greaterThan">
      <formula>120</formula>
    </cfRule>
    <cfRule type="containsText" dxfId="2" priority="9512" operator="between" text="库存为">
      <formula>NOT(ISERROR(SEARCH("库存为",AU798)))</formula>
    </cfRule>
  </conditionalFormatting>
  <conditionalFormatting sqref="AU799">
    <cfRule type="cellIs" dxfId="0" priority="11201" operator="lessThan">
      <formula>20</formula>
    </cfRule>
    <cfRule type="cellIs" dxfId="1" priority="10356" operator="greaterThan">
      <formula>120</formula>
    </cfRule>
    <cfRule type="containsText" dxfId="2" priority="9511" operator="between" text="库存为">
      <formula>NOT(ISERROR(SEARCH("库存为",AU799)))</formula>
    </cfRule>
  </conditionalFormatting>
  <conditionalFormatting sqref="AU800">
    <cfRule type="cellIs" dxfId="0" priority="11200" operator="lessThan">
      <formula>20</formula>
    </cfRule>
    <cfRule type="cellIs" dxfId="1" priority="10355" operator="greaterThan">
      <formula>120</formula>
    </cfRule>
    <cfRule type="containsText" dxfId="2" priority="9510" operator="between" text="库存为">
      <formula>NOT(ISERROR(SEARCH("库存为",AU800)))</formula>
    </cfRule>
  </conditionalFormatting>
  <conditionalFormatting sqref="AU801">
    <cfRule type="cellIs" dxfId="0" priority="11199" operator="lessThan">
      <formula>20</formula>
    </cfRule>
    <cfRule type="cellIs" dxfId="1" priority="10354" operator="greaterThan">
      <formula>120</formula>
    </cfRule>
    <cfRule type="containsText" dxfId="2" priority="9509" operator="between" text="库存为">
      <formula>NOT(ISERROR(SEARCH("库存为",AU801)))</formula>
    </cfRule>
  </conditionalFormatting>
  <conditionalFormatting sqref="AU802">
    <cfRule type="cellIs" dxfId="0" priority="11198" operator="lessThan">
      <formula>20</formula>
    </cfRule>
    <cfRule type="cellIs" dxfId="1" priority="10353" operator="greaterThan">
      <formula>120</formula>
    </cfRule>
    <cfRule type="containsText" dxfId="2" priority="9508" operator="between" text="库存为">
      <formula>NOT(ISERROR(SEARCH("库存为",AU802)))</formula>
    </cfRule>
  </conditionalFormatting>
  <conditionalFormatting sqref="AU803">
    <cfRule type="cellIs" dxfId="0" priority="11197" operator="lessThan">
      <formula>20</formula>
    </cfRule>
    <cfRule type="cellIs" dxfId="1" priority="10352" operator="greaterThan">
      <formula>120</formula>
    </cfRule>
    <cfRule type="containsText" dxfId="2" priority="9507" operator="between" text="库存为">
      <formula>NOT(ISERROR(SEARCH("库存为",AU803)))</formula>
    </cfRule>
  </conditionalFormatting>
  <conditionalFormatting sqref="AU804">
    <cfRule type="cellIs" dxfId="0" priority="11196" operator="lessThan">
      <formula>20</formula>
    </cfRule>
    <cfRule type="cellIs" dxfId="1" priority="10351" operator="greaterThan">
      <formula>120</formula>
    </cfRule>
    <cfRule type="containsText" dxfId="2" priority="9506" operator="between" text="库存为">
      <formula>NOT(ISERROR(SEARCH("库存为",AU804)))</formula>
    </cfRule>
  </conditionalFormatting>
  <conditionalFormatting sqref="AU805">
    <cfRule type="cellIs" dxfId="0" priority="11195" operator="lessThan">
      <formula>20</formula>
    </cfRule>
    <cfRule type="cellIs" dxfId="1" priority="10350" operator="greaterThan">
      <formula>120</formula>
    </cfRule>
    <cfRule type="containsText" dxfId="2" priority="9505" operator="between" text="库存为">
      <formula>NOT(ISERROR(SEARCH("库存为",AU805)))</formula>
    </cfRule>
  </conditionalFormatting>
  <conditionalFormatting sqref="AU806">
    <cfRule type="cellIs" dxfId="0" priority="11194" operator="lessThan">
      <formula>20</formula>
    </cfRule>
    <cfRule type="cellIs" dxfId="1" priority="10349" operator="greaterThan">
      <formula>120</formula>
    </cfRule>
    <cfRule type="containsText" dxfId="2" priority="9504" operator="between" text="库存为">
      <formula>NOT(ISERROR(SEARCH("库存为",AU806)))</formula>
    </cfRule>
  </conditionalFormatting>
  <conditionalFormatting sqref="AU807">
    <cfRule type="cellIs" dxfId="0" priority="11193" operator="lessThan">
      <formula>20</formula>
    </cfRule>
    <cfRule type="cellIs" dxfId="1" priority="10348" operator="greaterThan">
      <formula>120</formula>
    </cfRule>
    <cfRule type="containsText" dxfId="2" priority="9503" operator="between" text="库存为">
      <formula>NOT(ISERROR(SEARCH("库存为",AU807)))</formula>
    </cfRule>
  </conditionalFormatting>
  <conditionalFormatting sqref="AU808">
    <cfRule type="cellIs" dxfId="0" priority="11192" operator="lessThan">
      <formula>20</formula>
    </cfRule>
    <cfRule type="cellIs" dxfId="1" priority="10347" operator="greaterThan">
      <formula>120</formula>
    </cfRule>
    <cfRule type="containsText" dxfId="2" priority="9502" operator="between" text="库存为">
      <formula>NOT(ISERROR(SEARCH("库存为",AU808)))</formula>
    </cfRule>
  </conditionalFormatting>
  <conditionalFormatting sqref="AU809">
    <cfRule type="cellIs" dxfId="0" priority="11191" operator="lessThan">
      <formula>20</formula>
    </cfRule>
    <cfRule type="cellIs" dxfId="1" priority="10346" operator="greaterThan">
      <formula>120</formula>
    </cfRule>
    <cfRule type="containsText" dxfId="2" priority="9501" operator="between" text="库存为">
      <formula>NOT(ISERROR(SEARCH("库存为",AU809)))</formula>
    </cfRule>
  </conditionalFormatting>
  <conditionalFormatting sqref="AU810">
    <cfRule type="cellIs" dxfId="0" priority="11190" operator="lessThan">
      <formula>20</formula>
    </cfRule>
    <cfRule type="cellIs" dxfId="1" priority="10345" operator="greaterThan">
      <formula>120</formula>
    </cfRule>
    <cfRule type="containsText" dxfId="2" priority="9500" operator="between" text="库存为">
      <formula>NOT(ISERROR(SEARCH("库存为",AU810)))</formula>
    </cfRule>
  </conditionalFormatting>
  <conditionalFormatting sqref="AU811">
    <cfRule type="cellIs" dxfId="0" priority="11189" operator="lessThan">
      <formula>20</formula>
    </cfRule>
    <cfRule type="cellIs" dxfId="1" priority="10344" operator="greaterThan">
      <formula>120</formula>
    </cfRule>
    <cfRule type="containsText" dxfId="2" priority="9499" operator="between" text="库存为">
      <formula>NOT(ISERROR(SEARCH("库存为",AU811)))</formula>
    </cfRule>
  </conditionalFormatting>
  <conditionalFormatting sqref="AU812">
    <cfRule type="cellIs" dxfId="0" priority="11188" operator="lessThan">
      <formula>20</formula>
    </cfRule>
    <cfRule type="cellIs" dxfId="1" priority="10343" operator="greaterThan">
      <formula>120</formula>
    </cfRule>
    <cfRule type="containsText" dxfId="2" priority="9498" operator="between" text="库存为">
      <formula>NOT(ISERROR(SEARCH("库存为",AU812)))</formula>
    </cfRule>
  </conditionalFormatting>
  <conditionalFormatting sqref="AU813">
    <cfRule type="cellIs" dxfId="0" priority="11187" operator="lessThan">
      <formula>20</formula>
    </cfRule>
    <cfRule type="cellIs" dxfId="1" priority="10342" operator="greaterThan">
      <formula>120</formula>
    </cfRule>
    <cfRule type="containsText" dxfId="2" priority="9497" operator="between" text="库存为">
      <formula>NOT(ISERROR(SEARCH("库存为",AU813)))</formula>
    </cfRule>
  </conditionalFormatting>
  <conditionalFormatting sqref="AU814">
    <cfRule type="cellIs" dxfId="0" priority="11186" operator="lessThan">
      <formula>20</formula>
    </cfRule>
    <cfRule type="cellIs" dxfId="1" priority="10341" operator="greaterThan">
      <formula>120</formula>
    </cfRule>
    <cfRule type="containsText" dxfId="2" priority="9496" operator="between" text="库存为">
      <formula>NOT(ISERROR(SEARCH("库存为",AU814)))</formula>
    </cfRule>
  </conditionalFormatting>
  <conditionalFormatting sqref="AU815">
    <cfRule type="cellIs" dxfId="0" priority="11185" operator="lessThan">
      <formula>20</formula>
    </cfRule>
    <cfRule type="cellIs" dxfId="1" priority="10340" operator="greaterThan">
      <formula>120</formula>
    </cfRule>
    <cfRule type="containsText" dxfId="2" priority="9495" operator="between" text="库存为">
      <formula>NOT(ISERROR(SEARCH("库存为",AU815)))</formula>
    </cfRule>
  </conditionalFormatting>
  <conditionalFormatting sqref="AU816">
    <cfRule type="cellIs" dxfId="0" priority="11184" operator="lessThan">
      <formula>20</formula>
    </cfRule>
    <cfRule type="cellIs" dxfId="1" priority="10339" operator="greaterThan">
      <formula>120</formula>
    </cfRule>
    <cfRule type="containsText" dxfId="2" priority="9494" operator="between" text="库存为">
      <formula>NOT(ISERROR(SEARCH("库存为",AU816)))</formula>
    </cfRule>
  </conditionalFormatting>
  <conditionalFormatting sqref="AU817">
    <cfRule type="cellIs" dxfId="0" priority="11183" operator="lessThan">
      <formula>20</formula>
    </cfRule>
    <cfRule type="cellIs" dxfId="1" priority="10338" operator="greaterThan">
      <formula>120</formula>
    </cfRule>
    <cfRule type="containsText" dxfId="2" priority="9493" operator="between" text="库存为">
      <formula>NOT(ISERROR(SEARCH("库存为",AU817)))</formula>
    </cfRule>
  </conditionalFormatting>
  <conditionalFormatting sqref="AU818">
    <cfRule type="cellIs" dxfId="0" priority="11182" operator="lessThan">
      <formula>20</formula>
    </cfRule>
    <cfRule type="cellIs" dxfId="1" priority="10337" operator="greaterThan">
      <formula>120</formula>
    </cfRule>
    <cfRule type="containsText" dxfId="2" priority="9492" operator="between" text="库存为">
      <formula>NOT(ISERROR(SEARCH("库存为",AU818)))</formula>
    </cfRule>
  </conditionalFormatting>
  <conditionalFormatting sqref="AU819">
    <cfRule type="cellIs" dxfId="0" priority="11181" operator="lessThan">
      <formula>20</formula>
    </cfRule>
    <cfRule type="cellIs" dxfId="1" priority="10336" operator="greaterThan">
      <formula>120</formula>
    </cfRule>
    <cfRule type="containsText" dxfId="2" priority="9491" operator="between" text="库存为">
      <formula>NOT(ISERROR(SEARCH("库存为",AU819)))</formula>
    </cfRule>
  </conditionalFormatting>
  <conditionalFormatting sqref="AU820">
    <cfRule type="cellIs" dxfId="0" priority="11180" operator="lessThan">
      <formula>20</formula>
    </cfRule>
    <cfRule type="cellIs" dxfId="1" priority="10335" operator="greaterThan">
      <formula>120</formula>
    </cfRule>
    <cfRule type="containsText" dxfId="2" priority="9490" operator="between" text="库存为">
      <formula>NOT(ISERROR(SEARCH("库存为",AU820)))</formula>
    </cfRule>
  </conditionalFormatting>
  <conditionalFormatting sqref="AU821">
    <cfRule type="cellIs" dxfId="0" priority="11179" operator="lessThan">
      <formula>20</formula>
    </cfRule>
    <cfRule type="cellIs" dxfId="1" priority="10334" operator="greaterThan">
      <formula>120</formula>
    </cfRule>
    <cfRule type="containsText" dxfId="2" priority="9489" operator="between" text="库存为">
      <formula>NOT(ISERROR(SEARCH("库存为",AU821)))</formula>
    </cfRule>
  </conditionalFormatting>
  <conditionalFormatting sqref="AU822">
    <cfRule type="cellIs" dxfId="0" priority="11178" operator="lessThan">
      <formula>20</formula>
    </cfRule>
    <cfRule type="cellIs" dxfId="1" priority="10333" operator="greaterThan">
      <formula>120</formula>
    </cfRule>
    <cfRule type="containsText" dxfId="2" priority="9488" operator="between" text="库存为">
      <formula>NOT(ISERROR(SEARCH("库存为",AU822)))</formula>
    </cfRule>
  </conditionalFormatting>
  <conditionalFormatting sqref="AU823">
    <cfRule type="cellIs" dxfId="0" priority="11177" operator="lessThan">
      <formula>20</formula>
    </cfRule>
    <cfRule type="cellIs" dxfId="1" priority="10332" operator="greaterThan">
      <formula>120</formula>
    </cfRule>
    <cfRule type="containsText" dxfId="2" priority="9487" operator="between" text="库存为">
      <formula>NOT(ISERROR(SEARCH("库存为",AU823)))</formula>
    </cfRule>
  </conditionalFormatting>
  <conditionalFormatting sqref="AU824">
    <cfRule type="cellIs" dxfId="0" priority="11176" operator="lessThan">
      <formula>20</formula>
    </cfRule>
    <cfRule type="cellIs" dxfId="1" priority="10331" operator="greaterThan">
      <formula>120</formula>
    </cfRule>
    <cfRule type="containsText" dxfId="2" priority="9486" operator="between" text="库存为">
      <formula>NOT(ISERROR(SEARCH("库存为",AU824)))</formula>
    </cfRule>
  </conditionalFormatting>
  <conditionalFormatting sqref="AU825">
    <cfRule type="cellIs" dxfId="0" priority="11175" operator="lessThan">
      <formula>20</formula>
    </cfRule>
    <cfRule type="cellIs" dxfId="1" priority="10330" operator="greaterThan">
      <formula>120</formula>
    </cfRule>
    <cfRule type="containsText" dxfId="2" priority="9485" operator="between" text="库存为">
      <formula>NOT(ISERROR(SEARCH("库存为",AU825)))</formula>
    </cfRule>
  </conditionalFormatting>
  <conditionalFormatting sqref="AU826">
    <cfRule type="cellIs" dxfId="0" priority="11174" operator="lessThan">
      <formula>20</formula>
    </cfRule>
    <cfRule type="cellIs" dxfId="1" priority="10329" operator="greaterThan">
      <formula>120</formula>
    </cfRule>
    <cfRule type="containsText" dxfId="2" priority="9484" operator="between" text="库存为">
      <formula>NOT(ISERROR(SEARCH("库存为",AU826)))</formula>
    </cfRule>
  </conditionalFormatting>
  <conditionalFormatting sqref="AU827">
    <cfRule type="cellIs" dxfId="0" priority="11173" operator="lessThan">
      <formula>20</formula>
    </cfRule>
    <cfRule type="cellIs" dxfId="1" priority="10328" operator="greaterThan">
      <formula>120</formula>
    </cfRule>
    <cfRule type="containsText" dxfId="2" priority="9483" operator="between" text="库存为">
      <formula>NOT(ISERROR(SEARCH("库存为",AU827)))</formula>
    </cfRule>
  </conditionalFormatting>
  <conditionalFormatting sqref="AU828">
    <cfRule type="cellIs" dxfId="0" priority="11172" operator="lessThan">
      <formula>20</formula>
    </cfRule>
    <cfRule type="cellIs" dxfId="1" priority="10327" operator="greaterThan">
      <formula>120</formula>
    </cfRule>
    <cfRule type="containsText" dxfId="2" priority="9482" operator="between" text="库存为">
      <formula>NOT(ISERROR(SEARCH("库存为",AU828)))</formula>
    </cfRule>
  </conditionalFormatting>
  <conditionalFormatting sqref="AU829">
    <cfRule type="cellIs" dxfId="0" priority="11171" operator="lessThan">
      <formula>20</formula>
    </cfRule>
    <cfRule type="cellIs" dxfId="1" priority="10326" operator="greaterThan">
      <formula>120</formula>
    </cfRule>
    <cfRule type="containsText" dxfId="2" priority="9481" operator="between" text="库存为">
      <formula>NOT(ISERROR(SEARCH("库存为",AU829)))</formula>
    </cfRule>
  </conditionalFormatting>
  <conditionalFormatting sqref="AU830">
    <cfRule type="cellIs" dxfId="0" priority="11170" operator="lessThan">
      <formula>20</formula>
    </cfRule>
    <cfRule type="cellIs" dxfId="1" priority="10325" operator="greaterThan">
      <formula>120</formula>
    </cfRule>
    <cfRule type="containsText" dxfId="2" priority="9480" operator="between" text="库存为">
      <formula>NOT(ISERROR(SEARCH("库存为",AU830)))</formula>
    </cfRule>
  </conditionalFormatting>
  <conditionalFormatting sqref="AU831">
    <cfRule type="cellIs" dxfId="0" priority="11169" operator="lessThan">
      <formula>20</formula>
    </cfRule>
    <cfRule type="cellIs" dxfId="1" priority="10324" operator="greaterThan">
      <formula>120</formula>
    </cfRule>
    <cfRule type="containsText" dxfId="2" priority="9479" operator="between" text="库存为">
      <formula>NOT(ISERROR(SEARCH("库存为",AU831)))</formula>
    </cfRule>
  </conditionalFormatting>
  <conditionalFormatting sqref="AU832">
    <cfRule type="cellIs" dxfId="0" priority="11168" operator="lessThan">
      <formula>20</formula>
    </cfRule>
    <cfRule type="cellIs" dxfId="1" priority="10323" operator="greaterThan">
      <formula>120</formula>
    </cfRule>
    <cfRule type="containsText" dxfId="2" priority="9478" operator="between" text="库存为">
      <formula>NOT(ISERROR(SEARCH("库存为",AU832)))</formula>
    </cfRule>
  </conditionalFormatting>
  <conditionalFormatting sqref="AU833">
    <cfRule type="cellIs" dxfId="0" priority="11167" operator="lessThan">
      <formula>20</formula>
    </cfRule>
    <cfRule type="cellIs" dxfId="1" priority="10322" operator="greaterThan">
      <formula>120</formula>
    </cfRule>
    <cfRule type="containsText" dxfId="2" priority="9477" operator="between" text="库存为">
      <formula>NOT(ISERROR(SEARCH("库存为",AU833)))</formula>
    </cfRule>
  </conditionalFormatting>
  <conditionalFormatting sqref="AU834">
    <cfRule type="cellIs" dxfId="0" priority="11166" operator="lessThan">
      <formula>20</formula>
    </cfRule>
    <cfRule type="cellIs" dxfId="1" priority="10321" operator="greaterThan">
      <formula>120</formula>
    </cfRule>
    <cfRule type="containsText" dxfId="2" priority="9476" operator="between" text="库存为">
      <formula>NOT(ISERROR(SEARCH("库存为",AU834)))</formula>
    </cfRule>
  </conditionalFormatting>
  <conditionalFormatting sqref="AU835">
    <cfRule type="cellIs" dxfId="0" priority="11165" operator="lessThan">
      <formula>20</formula>
    </cfRule>
    <cfRule type="cellIs" dxfId="1" priority="10320" operator="greaterThan">
      <formula>120</formula>
    </cfRule>
    <cfRule type="containsText" dxfId="2" priority="9475" operator="between" text="库存为">
      <formula>NOT(ISERROR(SEARCH("库存为",AU835)))</formula>
    </cfRule>
  </conditionalFormatting>
  <conditionalFormatting sqref="AU836">
    <cfRule type="cellIs" dxfId="0" priority="11164" operator="lessThan">
      <formula>20</formula>
    </cfRule>
    <cfRule type="cellIs" dxfId="1" priority="10319" operator="greaterThan">
      <formula>120</formula>
    </cfRule>
    <cfRule type="containsText" dxfId="2" priority="9474" operator="between" text="库存为">
      <formula>NOT(ISERROR(SEARCH("库存为",AU836)))</formula>
    </cfRule>
  </conditionalFormatting>
  <conditionalFormatting sqref="AU837">
    <cfRule type="cellIs" dxfId="0" priority="11163" operator="lessThan">
      <formula>20</formula>
    </cfRule>
    <cfRule type="cellIs" dxfId="1" priority="10318" operator="greaterThan">
      <formula>120</formula>
    </cfRule>
    <cfRule type="containsText" dxfId="2" priority="9473" operator="between" text="库存为">
      <formula>NOT(ISERROR(SEARCH("库存为",AU837)))</formula>
    </cfRule>
  </conditionalFormatting>
  <conditionalFormatting sqref="AU838">
    <cfRule type="cellIs" dxfId="0" priority="11162" operator="lessThan">
      <formula>20</formula>
    </cfRule>
    <cfRule type="cellIs" dxfId="1" priority="10317" operator="greaterThan">
      <formula>120</formula>
    </cfRule>
    <cfRule type="containsText" dxfId="2" priority="9472" operator="between" text="库存为">
      <formula>NOT(ISERROR(SEARCH("库存为",AU838)))</formula>
    </cfRule>
  </conditionalFormatting>
  <conditionalFormatting sqref="AU839">
    <cfRule type="cellIs" dxfId="0" priority="11161" operator="lessThan">
      <formula>20</formula>
    </cfRule>
    <cfRule type="cellIs" dxfId="1" priority="10316" operator="greaterThan">
      <formula>120</formula>
    </cfRule>
    <cfRule type="containsText" dxfId="2" priority="9471" operator="between" text="库存为">
      <formula>NOT(ISERROR(SEARCH("库存为",AU839)))</formula>
    </cfRule>
  </conditionalFormatting>
  <conditionalFormatting sqref="AU840">
    <cfRule type="cellIs" dxfId="0" priority="11160" operator="lessThan">
      <formula>20</formula>
    </cfRule>
    <cfRule type="cellIs" dxfId="1" priority="10315" operator="greaterThan">
      <formula>120</formula>
    </cfRule>
    <cfRule type="containsText" dxfId="2" priority="9470" operator="between" text="库存为">
      <formula>NOT(ISERROR(SEARCH("库存为",AU840)))</formula>
    </cfRule>
  </conditionalFormatting>
  <conditionalFormatting sqref="AU841">
    <cfRule type="cellIs" dxfId="0" priority="11159" operator="lessThan">
      <formula>20</formula>
    </cfRule>
    <cfRule type="cellIs" dxfId="1" priority="10314" operator="greaterThan">
      <formula>120</formula>
    </cfRule>
    <cfRule type="containsText" dxfId="2" priority="9469" operator="between" text="库存为">
      <formula>NOT(ISERROR(SEARCH("库存为",AU841)))</formula>
    </cfRule>
  </conditionalFormatting>
  <conditionalFormatting sqref="AU842">
    <cfRule type="cellIs" dxfId="0" priority="11158" operator="lessThan">
      <formula>20</formula>
    </cfRule>
    <cfRule type="cellIs" dxfId="1" priority="10313" operator="greaterThan">
      <formula>120</formula>
    </cfRule>
    <cfRule type="containsText" dxfId="2" priority="9468" operator="between" text="库存为">
      <formula>NOT(ISERROR(SEARCH("库存为",AU842)))</formula>
    </cfRule>
  </conditionalFormatting>
  <conditionalFormatting sqref="AU843">
    <cfRule type="cellIs" dxfId="0" priority="11157" operator="lessThan">
      <formula>20</formula>
    </cfRule>
    <cfRule type="cellIs" dxfId="1" priority="10312" operator="greaterThan">
      <formula>120</formula>
    </cfRule>
    <cfRule type="containsText" dxfId="2" priority="9467" operator="between" text="库存为">
      <formula>NOT(ISERROR(SEARCH("库存为",AU843)))</formula>
    </cfRule>
  </conditionalFormatting>
  <conditionalFormatting sqref="AU844">
    <cfRule type="cellIs" dxfId="0" priority="11156" operator="lessThan">
      <formula>20</formula>
    </cfRule>
    <cfRule type="cellIs" dxfId="1" priority="10311" operator="greaterThan">
      <formula>120</formula>
    </cfRule>
    <cfRule type="containsText" dxfId="2" priority="9466" operator="between" text="库存为">
      <formula>NOT(ISERROR(SEARCH("库存为",AU844)))</formula>
    </cfRule>
  </conditionalFormatting>
  <conditionalFormatting sqref="AU845">
    <cfRule type="cellIs" dxfId="0" priority="11155" operator="lessThan">
      <formula>20</formula>
    </cfRule>
    <cfRule type="cellIs" dxfId="1" priority="10310" operator="greaterThan">
      <formula>120</formula>
    </cfRule>
    <cfRule type="containsText" dxfId="2" priority="9465" operator="between" text="库存为">
      <formula>NOT(ISERROR(SEARCH("库存为",AU845)))</formula>
    </cfRule>
  </conditionalFormatting>
  <conditionalFormatting sqref="AU846">
    <cfRule type="cellIs" dxfId="0" priority="11154" operator="lessThan">
      <formula>20</formula>
    </cfRule>
    <cfRule type="cellIs" dxfId="1" priority="10309" operator="greaterThan">
      <formula>120</formula>
    </cfRule>
    <cfRule type="containsText" dxfId="2" priority="9464" operator="between" text="库存为">
      <formula>NOT(ISERROR(SEARCH("库存为",AU846)))</formula>
    </cfRule>
  </conditionalFormatting>
  <conditionalFormatting sqref="AU847">
    <cfRule type="cellIs" dxfId="0" priority="11153" operator="lessThan">
      <formula>20</formula>
    </cfRule>
    <cfRule type="cellIs" dxfId="1" priority="10308" operator="greaterThan">
      <formula>120</formula>
    </cfRule>
    <cfRule type="containsText" dxfId="2" priority="9463" operator="between" text="库存为">
      <formula>NOT(ISERROR(SEARCH("库存为",AU847)))</formula>
    </cfRule>
  </conditionalFormatting>
  <conditionalFormatting sqref="AU848">
    <cfRule type="cellIs" dxfId="0" priority="11152" operator="lessThan">
      <formula>20</formula>
    </cfRule>
    <cfRule type="cellIs" dxfId="1" priority="10307" operator="greaterThan">
      <formula>120</formula>
    </cfRule>
    <cfRule type="containsText" dxfId="2" priority="9462" operator="between" text="库存为">
      <formula>NOT(ISERROR(SEARCH("库存为",AU848)))</formula>
    </cfRule>
  </conditionalFormatting>
  <conditionalFormatting sqref="AU849">
    <cfRule type="cellIs" dxfId="0" priority="11151" operator="lessThan">
      <formula>20</formula>
    </cfRule>
    <cfRule type="cellIs" dxfId="1" priority="10306" operator="greaterThan">
      <formula>120</formula>
    </cfRule>
    <cfRule type="containsText" dxfId="2" priority="9461" operator="between" text="库存为">
      <formula>NOT(ISERROR(SEARCH("库存为",AU849)))</formula>
    </cfRule>
  </conditionalFormatting>
  <conditionalFormatting sqref="AU850">
    <cfRule type="cellIs" dxfId="0" priority="11150" operator="lessThan">
      <formula>20</formula>
    </cfRule>
    <cfRule type="cellIs" dxfId="1" priority="10305" operator="greaterThan">
      <formula>120</formula>
    </cfRule>
    <cfRule type="containsText" dxfId="2" priority="9460" operator="between" text="库存为">
      <formula>NOT(ISERROR(SEARCH("库存为",AU850)))</formula>
    </cfRule>
  </conditionalFormatting>
  <conditionalFormatting sqref="AU851:AU2811">
    <cfRule type="containsText" dxfId="2" priority="12007" operator="between" text="库存为">
      <formula>NOT(ISERROR(SEARCH("库存为",AU851)))</formula>
    </cfRule>
    <cfRule type="cellIs" dxfId="1" priority="12008" operator="greaterThan">
      <formula>120</formula>
    </cfRule>
    <cfRule type="cellIs" dxfId="0" priority="1200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1123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1124</v>
      </c>
      <c r="AI1" s="11"/>
      <c r="AJ1" s="11"/>
      <c r="AK1" s="11"/>
      <c r="AL1" s="11" t="s">
        <v>1125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43290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2018/7/30-2018/8/5</v>
      </c>
      <c r="C3" s="14" t="str">
        <f>TEXT(时间!$B$8,"yyyy/M/d")&amp;"-"&amp;TEXT(时间!$B$7,"yyyy/M/d")</f>
        <v>2018/7/23-2018/7/29</v>
      </c>
      <c r="D3" s="14" t="str">
        <f>TEXT(时间!$B$10,"yyyy/M/d")&amp;"-"&amp;TEXT(时间!$B$9,"yyyy/M/d")</f>
        <v>2018/7/16-2018/7/22</v>
      </c>
      <c r="E3" s="14" t="str">
        <f>TEXT(时间!$B$12,"yyyy/M/d")&amp;"-"&amp;TEXT(时间!$B$11,"yyyy/M/d")</f>
        <v>2018/7/9-2018/7/15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1126</v>
      </c>
      <c r="C4" s="6" t="s">
        <v>1127</v>
      </c>
      <c r="D4" s="6" t="s">
        <v>1128</v>
      </c>
      <c r="E4" s="6" t="s">
        <v>1129</v>
      </c>
      <c r="F4" s="7" t="s">
        <v>20</v>
      </c>
      <c r="G4" t="s">
        <v>21</v>
      </c>
      <c r="H4" t="s">
        <v>22</v>
      </c>
      <c r="I4" t="s">
        <v>1130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43311</v>
      </c>
      <c r="AE4" s="21">
        <f>时间!$B$7</f>
        <v>43310</v>
      </c>
      <c r="AF4" s="21">
        <f>时间!$B$8</f>
        <v>43304</v>
      </c>
      <c r="AG4" s="21">
        <f>时间!$B$9</f>
        <v>43303</v>
      </c>
      <c r="AH4" s="21">
        <f>时间!$B$6</f>
        <v>43311</v>
      </c>
      <c r="AI4" s="21">
        <f>时间!$B$7</f>
        <v>43310</v>
      </c>
      <c r="AJ4" s="21">
        <f>时间!$B$8</f>
        <v>43304</v>
      </c>
      <c r="AK4" s="21">
        <f>时间!$B$9</f>
        <v>43303</v>
      </c>
      <c r="AL4" s="21">
        <f>时间!$B$6</f>
        <v>43311</v>
      </c>
      <c r="AM4" s="21">
        <f>时间!$B$7</f>
        <v>43310</v>
      </c>
      <c r="AN4" s="21">
        <f>时间!$B$8</f>
        <v>43304</v>
      </c>
      <c r="AO4" s="21">
        <f>时间!$B$9</f>
        <v>43303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53</v>
      </c>
      <c r="C5" s="17">
        <f t="shared" si="14"/>
        <v>41</v>
      </c>
      <c r="D5" s="17">
        <f t="shared" si="14"/>
        <v>41</v>
      </c>
      <c r="E5" s="17">
        <f t="shared" si="14"/>
        <v>34</v>
      </c>
      <c r="F5" s="18"/>
      <c r="G5" s="5">
        <f t="shared" si="14"/>
        <v>4222</v>
      </c>
      <c r="H5" s="5">
        <f t="shared" si="14"/>
        <v>0</v>
      </c>
      <c r="I5" s="5">
        <f t="shared" si="14"/>
        <v>0</v>
      </c>
      <c r="J5" s="5">
        <f t="shared" si="14"/>
        <v>3</v>
      </c>
      <c r="K5" s="5">
        <f t="shared" si="14"/>
        <v>4225</v>
      </c>
      <c r="L5" s="5">
        <f t="shared" si="14"/>
        <v>16</v>
      </c>
      <c r="M5" s="5">
        <f t="shared" si="14"/>
        <v>4185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374.35</v>
      </c>
      <c r="AA5" s="5">
        <f>SUM(AA6:AA9999)</f>
        <v>415.68</v>
      </c>
      <c r="AB5" s="5">
        <f>SUM(AB6:AB9999)</f>
        <v>371.67</v>
      </c>
      <c r="AC5" s="5">
        <f>SUM(AC6:AC9999)</f>
        <v>151.76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1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23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0</v>
      </c>
      <c r="O6">
        <f>SUMIF('库存（子SKU）'!$C:$C,$A6,'库存（子SKU）'!Q:Q)</f>
        <v>7895</v>
      </c>
      <c r="P6">
        <f>SUMIF('库存（子SKU）'!$C:$C,$A6,'库存（子SKU）'!R:R)</f>
        <v>5983</v>
      </c>
      <c r="Q6">
        <f>SUMIF('库存（子SKU）'!$C:$C,$A6,'库存（子SKU）'!S:S)</f>
        <v>602</v>
      </c>
      <c r="R6">
        <f>SUMIF('库存（子SKU）'!$C:$C,$A6,'库存（子SKU）'!T:T)</f>
        <v>0</v>
      </c>
      <c r="S6">
        <f>SUMIF('库存（子SKU）'!$C:$C,$A6,'库存（子SKU）'!U:U)</f>
        <v>16</v>
      </c>
      <c r="T6">
        <f>SUMIF('库存（子SKU）'!$C:$C,$A6,'库存（子SKU）'!V:V)</f>
        <v>13</v>
      </c>
      <c r="U6">
        <f>SUMIF('库存（子SKU）'!$C:$C,$A6,'库存（子SKU）'!W:W)</f>
        <v>4</v>
      </c>
      <c r="V6" s="23" t="str">
        <f t="shared" ref="V6:V69" si="15">IFERROR(R6/N6,"")</f>
        <v/>
      </c>
      <c r="W6" s="23">
        <f t="shared" ref="W6:W69" si="16">IFERROR(S6/O6,"")</f>
        <v>0.00202659911336289</v>
      </c>
      <c r="X6" s="23">
        <f t="shared" ref="X6:X69" si="17">IFERROR(T6/P6,"")</f>
        <v>0.00217282299849574</v>
      </c>
      <c r="Y6" s="23">
        <f t="shared" ref="Y6:Y69" si="18">IFERROR(U6/Q6,"")</f>
        <v>0.00664451827242525</v>
      </c>
      <c r="Z6">
        <f>SUMIF('库存（子SKU）'!$C:$C,$A6,'库存（子SKU）'!AB:AB)</f>
        <v>0</v>
      </c>
      <c r="AA6">
        <f>SUMIF('库存（子SKU）'!$C:$C,$A6,'库存（子SKU）'!AC:AC)</f>
        <v>12.71</v>
      </c>
      <c r="AB6">
        <f>SUMIF('库存（子SKU）'!$C:$C,$A6,'库存（子SKU）'!AD:AD)</f>
        <v>10.22</v>
      </c>
      <c r="AC6">
        <f>SUMIF('库存（子SKU）'!$C:$C,$A6,'库存（子SKU）'!AE:AE)</f>
        <v>3.33</v>
      </c>
      <c r="AD6" s="23">
        <f t="shared" si="2"/>
        <v>0</v>
      </c>
      <c r="AE6" s="23" t="str">
        <f t="shared" si="3"/>
        <v>无销量广告费为12.71</v>
      </c>
      <c r="AF6" s="23" t="str">
        <f t="shared" si="4"/>
        <v>无销量广告费为10.22</v>
      </c>
      <c r="AG6" s="23" t="str">
        <f t="shared" si="5"/>
        <v>无销量广告费为3.33</v>
      </c>
      <c r="AH6">
        <f>SUMIF('库存（子SKU）'!$C:$C,$A6,'库存（子SKU）'!AJ:AJ)</f>
        <v>9</v>
      </c>
      <c r="AI6">
        <f>SUMIF('库存（子SKU）'!$C:$C,$A6,'库存（子SKU）'!AK:AK)</f>
        <v>7</v>
      </c>
      <c r="AJ6">
        <f>SUMIF('库存（子SKU）'!$C:$C,$A6,'库存（子SKU）'!AL:AL)</f>
        <v>14</v>
      </c>
      <c r="AK6">
        <f>SUMIF('库存（子SKU）'!$C:$C,$A6,'库存（子SKU）'!AM:AM)</f>
        <v>3</v>
      </c>
      <c r="AL6" s="23">
        <f t="shared" si="6"/>
        <v>0.111111111111111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14.4285714285714</v>
      </c>
      <c r="AS6">
        <f t="shared" si="13"/>
        <v>161</v>
      </c>
      <c r="AT6" s="25">
        <f>IFERROR(时间!$B$4+AS6,"上周无销量")</f>
        <v>43479</v>
      </c>
    </row>
    <row r="7" spans="1:46">
      <c r="A7" t="s">
        <v>60</v>
      </c>
      <c r="B7" s="6">
        <f>SUMIF('库存（子SKU）'!$C:$C,$A7,'库存（子SKU）'!D:D)</f>
        <v>1</v>
      </c>
      <c r="C7" s="6">
        <f>SUMIF('库存（子SKU）'!$C:$C,$A7,'库存（子SKU）'!E:E)</f>
        <v>1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>
        <v>15.99</v>
      </c>
      <c r="G7">
        <f>SUMIF('库存（子SKU）'!$C:$C,$A7,'库存（子SKU）'!I:I)</f>
        <v>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4</v>
      </c>
      <c r="L7">
        <f>SUMIF('库存（子SKU）'!$C:$C,$A7,'库存（子SKU）'!N:N)</f>
        <v>0</v>
      </c>
      <c r="M7">
        <f>SUMIF('库存（子SKU）'!$C:$C,$A7,'库存（子SKU）'!O:O)</f>
        <v>4</v>
      </c>
      <c r="N7">
        <f>SUMIF('库存（子SKU）'!$C:$C,$A7,'库存（子SKU）'!P:P)</f>
        <v>0</v>
      </c>
      <c r="O7">
        <f>SUMIF('库存（子SKU）'!$C:$C,$A7,'库存（子SKU）'!Q:Q)</f>
        <v>7419</v>
      </c>
      <c r="P7">
        <f>SUMIF('库存（子SKU）'!$C:$C,$A7,'库存（子SKU）'!R:R)</f>
        <v>11635</v>
      </c>
      <c r="Q7">
        <f>SUMIF('库存（子SKU）'!$C:$C,$A7,'库存（子SKU）'!S:S)</f>
        <v>3605</v>
      </c>
      <c r="R7">
        <f>SUMIF('库存（子SKU）'!$C:$C,$A7,'库存（子SKU）'!T:T)</f>
        <v>0</v>
      </c>
      <c r="S7">
        <f>SUMIF('库存（子SKU）'!$C:$C,$A7,'库存（子SKU）'!U:U)</f>
        <v>67</v>
      </c>
      <c r="T7">
        <f>SUMIF('库存（子SKU）'!$C:$C,$A7,'库存（子SKU）'!V:V)</f>
        <v>45</v>
      </c>
      <c r="U7">
        <f>SUMIF('库存（子SKU）'!$C:$C,$A7,'库存（子SKU）'!W:W)</f>
        <v>20</v>
      </c>
      <c r="V7" s="23" t="str">
        <f t="shared" si="15"/>
        <v/>
      </c>
      <c r="W7" s="23">
        <f t="shared" si="16"/>
        <v>0.00903086669362448</v>
      </c>
      <c r="X7" s="23">
        <f t="shared" si="17"/>
        <v>0.00386764073914912</v>
      </c>
      <c r="Y7" s="23">
        <f t="shared" si="18"/>
        <v>0.00554785020804438</v>
      </c>
      <c r="Z7">
        <f>SUMIF('库存（子SKU）'!$C:$C,$A7,'库存（子SKU）'!AB:AB)</f>
        <v>0</v>
      </c>
      <c r="AA7">
        <f>SUMIF('库存（子SKU）'!$C:$C,$A7,'库存（子SKU）'!AC:AC)</f>
        <v>61.94</v>
      </c>
      <c r="AB7">
        <f>SUMIF('库存（子SKU）'!$C:$C,$A7,'库存（子SKU）'!AD:AD)</f>
        <v>40.19</v>
      </c>
      <c r="AC7">
        <f>SUMIF('库存（子SKU）'!$C:$C,$A7,'库存（子SKU）'!AE:AE)</f>
        <v>18.05</v>
      </c>
      <c r="AD7" s="23">
        <f t="shared" si="2"/>
        <v>0</v>
      </c>
      <c r="AE7" s="23">
        <f t="shared" si="3"/>
        <v>3.87367104440275</v>
      </c>
      <c r="AF7" s="23" t="str">
        <f t="shared" si="4"/>
        <v>无销量广告费为40.19</v>
      </c>
      <c r="AG7" s="23" t="str">
        <f t="shared" si="5"/>
        <v>无销量广告费为18.05</v>
      </c>
      <c r="AH7">
        <f>SUMIF('库存（子SKU）'!$C:$C,$A7,'库存（子SKU）'!AJ:AJ)</f>
        <v>13</v>
      </c>
      <c r="AI7">
        <f>SUMIF('库存（子SKU）'!$C:$C,$A7,'库存（子SKU）'!AK:AK)</f>
        <v>33</v>
      </c>
      <c r="AJ7">
        <f>SUMIF('库存（子SKU）'!$C:$C,$A7,'库存（子SKU）'!AL:AL)</f>
        <v>30</v>
      </c>
      <c r="AK7">
        <f>SUMIF('库存（子SKU）'!$C:$C,$A7,'库存（子SKU）'!AM:AM)</f>
        <v>15</v>
      </c>
      <c r="AL7" s="23">
        <f t="shared" si="6"/>
        <v>0.0769230769230769</v>
      </c>
      <c r="AM7" s="23">
        <f t="shared" si="7"/>
        <v>0.0303030303030303</v>
      </c>
      <c r="AN7" s="23">
        <f t="shared" si="8"/>
        <v>0</v>
      </c>
      <c r="AO7" s="23">
        <f t="shared" si="9"/>
        <v>0</v>
      </c>
      <c r="AP7" s="8">
        <f t="shared" si="10"/>
        <v>0.142857142857143</v>
      </c>
      <c r="AQ7" s="8">
        <f t="shared" si="11"/>
        <v>8.57142857142857</v>
      </c>
      <c r="AR7" s="8">
        <f t="shared" si="12"/>
        <v>-4.57142857142857</v>
      </c>
      <c r="AS7">
        <f t="shared" si="13"/>
        <v>28</v>
      </c>
      <c r="AT7" s="25">
        <f>IFERROR(时间!$B$4+AS7,"上周无销量")</f>
        <v>43346</v>
      </c>
    </row>
    <row r="8" spans="1:46">
      <c r="A8" t="s">
        <v>65</v>
      </c>
      <c r="B8" s="6">
        <f>SUMIF('库存（子SKU）'!$C:$C,$A8,'库存（子SKU）'!D:D)</f>
        <v>4</v>
      </c>
      <c r="C8" s="6">
        <f>SUMIF('库存（子SKU）'!$C:$C,$A8,'库存（子SKU）'!E:E)</f>
        <v>4</v>
      </c>
      <c r="D8" s="6">
        <f>SUMIF('库存（子SKU）'!$C:$C,$A8,'库存（子SKU）'!F:F)</f>
        <v>2</v>
      </c>
      <c r="E8" s="6">
        <f>SUMIF('库存（子SKU）'!$C:$C,$A8,'库存（子SKU）'!G:G)</f>
        <v>0</v>
      </c>
      <c r="F8" s="7">
        <v>8.394</v>
      </c>
      <c r="G8">
        <f>SUMIF('库存（子SKU）'!$C:$C,$A8,'库存（子SKU）'!I:I)</f>
        <v>32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32</v>
      </c>
      <c r="L8">
        <f>SUMIF('库存（子SKU）'!$C:$C,$A8,'库存（子SKU）'!N:N)</f>
        <v>0</v>
      </c>
      <c r="M8">
        <f>SUMIF('库存（子SKU）'!$C:$C,$A8,'库存（子SKU）'!O:O)</f>
        <v>33</v>
      </c>
      <c r="N8">
        <f>SUMIF('库存（子SKU）'!$C:$C,$A8,'库存（子SKU）'!P:P)</f>
        <v>48679</v>
      </c>
      <c r="O8">
        <f>SUMIF('库存（子SKU）'!$C:$C,$A8,'库存（子SKU）'!Q:Q)</f>
        <v>9779</v>
      </c>
      <c r="P8">
        <f>SUMIF('库存（子SKU）'!$C:$C,$A8,'库存（子SKU）'!R:R)</f>
        <v>22540</v>
      </c>
      <c r="Q8">
        <f>SUMIF('库存（子SKU）'!$C:$C,$A8,'库存（子SKU）'!S:S)</f>
        <v>1239</v>
      </c>
      <c r="R8">
        <f>SUMIF('库存（子SKU）'!$C:$C,$A8,'库存（子SKU）'!T:T)</f>
        <v>145</v>
      </c>
      <c r="S8">
        <f>SUMIF('库存（子SKU）'!$C:$C,$A8,'库存（子SKU）'!U:U)</f>
        <v>29</v>
      </c>
      <c r="T8">
        <f>SUMIF('库存（子SKU）'!$C:$C,$A8,'库存（子SKU）'!V:V)</f>
        <v>39</v>
      </c>
      <c r="U8">
        <f>SUMIF('库存（子SKU）'!$C:$C,$A8,'库存（子SKU）'!W:W)</f>
        <v>4</v>
      </c>
      <c r="V8" s="23">
        <f t="shared" si="15"/>
        <v>0.00297869717948191</v>
      </c>
      <c r="W8" s="23">
        <f t="shared" si="16"/>
        <v>0.00296553839860926</v>
      </c>
      <c r="X8" s="23">
        <f t="shared" si="17"/>
        <v>0.00173025732031943</v>
      </c>
      <c r="Y8" s="23">
        <f t="shared" si="18"/>
        <v>0.00322841000807102</v>
      </c>
      <c r="Z8">
        <f>SUMIF('库存（子SKU）'!$C:$C,$A8,'库存（子SKU）'!AB:AB)</f>
        <v>63.22</v>
      </c>
      <c r="AA8">
        <f>SUMIF('库存（子SKU）'!$C:$C,$A8,'库存（子SKU）'!AC:AC)</f>
        <v>27.97</v>
      </c>
      <c r="AB8">
        <f>SUMIF('库存（子SKU）'!$C:$C,$A8,'库存（子SKU）'!AD:AD)</f>
        <v>32.49</v>
      </c>
      <c r="AC8">
        <f>SUMIF('库存（子SKU）'!$C:$C,$A8,'库存（子SKU）'!AE:AE)</f>
        <v>2.9</v>
      </c>
      <c r="AD8" s="23">
        <f t="shared" si="2"/>
        <v>1.88289254229211</v>
      </c>
      <c r="AE8" s="23">
        <f t="shared" si="3"/>
        <v>0.833035501548725</v>
      </c>
      <c r="AF8" s="23">
        <f t="shared" si="4"/>
        <v>1.93531093638313</v>
      </c>
      <c r="AG8" s="23" t="str">
        <f t="shared" si="5"/>
        <v>无销量广告费为2.9</v>
      </c>
      <c r="AH8">
        <f>SUMIF('库存（子SKU）'!$C:$C,$A8,'库存（子SKU）'!AJ:AJ)</f>
        <v>82</v>
      </c>
      <c r="AI8">
        <f>SUMIF('库存（子SKU）'!$C:$C,$A8,'库存（子SKU）'!AK:AK)</f>
        <v>16</v>
      </c>
      <c r="AJ8">
        <f>SUMIF('库存（子SKU）'!$C:$C,$A8,'库存（子SKU）'!AL:AL)</f>
        <v>34</v>
      </c>
      <c r="AK8">
        <f>SUMIF('库存（子SKU）'!$C:$C,$A8,'库存（子SKU）'!AM:AM)</f>
        <v>12</v>
      </c>
      <c r="AL8" s="23">
        <f t="shared" si="6"/>
        <v>0.0487804878048781</v>
      </c>
      <c r="AM8" s="23">
        <f t="shared" si="7"/>
        <v>0.25</v>
      </c>
      <c r="AN8" s="23">
        <f t="shared" si="8"/>
        <v>0.0588235294117647</v>
      </c>
      <c r="AO8" s="23">
        <f t="shared" si="9"/>
        <v>0</v>
      </c>
      <c r="AP8" s="8">
        <f t="shared" si="10"/>
        <v>0.571428571428571</v>
      </c>
      <c r="AQ8" s="8">
        <f t="shared" si="11"/>
        <v>34.2857142857143</v>
      </c>
      <c r="AR8" s="8">
        <f t="shared" si="12"/>
        <v>-2.28571428571428</v>
      </c>
      <c r="AS8">
        <f t="shared" si="13"/>
        <v>56</v>
      </c>
      <c r="AT8" s="25">
        <f>IFERROR(时间!$B$4+AS8,"上周无销量")</f>
        <v>43374</v>
      </c>
    </row>
    <row r="9" spans="1:46">
      <c r="A9" t="s">
        <v>69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6</v>
      </c>
      <c r="AI9">
        <f>SUMIF('库存（子SKU）'!$C:$C,$A9,'库存（子SKU）'!AK:AK)</f>
        <v>5</v>
      </c>
      <c r="AJ9">
        <f>SUMIF('库存（子SKU）'!$C:$C,$A9,'库存（子SKU）'!AL:AL)</f>
        <v>6</v>
      </c>
      <c r="AK9">
        <f>SUMIF('库存（子SKU）'!$C:$C,$A9,'库存（子SKU）'!AM:AM)</f>
        <v>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72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7</v>
      </c>
      <c r="AI10">
        <f>SUMIF('库存（子SKU）'!$C:$C,$A10,'库存（子SKU）'!AK:AK)</f>
        <v>4</v>
      </c>
      <c r="AJ10">
        <f>SUMIF('库存（子SKU）'!$C:$C,$A10,'库存（子SKU）'!AL:AL)</f>
        <v>5</v>
      </c>
      <c r="AK10">
        <f>SUMIF('库存（子SKU）'!$C:$C,$A10,'库存（子SKU）'!AM:AM)</f>
        <v>6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6</v>
      </c>
      <c r="AS10" t="str">
        <f t="shared" si="13"/>
        <v>库存为6</v>
      </c>
      <c r="AT10" s="25" t="str">
        <f>IFERROR(时间!$B$4+AS10,"上周无销量")</f>
        <v>上周无销量</v>
      </c>
    </row>
    <row r="11" spans="1:46">
      <c r="A11" t="s">
        <v>79</v>
      </c>
      <c r="B11" s="6">
        <f>SUMIF('库存（子SKU）'!$C:$C,$A11,'库存（子SKU）'!D:D)</f>
        <v>0</v>
      </c>
      <c r="C11" s="6">
        <f>SUMIF('库存（子SKU）'!$C:$C,$A11,'库存（子SKU）'!E:E)</f>
        <v>2</v>
      </c>
      <c r="D11" s="6">
        <f>SUMIF('库存（子SKU）'!$C:$C,$A11,'库存（子SKU）'!F:F)</f>
        <v>0</v>
      </c>
      <c r="E11" s="6">
        <f>SUMIF('库存（子SKU）'!$C:$C,$A11,'库存（子SKU）'!G:G)</f>
        <v>1</v>
      </c>
      <c r="F11" s="7">
        <v>20.9</v>
      </c>
      <c r="G11">
        <f>SUMIF('库存（子SKU）'!$C:$C,$A11,'库存（子SKU）'!I:I)</f>
        <v>14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14</v>
      </c>
      <c r="L11">
        <f>SUMIF('库存（子SKU）'!$C:$C,$A11,'库存（子SKU）'!N:N)</f>
        <v>0</v>
      </c>
      <c r="M11">
        <f>SUMIF('库存（子SKU）'!$C:$C,$A11,'库存（子SKU）'!O:O)</f>
        <v>14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 t="str">
        <f t="shared" si="4"/>
        <v/>
      </c>
      <c r="AG11" s="23">
        <f t="shared" si="5"/>
        <v>0</v>
      </c>
      <c r="AH11">
        <f>SUMIF('库存（子SKU）'!$C:$C,$A11,'库存（子SKU）'!AJ:AJ)</f>
        <v>16</v>
      </c>
      <c r="AI11">
        <f>SUMIF('库存（子SKU）'!$C:$C,$A11,'库存（子SKU）'!AK:AK)</f>
        <v>19</v>
      </c>
      <c r="AJ11">
        <f>SUMIF('库存（子SKU）'!$C:$C,$A11,'库存（子SKU）'!AL:AL)</f>
        <v>12</v>
      </c>
      <c r="AK11">
        <f>SUMIF('库存（子SKU）'!$C:$C,$A11,'库存（子SKU）'!AM:AM)</f>
        <v>14</v>
      </c>
      <c r="AL11" s="23">
        <f t="shared" si="6"/>
        <v>0</v>
      </c>
      <c r="AM11" s="23">
        <f t="shared" si="7"/>
        <v>0.105263157894737</v>
      </c>
      <c r="AN11" s="23">
        <f t="shared" si="8"/>
        <v>0</v>
      </c>
      <c r="AO11" s="23">
        <f t="shared" si="9"/>
        <v>0.0714285714285714</v>
      </c>
      <c r="AP11" s="8">
        <f t="shared" si="10"/>
        <v>0</v>
      </c>
      <c r="AQ11" s="8">
        <f t="shared" si="11"/>
        <v>0</v>
      </c>
      <c r="AR11" s="8">
        <f t="shared" si="12"/>
        <v>14</v>
      </c>
      <c r="AS11" t="str">
        <f t="shared" si="13"/>
        <v>库存为14</v>
      </c>
      <c r="AT11" s="25" t="str">
        <f>IFERROR(时间!$B$4+AS11,"上周无销量")</f>
        <v>上周无销量</v>
      </c>
    </row>
    <row r="12" spans="1:46">
      <c r="A12" t="s">
        <v>94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97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1</v>
      </c>
      <c r="F13" s="7">
        <v>18.99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>
        <f t="shared" si="5"/>
        <v>0</v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7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>
        <f t="shared" si="9"/>
        <v>0.142857142857143</v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5" t="str">
        <f>IFERROR(时间!$B$4+AS13,"上周无销量")</f>
        <v>上周无销量</v>
      </c>
    </row>
    <row r="14" spans="1:46">
      <c r="A14" t="s">
        <v>102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109</v>
      </c>
      <c r="B15" s="6">
        <f>SUMIF('库存（子SKU）'!$C:$C,$A15,'库存（子SKU）'!D:D)</f>
        <v>3</v>
      </c>
      <c r="C15" s="6">
        <f>SUMIF('库存（子SKU）'!$C:$C,$A15,'库存（子SKU）'!E:E)</f>
        <v>0</v>
      </c>
      <c r="D15" s="6">
        <f>SUMIF('库存（子SKU）'!$C:$C,$A15,'库存（子SKU）'!F:F)</f>
        <v>3</v>
      </c>
      <c r="E15" s="6">
        <f>SUMIF('库存（子SKU）'!$C:$C,$A15,'库存（子SKU）'!G:G)</f>
        <v>2</v>
      </c>
      <c r="F15" s="7">
        <v>18.605</v>
      </c>
      <c r="G15">
        <f>SUMIF('库存（子SKU）'!$C:$C,$A15,'库存（子SKU）'!I:I)</f>
        <v>19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19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22</v>
      </c>
      <c r="AI15">
        <f>SUMIF('库存（子SKU）'!$C:$C,$A15,'库存（子SKU）'!AK:AK)</f>
        <v>33</v>
      </c>
      <c r="AJ15">
        <f>SUMIF('库存（子SKU）'!$C:$C,$A15,'库存（子SKU）'!AL:AL)</f>
        <v>71</v>
      </c>
      <c r="AK15">
        <f>SUMIF('库存（子SKU）'!$C:$C,$A15,'库存（子SKU）'!AM:AM)</f>
        <v>122</v>
      </c>
      <c r="AL15" s="23">
        <f t="shared" si="6"/>
        <v>0.136363636363636</v>
      </c>
      <c r="AM15" s="23">
        <f t="shared" si="7"/>
        <v>0</v>
      </c>
      <c r="AN15" s="23">
        <f t="shared" si="8"/>
        <v>0.0422535211267606</v>
      </c>
      <c r="AO15" s="23">
        <f t="shared" si="9"/>
        <v>0.0163934426229508</v>
      </c>
      <c r="AP15" s="8">
        <f t="shared" si="10"/>
        <v>0.428571428571429</v>
      </c>
      <c r="AQ15" s="8">
        <f t="shared" si="11"/>
        <v>25.7142857142857</v>
      </c>
      <c r="AR15" s="8">
        <f t="shared" si="12"/>
        <v>-6.71428571428571</v>
      </c>
      <c r="AS15">
        <f t="shared" si="13"/>
        <v>44</v>
      </c>
      <c r="AT15" s="25">
        <f>IFERROR(时间!$B$4+AS15,"上周无销量")</f>
        <v>43362</v>
      </c>
    </row>
    <row r="16" spans="1:46">
      <c r="A16" t="s">
        <v>120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9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10</v>
      </c>
      <c r="AI16">
        <f>SUMIF('库存（子SKU）'!$C:$C,$A16,'库存（子SKU）'!AK:AK)</f>
        <v>15</v>
      </c>
      <c r="AJ16">
        <f>SUMIF('库存（子SKU）'!$C:$C,$A16,'库存（子SKU）'!AL:AL)</f>
        <v>11</v>
      </c>
      <c r="AK16">
        <f>SUMIF('库存（子SKU）'!$C:$C,$A16,'库存（子SKU）'!AM:AM)</f>
        <v>7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36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56</v>
      </c>
      <c r="AI17">
        <f>SUMIF('库存（子SKU）'!$C:$C,$A17,'库存（子SKU）'!AK:AK)</f>
        <v>83</v>
      </c>
      <c r="AJ17">
        <f>SUMIF('库存（子SKU）'!$C:$C,$A17,'库存（子SKU）'!AL:AL)</f>
        <v>68</v>
      </c>
      <c r="AK17">
        <f>SUMIF('库存（子SKU）'!$C:$C,$A17,'库存（子SKU）'!AM:AM)</f>
        <v>39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152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42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42</v>
      </c>
      <c r="L18">
        <f>SUMIF('库存（子SKU）'!$C:$C,$A18,'库存（子SKU）'!N:N)</f>
        <v>10</v>
      </c>
      <c r="M18">
        <f>SUMIF('库存（子SKU）'!$C:$C,$A18,'库存（子SKU）'!O:O)</f>
        <v>40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40</v>
      </c>
      <c r="AI18">
        <f>SUMIF('库存（子SKU）'!$C:$C,$A18,'库存（子SKU）'!AK:AK)</f>
        <v>41</v>
      </c>
      <c r="AJ18">
        <f>SUMIF('库存（子SKU）'!$C:$C,$A18,'库存（子SKU）'!AL:AL)</f>
        <v>76</v>
      </c>
      <c r="AK18">
        <f>SUMIF('库存（子SKU）'!$C:$C,$A18,'库存（子SKU）'!AM:AM)</f>
        <v>35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42</v>
      </c>
      <c r="AS18" t="str">
        <f t="shared" si="13"/>
        <v>库存为42</v>
      </c>
      <c r="AT18" s="25" t="str">
        <f>IFERROR(时间!$B$4+AS18,"上周无销量")</f>
        <v>上周无销量</v>
      </c>
    </row>
    <row r="19" spans="1:46">
      <c r="A19" t="s">
        <v>181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60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54</v>
      </c>
      <c r="AI19">
        <f>SUMIF('库存（子SKU）'!$C:$C,$A19,'库存（子SKU）'!AK:AK)</f>
        <v>60</v>
      </c>
      <c r="AJ19">
        <f>SUMIF('库存（子SKU）'!$C:$C,$A19,'库存（子SKU）'!AL:AL)</f>
        <v>53</v>
      </c>
      <c r="AK19">
        <f>SUMIF('库存（子SKU）'!$C:$C,$A19,'库存（子SKU）'!AM:AM)</f>
        <v>39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206</v>
      </c>
      <c r="B20" s="6">
        <f>SUMIF('库存（子SKU）'!$C:$C,$A20,'库存（子SKU）'!D:D)</f>
        <v>0</v>
      </c>
      <c r="C20" s="6">
        <f>SUMIF('库存（子SKU）'!$C:$C,$A20,'库存（子SKU）'!E:E)</f>
        <v>1</v>
      </c>
      <c r="D20" s="6">
        <f>SUMIF('库存（子SKU）'!$C:$C,$A20,'库存（子SKU）'!F:F)</f>
        <v>1</v>
      </c>
      <c r="E20" s="6">
        <f>SUMIF('库存（子SKU）'!$C:$C,$A20,'库存（子SKU）'!G:G)</f>
        <v>0</v>
      </c>
      <c r="F20" s="7">
        <v>7.99</v>
      </c>
      <c r="G20">
        <f>SUMIF('库存（子SKU）'!$C:$C,$A20,'库存（子SKU）'!I:I)</f>
        <v>129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129</v>
      </c>
      <c r="L20">
        <f>SUMIF('库存（子SKU）'!$C:$C,$A20,'库存（子SKU）'!N:N)</f>
        <v>0</v>
      </c>
      <c r="M20">
        <f>SUMIF('库存（子SKU）'!$C:$C,$A20,'库存（子SKU）'!O:O)</f>
        <v>128</v>
      </c>
      <c r="N20">
        <f>SUMIF('库存（子SKU）'!$C:$C,$A20,'库存（子SKU）'!P:P)</f>
        <v>2548</v>
      </c>
      <c r="O20">
        <f>SUMIF('库存（子SKU）'!$C:$C,$A20,'库存（子SKU）'!Q:Q)</f>
        <v>1733</v>
      </c>
      <c r="P20">
        <f>SUMIF('库存（子SKU）'!$C:$C,$A20,'库存（子SKU）'!R:R)</f>
        <v>1610</v>
      </c>
      <c r="Q20">
        <f>SUMIF('库存（子SKU）'!$C:$C,$A20,'库存（子SKU）'!S:S)</f>
        <v>1212</v>
      </c>
      <c r="R20">
        <f>SUMIF('库存（子SKU）'!$C:$C,$A20,'库存（子SKU）'!T:T)</f>
        <v>5</v>
      </c>
      <c r="S20">
        <f>SUMIF('库存（子SKU）'!$C:$C,$A20,'库存（子SKU）'!U:U)</f>
        <v>11</v>
      </c>
      <c r="T20">
        <f>SUMIF('库存（子SKU）'!$C:$C,$A20,'库存（子SKU）'!V:V)</f>
        <v>8</v>
      </c>
      <c r="U20">
        <f>SUMIF('库存（子SKU）'!$C:$C,$A20,'库存（子SKU）'!W:W)</f>
        <v>11</v>
      </c>
      <c r="V20" s="23">
        <f t="shared" si="15"/>
        <v>0.00196232339089482</v>
      </c>
      <c r="W20" s="23">
        <f t="shared" si="16"/>
        <v>0.00634737449509521</v>
      </c>
      <c r="X20" s="23">
        <f t="shared" si="17"/>
        <v>0.00496894409937888</v>
      </c>
      <c r="Y20" s="23">
        <f t="shared" si="18"/>
        <v>0.00907590759075908</v>
      </c>
      <c r="Z20">
        <f>SUMIF('库存（子SKU）'!$C:$C,$A20,'库存（子SKU）'!AB:AB)</f>
        <v>1.52</v>
      </c>
      <c r="AA20">
        <f>SUMIF('库存（子SKU）'!$C:$C,$A20,'库存（子SKU）'!AC:AC)</f>
        <v>4.46</v>
      </c>
      <c r="AB20">
        <f>SUMIF('库存（子SKU）'!$C:$C,$A20,'库存（子SKU）'!AD:AD)</f>
        <v>1.9</v>
      </c>
      <c r="AC20">
        <f>SUMIF('库存（子SKU）'!$C:$C,$A20,'库存（子SKU）'!AE:AE)</f>
        <v>3.99</v>
      </c>
      <c r="AD20" s="23" t="str">
        <f t="shared" si="2"/>
        <v>无销量广告费为1.52</v>
      </c>
      <c r="AE20" s="23">
        <f t="shared" si="3"/>
        <v>0.55819774718398</v>
      </c>
      <c r="AF20" s="23">
        <f t="shared" si="4"/>
        <v>0.237797246558198</v>
      </c>
      <c r="AG20" s="23" t="str">
        <f t="shared" si="5"/>
        <v>无销量广告费为3.99</v>
      </c>
      <c r="AH20">
        <f>SUMIF('库存（子SKU）'!$C:$C,$A20,'库存（子SKU）'!AJ:AJ)</f>
        <v>13</v>
      </c>
      <c r="AI20">
        <f>SUMIF('库存（子SKU）'!$C:$C,$A20,'库存（子SKU）'!AK:AK)</f>
        <v>13</v>
      </c>
      <c r="AJ20">
        <f>SUMIF('库存（子SKU）'!$C:$C,$A20,'库存（子SKU）'!AL:AL)</f>
        <v>9</v>
      </c>
      <c r="AK20">
        <f>SUMIF('库存（子SKU）'!$C:$C,$A20,'库存（子SKU）'!AM:AM)</f>
        <v>10</v>
      </c>
      <c r="AL20" s="23">
        <f t="shared" si="6"/>
        <v>0</v>
      </c>
      <c r="AM20" s="23">
        <f t="shared" si="7"/>
        <v>0.0769230769230769</v>
      </c>
      <c r="AN20" s="23">
        <f t="shared" si="8"/>
        <v>0.111111111111111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129</v>
      </c>
      <c r="AS20" t="str">
        <f t="shared" si="13"/>
        <v>库存为129</v>
      </c>
      <c r="AT20" s="25" t="str">
        <f>IFERROR(时间!$B$4+AS20,"上周无销量")</f>
        <v>上周无销量</v>
      </c>
    </row>
    <row r="21" spans="1:46">
      <c r="A21" t="s">
        <v>221</v>
      </c>
      <c r="B21" s="6">
        <f>SUMIF('库存（子SKU）'!$C:$C,$A21,'库存（子SKU）'!D:D)</f>
        <v>2</v>
      </c>
      <c r="C21" s="6">
        <f>SUMIF('库存（子SKU）'!$C:$C,$A21,'库存（子SKU）'!E:E)</f>
        <v>2</v>
      </c>
      <c r="D21" s="6">
        <f>SUMIF('库存（子SKU）'!$C:$C,$A21,'库存（子SKU）'!F:F)</f>
        <v>3</v>
      </c>
      <c r="E21" s="6">
        <f>SUMIF('库存（子SKU）'!$C:$C,$A21,'库存（子SKU）'!G:G)</f>
        <v>3</v>
      </c>
      <c r="F21" s="7">
        <v>8.4</v>
      </c>
      <c r="G21">
        <f>SUMIF('库存（子SKU）'!$C:$C,$A21,'库存（子SKU）'!I:I)</f>
        <v>351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351</v>
      </c>
      <c r="L21">
        <f>SUMIF('库存（子SKU）'!$C:$C,$A21,'库存（子SKU）'!N:N)</f>
        <v>0</v>
      </c>
      <c r="M21">
        <f>SUMIF('库存（子SKU）'!$C:$C,$A21,'库存（子SKU）'!O:O)</f>
        <v>350</v>
      </c>
      <c r="N21">
        <f>SUMIF('库存（子SKU）'!$C:$C,$A21,'库存（子SKU）'!P:P)</f>
        <v>13074</v>
      </c>
      <c r="O21">
        <f>SUMIF('库存（子SKU）'!$C:$C,$A21,'库存（子SKU）'!Q:Q)</f>
        <v>13454</v>
      </c>
      <c r="P21">
        <f>SUMIF('库存（子SKU）'!$C:$C,$A21,'库存（子SKU）'!R:R)</f>
        <v>10698</v>
      </c>
      <c r="Q21">
        <f>SUMIF('库存（子SKU）'!$C:$C,$A21,'库存（子SKU）'!S:S)</f>
        <v>9595</v>
      </c>
      <c r="R21">
        <f>SUMIF('库存（子SKU）'!$C:$C,$A21,'库存（子SKU）'!T:T)</f>
        <v>40</v>
      </c>
      <c r="S21">
        <f>SUMIF('库存（子SKU）'!$C:$C,$A21,'库存（子SKU）'!U:U)</f>
        <v>40</v>
      </c>
      <c r="T21">
        <f>SUMIF('库存（子SKU）'!$C:$C,$A21,'库存（子SKU）'!V:V)</f>
        <v>40</v>
      </c>
      <c r="U21">
        <f>SUMIF('库存（子SKU）'!$C:$C,$A21,'库存（子SKU）'!W:W)</f>
        <v>30</v>
      </c>
      <c r="V21" s="23">
        <f t="shared" si="15"/>
        <v>0.00305950741930549</v>
      </c>
      <c r="W21" s="23">
        <f t="shared" si="16"/>
        <v>0.00297309350379069</v>
      </c>
      <c r="X21" s="23">
        <f t="shared" si="17"/>
        <v>0.00373901663862404</v>
      </c>
      <c r="Y21" s="23">
        <f t="shared" si="18"/>
        <v>0.00312662845231892</v>
      </c>
      <c r="Z21">
        <f>SUMIF('库存（子SKU）'!$C:$C,$A21,'库存（子SKU）'!AB:AB)</f>
        <v>10.69</v>
      </c>
      <c r="AA21">
        <f>SUMIF('库存（子SKU）'!$C:$C,$A21,'库存（子SKU）'!AC:AC)</f>
        <v>12.61</v>
      </c>
      <c r="AB21">
        <f>SUMIF('库存（子SKU）'!$C:$C,$A21,'库存（子SKU）'!AD:AD)</f>
        <v>12.54</v>
      </c>
      <c r="AC21">
        <f>SUMIF('库存（子SKU）'!$C:$C,$A21,'库存（子SKU）'!AE:AE)</f>
        <v>8.7</v>
      </c>
      <c r="AD21" s="23">
        <f t="shared" si="2"/>
        <v>0.636309523809524</v>
      </c>
      <c r="AE21" s="23">
        <f t="shared" si="3"/>
        <v>0.750595238095238</v>
      </c>
      <c r="AF21" s="23">
        <f t="shared" si="4"/>
        <v>0.497619047619048</v>
      </c>
      <c r="AG21" s="23">
        <f t="shared" si="5"/>
        <v>0.345238095238095</v>
      </c>
      <c r="AH21">
        <f>SUMIF('库存（子SKU）'!$C:$C,$A21,'库存（子SKU）'!AJ:AJ)</f>
        <v>39</v>
      </c>
      <c r="AI21">
        <f>SUMIF('库存（子SKU）'!$C:$C,$A21,'库存（子SKU）'!AK:AK)</f>
        <v>32</v>
      </c>
      <c r="AJ21">
        <f>SUMIF('库存（子SKU）'!$C:$C,$A21,'库存（子SKU）'!AL:AL)</f>
        <v>27</v>
      </c>
      <c r="AK21">
        <f>SUMIF('库存（子SKU）'!$C:$C,$A21,'库存（子SKU）'!AM:AM)</f>
        <v>30</v>
      </c>
      <c r="AL21" s="23">
        <f t="shared" si="6"/>
        <v>0.0512820512820513</v>
      </c>
      <c r="AM21" s="23">
        <f t="shared" si="7"/>
        <v>0.0625</v>
      </c>
      <c r="AN21" s="23">
        <f t="shared" si="8"/>
        <v>0.111111111111111</v>
      </c>
      <c r="AO21" s="23">
        <f t="shared" si="9"/>
        <v>0.1</v>
      </c>
      <c r="AP21" s="8">
        <f t="shared" si="10"/>
        <v>0.285714285714286</v>
      </c>
      <c r="AQ21" s="8">
        <f t="shared" si="11"/>
        <v>17.1428571428571</v>
      </c>
      <c r="AR21" s="8">
        <f t="shared" si="12"/>
        <v>333.857142857143</v>
      </c>
      <c r="AS21">
        <f t="shared" si="13"/>
        <v>1228</v>
      </c>
      <c r="AT21" s="25">
        <f>IFERROR(时间!$B$4+AS21,"上周无销量")</f>
        <v>44546</v>
      </c>
    </row>
    <row r="22" spans="1:46">
      <c r="A22" t="s">
        <v>253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3</v>
      </c>
      <c r="E22" s="6">
        <f>SUMIF('库存（子SKU）'!$C:$C,$A22,'库存（子SKU）'!G:G)</f>
        <v>5</v>
      </c>
      <c r="F22" s="7">
        <v>8.61875</v>
      </c>
      <c r="G22">
        <f>SUMIF('库存（子SKU）'!$C:$C,$A22,'库存（子SKU）'!I:I)</f>
        <v>378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378</v>
      </c>
      <c r="L22">
        <f>SUMIF('库存（子SKU）'!$C:$C,$A22,'库存（子SKU）'!N:N)</f>
        <v>0</v>
      </c>
      <c r="M22">
        <f>SUMIF('库存（子SKU）'!$C:$C,$A22,'库存（子SKU）'!O:O)</f>
        <v>374</v>
      </c>
      <c r="N22">
        <f>SUMIF('库存（子SKU）'!$C:$C,$A22,'库存（子SKU）'!P:P)</f>
        <v>13282</v>
      </c>
      <c r="O22">
        <f>SUMIF('库存（子SKU）'!$C:$C,$A22,'库存（子SKU）'!Q:Q)</f>
        <v>14586</v>
      </c>
      <c r="P22">
        <f>SUMIF('库存（子SKU）'!$C:$C,$A22,'库存（子SKU）'!R:R)</f>
        <v>12323</v>
      </c>
      <c r="Q22">
        <f>SUMIF('库存（子SKU）'!$C:$C,$A22,'库存（子SKU）'!S:S)</f>
        <v>8240</v>
      </c>
      <c r="R22">
        <f>SUMIF('库存（子SKU）'!$C:$C,$A22,'库存（子SKU）'!T:T)</f>
        <v>30</v>
      </c>
      <c r="S22">
        <f>SUMIF('库存（子SKU）'!$C:$C,$A22,'库存（子SKU）'!U:U)</f>
        <v>28</v>
      </c>
      <c r="T22">
        <f>SUMIF('库存（子SKU）'!$C:$C,$A22,'库存（子SKU）'!V:V)</f>
        <v>25</v>
      </c>
      <c r="U22">
        <f>SUMIF('库存（子SKU）'!$C:$C,$A22,'库存（子SKU）'!W:W)</f>
        <v>14</v>
      </c>
      <c r="V22" s="23">
        <f t="shared" si="15"/>
        <v>0.00225869597952116</v>
      </c>
      <c r="W22" s="23">
        <f t="shared" si="16"/>
        <v>0.00191964897847251</v>
      </c>
      <c r="X22" s="23">
        <f t="shared" si="17"/>
        <v>0.00202872677107847</v>
      </c>
      <c r="Y22" s="23">
        <f t="shared" si="18"/>
        <v>0.00169902912621359</v>
      </c>
      <c r="Z22">
        <f>SUMIF('库存（子SKU）'!$C:$C,$A22,'库存（子SKU）'!AB:AB)</f>
        <v>11.85</v>
      </c>
      <c r="AA22">
        <f>SUMIF('库存（子SKU）'!$C:$C,$A22,'库存（子SKU）'!AC:AC)</f>
        <v>9.08</v>
      </c>
      <c r="AB22">
        <f>SUMIF('库存（子SKU）'!$C:$C,$A22,'库存（子SKU）'!AD:AD)</f>
        <v>8.94</v>
      </c>
      <c r="AC22">
        <f>SUMIF('库存（子SKU）'!$C:$C,$A22,'库存（子SKU）'!AE:AE)</f>
        <v>4.68</v>
      </c>
      <c r="AD22" s="23" t="str">
        <f t="shared" si="2"/>
        <v>无销量广告费为11.85</v>
      </c>
      <c r="AE22" s="23" t="str">
        <f t="shared" si="3"/>
        <v>无销量广告费为9.08</v>
      </c>
      <c r="AF22" s="23">
        <f t="shared" si="4"/>
        <v>0.345757795503988</v>
      </c>
      <c r="AG22" s="23">
        <f t="shared" si="5"/>
        <v>0.108600435097897</v>
      </c>
      <c r="AH22">
        <f>SUMIF('库存（子SKU）'!$C:$C,$A22,'库存（子SKU）'!AJ:AJ)</f>
        <v>43</v>
      </c>
      <c r="AI22">
        <f>SUMIF('库存（子SKU）'!$C:$C,$A22,'库存（子SKU）'!AK:AK)</f>
        <v>48</v>
      </c>
      <c r="AJ22">
        <f>SUMIF('库存（子SKU）'!$C:$C,$A22,'库存（子SKU）'!AL:AL)</f>
        <v>48</v>
      </c>
      <c r="AK22">
        <f>SUMIF('库存（子SKU）'!$C:$C,$A22,'库存（子SKU）'!AM:AM)</f>
        <v>32</v>
      </c>
      <c r="AL22" s="23">
        <f t="shared" si="6"/>
        <v>0</v>
      </c>
      <c r="AM22" s="23">
        <f t="shared" si="7"/>
        <v>0</v>
      </c>
      <c r="AN22" s="23">
        <f t="shared" si="8"/>
        <v>0.0625</v>
      </c>
      <c r="AO22" s="23">
        <f t="shared" si="9"/>
        <v>0.15625</v>
      </c>
      <c r="AP22" s="8">
        <f t="shared" si="10"/>
        <v>0</v>
      </c>
      <c r="AQ22" s="8">
        <f t="shared" si="11"/>
        <v>0</v>
      </c>
      <c r="AR22" s="8">
        <f t="shared" si="12"/>
        <v>378</v>
      </c>
      <c r="AS22" t="str">
        <f t="shared" si="13"/>
        <v>库存为378</v>
      </c>
      <c r="AT22" s="25" t="str">
        <f>IFERROR(时间!$B$4+AS22,"上周无销量")</f>
        <v>上周无销量</v>
      </c>
    </row>
    <row r="23" spans="1:46">
      <c r="A23" t="s">
        <v>311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3271</v>
      </c>
      <c r="O23">
        <f>SUMIF('库存（子SKU）'!$C:$C,$A23,'库存（子SKU）'!Q:Q)</f>
        <v>3803</v>
      </c>
      <c r="P23">
        <f>SUMIF('库存（子SKU）'!$C:$C,$A23,'库存（子SKU）'!R:R)</f>
        <v>4273</v>
      </c>
      <c r="Q23">
        <f>SUMIF('库存（子SKU）'!$C:$C,$A23,'库存（子SKU）'!S:S)</f>
        <v>1493</v>
      </c>
      <c r="R23">
        <f>SUMIF('库存（子SKU）'!$C:$C,$A23,'库存（子SKU）'!T:T)</f>
        <v>36</v>
      </c>
      <c r="S23">
        <f>SUMIF('库存（子SKU）'!$C:$C,$A23,'库存（子SKU）'!U:U)</f>
        <v>26</v>
      </c>
      <c r="T23">
        <f>SUMIF('库存（子SKU）'!$C:$C,$A23,'库存（子SKU）'!V:V)</f>
        <v>27</v>
      </c>
      <c r="U23">
        <f>SUMIF('库存（子SKU）'!$C:$C,$A23,'库存（子SKU）'!W:W)</f>
        <v>13</v>
      </c>
      <c r="V23" s="23">
        <f t="shared" si="15"/>
        <v>0.0110058086212168</v>
      </c>
      <c r="W23" s="23">
        <f t="shared" si="16"/>
        <v>0.00683670786221404</v>
      </c>
      <c r="X23" s="23">
        <f t="shared" si="17"/>
        <v>0.00631874561198221</v>
      </c>
      <c r="Y23" s="23">
        <f t="shared" si="18"/>
        <v>0.0087073007367716</v>
      </c>
      <c r="Z23">
        <f>SUMIF('库存（子SKU）'!$C:$C,$A23,'库存（子SKU）'!AB:AB)</f>
        <v>10.59</v>
      </c>
      <c r="AA23">
        <f>SUMIF('库存（子SKU）'!$C:$C,$A23,'库存（子SKU）'!AC:AC)</f>
        <v>6.96</v>
      </c>
      <c r="AB23">
        <f>SUMIF('库存（子SKU）'!$C:$C,$A23,'库存（子SKU）'!AD:AD)</f>
        <v>7.97</v>
      </c>
      <c r="AC23">
        <f>SUMIF('库存（子SKU）'!$C:$C,$A23,'库存（子SKU）'!AE:AE)</f>
        <v>3.51</v>
      </c>
      <c r="AD23" s="23" t="str">
        <f t="shared" si="2"/>
        <v>无销量广告费为10.59</v>
      </c>
      <c r="AE23" s="23" t="str">
        <f t="shared" si="3"/>
        <v>无销量广告费为6.96</v>
      </c>
      <c r="AF23" s="23" t="str">
        <f t="shared" si="4"/>
        <v>无销量广告费为7.97</v>
      </c>
      <c r="AG23" s="23" t="str">
        <f t="shared" si="5"/>
        <v>无销量广告费为3.51</v>
      </c>
      <c r="AH23">
        <f>SUMIF('库存（子SKU）'!$C:$C,$A23,'库存（子SKU）'!AJ:AJ)</f>
        <v>11</v>
      </c>
      <c r="AI23">
        <f>SUMIF('库存（子SKU）'!$C:$C,$A23,'库存（子SKU）'!AK:AK)</f>
        <v>11</v>
      </c>
      <c r="AJ23">
        <f>SUMIF('库存（子SKU）'!$C:$C,$A23,'库存（子SKU）'!AL:AL)</f>
        <v>10</v>
      </c>
      <c r="AK23">
        <f>SUMIF('库存（子SKU）'!$C:$C,$A23,'库存（子SKU）'!AM:AM)</f>
        <v>6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320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81</v>
      </c>
      <c r="O24">
        <f>SUMIF('库存（子SKU）'!$C:$C,$A24,'库存（子SKU）'!Q:Q)</f>
        <v>102</v>
      </c>
      <c r="P24">
        <f>SUMIF('库存（子SKU）'!$C:$C,$A24,'库存（子SKU）'!R:R)</f>
        <v>100</v>
      </c>
      <c r="Q24">
        <f>SUMIF('库存（子SKU）'!$C:$C,$A24,'库存（子SKU）'!S:S)</f>
        <v>26</v>
      </c>
      <c r="R24">
        <f>SUMIF('库存（子SKU）'!$C:$C,$A24,'库存（子SKU）'!T:T)</f>
        <v>0</v>
      </c>
      <c r="S24">
        <f>SUMIF('库存（子SKU）'!$C:$C,$A24,'库存（子SKU）'!U:U)</f>
        <v>1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>
        <f t="shared" si="15"/>
        <v>0</v>
      </c>
      <c r="W24" s="23">
        <f t="shared" si="16"/>
        <v>0.00980392156862745</v>
      </c>
      <c r="X24" s="23">
        <f t="shared" si="17"/>
        <v>0</v>
      </c>
      <c r="Y24" s="23">
        <f t="shared" si="18"/>
        <v>0</v>
      </c>
      <c r="Z24">
        <f>SUMIF('库存（子SKU）'!$C:$C,$A24,'库存（子SKU）'!AB:AB)</f>
        <v>0</v>
      </c>
      <c r="AA24">
        <f>SUMIF('库存（子SKU）'!$C:$C,$A24,'库存（子SKU）'!AC:AC)</f>
        <v>0.6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>无销量广告费为0.6</v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3</v>
      </c>
      <c r="AJ24">
        <f>SUMIF('库存（子SKU）'!$C:$C,$A24,'库存（子SKU）'!AL:AL)</f>
        <v>0</v>
      </c>
      <c r="AK24">
        <f>SUMIF('库存（子SKU）'!$C:$C,$A24,'库存（子SKU）'!AM:AM)</f>
        <v>4</v>
      </c>
      <c r="AL24" s="23" t="str">
        <f t="shared" si="6"/>
        <v/>
      </c>
      <c r="AM24" s="23">
        <f t="shared" si="7"/>
        <v>0</v>
      </c>
      <c r="AN24" s="23" t="str">
        <f t="shared" si="8"/>
        <v/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324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1</v>
      </c>
      <c r="E25" s="6">
        <f>SUMIF('库存（子SKU）'!$C:$C,$A25,'库存（子SKU）'!G:G)</f>
        <v>0</v>
      </c>
      <c r="F25" s="7">
        <v>11.9</v>
      </c>
      <c r="G25">
        <f>SUMIF('库存（子SKU）'!$C:$C,$A25,'库存（子SKU）'!I:I)</f>
        <v>46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46</v>
      </c>
      <c r="L25">
        <f>SUMIF('库存（子SKU）'!$C:$C,$A25,'库存（子SKU）'!N:N)</f>
        <v>0</v>
      </c>
      <c r="M25">
        <f>SUMIF('库存（子SKU）'!$C:$C,$A25,'库存（子SKU）'!O:O)</f>
        <v>46</v>
      </c>
      <c r="N25">
        <f>SUMIF('库存（子SKU）'!$C:$C,$A25,'库存（子SKU）'!P:P)</f>
        <v>9414</v>
      </c>
      <c r="O25">
        <f>SUMIF('库存（子SKU）'!$C:$C,$A25,'库存（子SKU）'!Q:Q)</f>
        <v>7066</v>
      </c>
      <c r="P25">
        <f>SUMIF('库存（子SKU）'!$C:$C,$A25,'库存（子SKU）'!R:R)</f>
        <v>6444</v>
      </c>
      <c r="Q25">
        <f>SUMIF('库存（子SKU）'!$C:$C,$A25,'库存（子SKU）'!S:S)</f>
        <v>2223</v>
      </c>
      <c r="R25">
        <f>SUMIF('库存（子SKU）'!$C:$C,$A25,'库存（子SKU）'!T:T)</f>
        <v>39</v>
      </c>
      <c r="S25">
        <f>SUMIF('库存（子SKU）'!$C:$C,$A25,'库存（子SKU）'!U:U)</f>
        <v>38</v>
      </c>
      <c r="T25">
        <f>SUMIF('库存（子SKU）'!$C:$C,$A25,'库存（子SKU）'!V:V)</f>
        <v>40</v>
      </c>
      <c r="U25">
        <f>SUMIF('库存（子SKU）'!$C:$C,$A25,'库存（子SKU）'!W:W)</f>
        <v>15</v>
      </c>
      <c r="V25" s="23">
        <f t="shared" si="15"/>
        <v>0.0041427660930529</v>
      </c>
      <c r="W25" s="23">
        <f t="shared" si="16"/>
        <v>0.00537786583639966</v>
      </c>
      <c r="X25" s="23">
        <f t="shared" si="17"/>
        <v>0.00620732464307883</v>
      </c>
      <c r="Y25" s="23">
        <f t="shared" si="18"/>
        <v>0.0067476383265857</v>
      </c>
      <c r="Z25">
        <f>SUMIF('库存（子SKU）'!$C:$C,$A25,'库存（子SKU）'!AB:AB)</f>
        <v>11.11</v>
      </c>
      <c r="AA25">
        <f>SUMIF('库存（子SKU）'!$C:$C,$A25,'库存（子SKU）'!AC:AC)</f>
        <v>10.64</v>
      </c>
      <c r="AB25">
        <f>SUMIF('库存（子SKU）'!$C:$C,$A25,'库存（子SKU）'!AD:AD)</f>
        <v>12.09</v>
      </c>
      <c r="AC25">
        <f>SUMIF('库存（子SKU）'!$C:$C,$A25,'库存（子SKU）'!AE:AE)</f>
        <v>4.48</v>
      </c>
      <c r="AD25" s="23" t="str">
        <f t="shared" si="2"/>
        <v>无销量广告费为11.11</v>
      </c>
      <c r="AE25" s="23" t="str">
        <f t="shared" si="3"/>
        <v>无销量广告费为10.64</v>
      </c>
      <c r="AF25" s="23">
        <f t="shared" si="4"/>
        <v>1.01596638655462</v>
      </c>
      <c r="AG25" s="23" t="str">
        <f t="shared" si="5"/>
        <v>无销量广告费为4.48</v>
      </c>
      <c r="AH25">
        <f>SUMIF('库存（子SKU）'!$C:$C,$A25,'库存（子SKU）'!AJ:AJ)</f>
        <v>40</v>
      </c>
      <c r="AI25">
        <f>SUMIF('库存（子SKU）'!$C:$C,$A25,'库存（子SKU）'!AK:AK)</f>
        <v>30</v>
      </c>
      <c r="AJ25">
        <f>SUMIF('库存（子SKU）'!$C:$C,$A25,'库存（子SKU）'!AL:AL)</f>
        <v>38</v>
      </c>
      <c r="AK25">
        <f>SUMIF('库存（子SKU）'!$C:$C,$A25,'库存（子SKU）'!AM:AM)</f>
        <v>42</v>
      </c>
      <c r="AL25" s="23">
        <f t="shared" si="6"/>
        <v>0</v>
      </c>
      <c r="AM25" s="23">
        <f t="shared" si="7"/>
        <v>0</v>
      </c>
      <c r="AN25" s="23">
        <f t="shared" si="8"/>
        <v>0.0263157894736842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46</v>
      </c>
      <c r="AS25" t="str">
        <f t="shared" si="13"/>
        <v>库存为46</v>
      </c>
      <c r="AT25" s="25" t="str">
        <f>IFERROR(时间!$B$4+AS25,"上周无销量")</f>
        <v>上周无销量</v>
      </c>
    </row>
    <row r="26" spans="1:46">
      <c r="A26" t="s">
        <v>361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787</v>
      </c>
      <c r="O26">
        <f>SUMIF('库存（子SKU）'!$C:$C,$A26,'库存（子SKU）'!Q:Q)</f>
        <v>984</v>
      </c>
      <c r="P26">
        <f>SUMIF('库存（子SKU）'!$C:$C,$A26,'库存（子SKU）'!R:R)</f>
        <v>728</v>
      </c>
      <c r="Q26">
        <f>SUMIF('库存（子SKU）'!$C:$C,$A26,'库存（子SKU）'!S:S)</f>
        <v>542</v>
      </c>
      <c r="R26">
        <f>SUMIF('库存（子SKU）'!$C:$C,$A26,'库存（子SKU）'!T:T)</f>
        <v>3</v>
      </c>
      <c r="S26">
        <f>SUMIF('库存（子SKU）'!$C:$C,$A26,'库存（子SKU）'!U:U)</f>
        <v>1</v>
      </c>
      <c r="T26">
        <f>SUMIF('库存（子SKU）'!$C:$C,$A26,'库存（子SKU）'!V:V)</f>
        <v>1</v>
      </c>
      <c r="U26">
        <f>SUMIF('库存（子SKU）'!$C:$C,$A26,'库存（子SKU）'!W:W)</f>
        <v>0</v>
      </c>
      <c r="V26" s="23">
        <f t="shared" si="15"/>
        <v>0.00381194409148666</v>
      </c>
      <c r="W26" s="23">
        <f t="shared" si="16"/>
        <v>0.00101626016260163</v>
      </c>
      <c r="X26" s="23">
        <f t="shared" si="17"/>
        <v>0.00137362637362637</v>
      </c>
      <c r="Y26" s="23">
        <f t="shared" si="18"/>
        <v>0</v>
      </c>
      <c r="Z26">
        <f>SUMIF('库存（子SKU）'!$C:$C,$A26,'库存（子SKU）'!AB:AB)</f>
        <v>0.35</v>
      </c>
      <c r="AA26">
        <f>SUMIF('库存（子SKU）'!$C:$C,$A26,'库存（子SKU）'!AC:AC)</f>
        <v>0.57</v>
      </c>
      <c r="AB26">
        <f>SUMIF('库存（子SKU）'!$C:$C,$A26,'库存（子SKU）'!AD:AD)</f>
        <v>0.08</v>
      </c>
      <c r="AC26">
        <f>SUMIF('库存（子SKU）'!$C:$C,$A26,'库存（子SKU）'!AE:AE)</f>
        <v>0</v>
      </c>
      <c r="AD26" s="23" t="str">
        <f t="shared" si="2"/>
        <v>无销量广告费为0.35</v>
      </c>
      <c r="AE26" s="23" t="str">
        <f t="shared" si="3"/>
        <v>无销量广告费为0.57</v>
      </c>
      <c r="AF26" s="23" t="str">
        <f t="shared" si="4"/>
        <v>无销量广告费为0.08</v>
      </c>
      <c r="AG26" s="23" t="str">
        <f t="shared" si="5"/>
        <v/>
      </c>
      <c r="AH26">
        <f>SUMIF('库存（子SKU）'!$C:$C,$A26,'库存（子SKU）'!AJ:AJ)</f>
        <v>11</v>
      </c>
      <c r="AI26">
        <f>SUMIF('库存（子SKU）'!$C:$C,$A26,'库存（子SKU）'!AK:AK)</f>
        <v>11</v>
      </c>
      <c r="AJ26">
        <f>SUMIF('库存（子SKU）'!$C:$C,$A26,'库存（子SKU）'!AL:AL)</f>
        <v>7</v>
      </c>
      <c r="AK26">
        <f>SUMIF('库存（子SKU）'!$C:$C,$A26,'库存（子SKU）'!AM:AM)</f>
        <v>17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376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4041</v>
      </c>
      <c r="O27">
        <f>SUMIF('库存（子SKU）'!$C:$C,$A27,'库存（子SKU）'!Q:Q)</f>
        <v>4497</v>
      </c>
      <c r="P27">
        <f>SUMIF('库存（子SKU）'!$C:$C,$A27,'库存（子SKU）'!R:R)</f>
        <v>5133</v>
      </c>
      <c r="Q27">
        <f>SUMIF('库存（子SKU）'!$C:$C,$A27,'库存（子SKU）'!S:S)</f>
        <v>877</v>
      </c>
      <c r="R27">
        <f>SUMIF('库存（子SKU）'!$C:$C,$A27,'库存（子SKU）'!T:T)</f>
        <v>2</v>
      </c>
      <c r="S27">
        <f>SUMIF('库存（子SKU）'!$C:$C,$A27,'库存（子SKU）'!U:U)</f>
        <v>6</v>
      </c>
      <c r="T27">
        <f>SUMIF('库存（子SKU）'!$C:$C,$A27,'库存（子SKU）'!V:V)</f>
        <v>6</v>
      </c>
      <c r="U27">
        <f>SUMIF('库存（子SKU）'!$C:$C,$A27,'库存（子SKU）'!W:W)</f>
        <v>2</v>
      </c>
      <c r="V27" s="23">
        <f t="shared" si="15"/>
        <v>0.000494926998267755</v>
      </c>
      <c r="W27" s="23">
        <f t="shared" si="16"/>
        <v>0.00133422281521014</v>
      </c>
      <c r="X27" s="23">
        <f t="shared" si="17"/>
        <v>0.00116890707188778</v>
      </c>
      <c r="Y27" s="23">
        <f t="shared" si="18"/>
        <v>0.00228050171037628</v>
      </c>
      <c r="Z27">
        <f>SUMIF('库存（子SKU）'!$C:$C,$A27,'库存（子SKU）'!AB:AB)</f>
        <v>0.68</v>
      </c>
      <c r="AA27">
        <f>SUMIF('库存（子SKU）'!$C:$C,$A27,'库存（子SKU）'!AC:AC)</f>
        <v>2.03</v>
      </c>
      <c r="AB27">
        <f>SUMIF('库存（子SKU）'!$C:$C,$A27,'库存（子SKU）'!AD:AD)</f>
        <v>1.68</v>
      </c>
      <c r="AC27">
        <f>SUMIF('库存（子SKU）'!$C:$C,$A27,'库存（子SKU）'!AE:AE)</f>
        <v>0.42</v>
      </c>
      <c r="AD27" s="23" t="str">
        <f t="shared" si="2"/>
        <v>无销量广告费为0.68</v>
      </c>
      <c r="AE27" s="23" t="str">
        <f t="shared" si="3"/>
        <v>无销量广告费为2.03</v>
      </c>
      <c r="AF27" s="23" t="str">
        <f t="shared" si="4"/>
        <v>无销量广告费为1.68</v>
      </c>
      <c r="AG27" s="23" t="str">
        <f t="shared" si="5"/>
        <v>无销量广告费为0.42</v>
      </c>
      <c r="AH27">
        <f>SUMIF('库存（子SKU）'!$C:$C,$A27,'库存（子SKU）'!AJ:AJ)</f>
        <v>10</v>
      </c>
      <c r="AI27">
        <f>SUMIF('库存（子SKU）'!$C:$C,$A27,'库存（子SKU）'!AK:AK)</f>
        <v>8</v>
      </c>
      <c r="AJ27">
        <f>SUMIF('库存（子SKU）'!$C:$C,$A27,'库存（子SKU）'!AL:AL)</f>
        <v>11</v>
      </c>
      <c r="AK27">
        <f>SUMIF('库存（子SKU）'!$C:$C,$A27,'库存（子SKU）'!AM:AM)</f>
        <v>10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388</v>
      </c>
      <c r="B28" s="6">
        <f>SUMIF('库存（子SKU）'!$C:$C,$A28,'库存（子SKU）'!D:D)</f>
        <v>0</v>
      </c>
      <c r="C28" s="6">
        <f>SUMIF('库存（子SKU）'!$C:$C,$A28,'库存（子SKU）'!E:E)</f>
        <v>1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>
        <v>17.9</v>
      </c>
      <c r="G28">
        <f>SUMIF('库存（子SKU）'!$C:$C,$A28,'库存（子SKU）'!I:I)</f>
        <v>5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</v>
      </c>
      <c r="L28">
        <f>SUMIF('库存（子SKU）'!$C:$C,$A28,'库存（子SKU）'!N:N)</f>
        <v>0</v>
      </c>
      <c r="M28">
        <f>SUMIF('库存（子SKU）'!$C:$C,$A28,'库存（子SKU）'!O:O)</f>
        <v>5</v>
      </c>
      <c r="N28">
        <f>SUMIF('库存（子SKU）'!$C:$C,$A28,'库存（子SKU）'!P:P)</f>
        <v>706</v>
      </c>
      <c r="O28">
        <f>SUMIF('库存（子SKU）'!$C:$C,$A28,'库存（子SKU）'!Q:Q)</f>
        <v>3674</v>
      </c>
      <c r="P28">
        <f>SUMIF('库存（子SKU）'!$C:$C,$A28,'库存（子SKU）'!R:R)</f>
        <v>6022</v>
      </c>
      <c r="Q28">
        <f>SUMIF('库存（子SKU）'!$C:$C,$A28,'库存（子SKU）'!S:S)</f>
        <v>2257</v>
      </c>
      <c r="R28">
        <f>SUMIF('库存（子SKU）'!$C:$C,$A28,'库存（子SKU）'!T:T)</f>
        <v>3</v>
      </c>
      <c r="S28">
        <f>SUMIF('库存（子SKU）'!$C:$C,$A28,'库存（子SKU）'!U:U)</f>
        <v>47</v>
      </c>
      <c r="T28">
        <f>SUMIF('库存（子SKU）'!$C:$C,$A28,'库存（子SKU）'!V:V)</f>
        <v>69</v>
      </c>
      <c r="U28">
        <f>SUMIF('库存（子SKU）'!$C:$C,$A28,'库存（子SKU）'!W:W)</f>
        <v>22</v>
      </c>
      <c r="V28" s="23">
        <f t="shared" si="15"/>
        <v>0.00424929178470255</v>
      </c>
      <c r="W28" s="23">
        <f t="shared" si="16"/>
        <v>0.012792596624932</v>
      </c>
      <c r="X28" s="23">
        <f t="shared" si="17"/>
        <v>0.0114579873796081</v>
      </c>
      <c r="Y28" s="23">
        <f t="shared" si="18"/>
        <v>0.00974745237040319</v>
      </c>
      <c r="Z28">
        <f>SUMIF('库存（子SKU）'!$C:$C,$A28,'库存（子SKU）'!AB:AB)</f>
        <v>0.83</v>
      </c>
      <c r="AA28">
        <f>SUMIF('库存（子SKU）'!$C:$C,$A28,'库存（子SKU）'!AC:AC)</f>
        <v>13.08</v>
      </c>
      <c r="AB28">
        <f>SUMIF('库存（子SKU）'!$C:$C,$A28,'库存（子SKU）'!AD:AD)</f>
        <v>18.97</v>
      </c>
      <c r="AC28">
        <f>SUMIF('库存（子SKU）'!$C:$C,$A28,'库存（子SKU）'!AE:AE)</f>
        <v>4.47</v>
      </c>
      <c r="AD28" s="23" t="str">
        <f t="shared" si="2"/>
        <v>无销量广告费为0.83</v>
      </c>
      <c r="AE28" s="23">
        <f t="shared" si="3"/>
        <v>0.73072625698324</v>
      </c>
      <c r="AF28" s="23" t="str">
        <f t="shared" si="4"/>
        <v>无销量广告费为18.97</v>
      </c>
      <c r="AG28" s="23" t="str">
        <f t="shared" si="5"/>
        <v>无销量广告费为4.47</v>
      </c>
      <c r="AH28">
        <f>SUMIF('库存（子SKU）'!$C:$C,$A28,'库存（子SKU）'!AJ:AJ)</f>
        <v>8</v>
      </c>
      <c r="AI28">
        <f>SUMIF('库存（子SKU）'!$C:$C,$A28,'库存（子SKU）'!AK:AK)</f>
        <v>18</v>
      </c>
      <c r="AJ28">
        <f>SUMIF('库存（子SKU）'!$C:$C,$A28,'库存（子SKU）'!AL:AL)</f>
        <v>27</v>
      </c>
      <c r="AK28">
        <f>SUMIF('库存（子SKU）'!$C:$C,$A28,'库存（子SKU）'!AM:AM)</f>
        <v>22</v>
      </c>
      <c r="AL28" s="23">
        <f t="shared" si="6"/>
        <v>0</v>
      </c>
      <c r="AM28" s="23">
        <f t="shared" si="7"/>
        <v>0.0555555555555556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5</v>
      </c>
      <c r="AS28" t="str">
        <f t="shared" si="13"/>
        <v>库存为5</v>
      </c>
      <c r="AT28" s="25" t="str">
        <f>IFERROR(时间!$B$4+AS28,"上周无销量")</f>
        <v>上周无销量</v>
      </c>
    </row>
    <row r="29" spans="1:46">
      <c r="A29" t="s">
        <v>412</v>
      </c>
      <c r="B29" s="6">
        <f>SUMIF('库存（子SKU）'!$C:$C,$A29,'库存（子SKU）'!D:D)</f>
        <v>0</v>
      </c>
      <c r="C29" s="6">
        <f>SUMIF('库存（子SKU）'!$C:$C,$A29,'库存（子SKU）'!E:E)</f>
        <v>2</v>
      </c>
      <c r="D29" s="6">
        <f>SUMIF('库存（子SKU）'!$C:$C,$A29,'库存（子SKU）'!F:F)</f>
        <v>1</v>
      </c>
      <c r="E29" s="6">
        <f>SUMIF('库存（子SKU）'!$C:$C,$A29,'库存（子SKU）'!G:G)</f>
        <v>0</v>
      </c>
      <c r="F29" s="7">
        <v>17.9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514</v>
      </c>
      <c r="O29">
        <f>SUMIF('库存（子SKU）'!$C:$C,$A29,'库存（子SKU）'!Q:Q)</f>
        <v>352</v>
      </c>
      <c r="P29">
        <f>SUMIF('库存（子SKU）'!$C:$C,$A29,'库存（子SKU）'!R:R)</f>
        <v>256</v>
      </c>
      <c r="Q29">
        <f>SUMIF('库存（子SKU）'!$C:$C,$A29,'库存（子SKU）'!S:S)</f>
        <v>97</v>
      </c>
      <c r="R29">
        <f>SUMIF('库存（子SKU）'!$C:$C,$A29,'库存（子SKU）'!T:T)</f>
        <v>6</v>
      </c>
      <c r="S29">
        <f>SUMIF('库存（子SKU）'!$C:$C,$A29,'库存（子SKU）'!U:U)</f>
        <v>2</v>
      </c>
      <c r="T29">
        <f>SUMIF('库存（子SKU）'!$C:$C,$A29,'库存（子SKU）'!V:V)</f>
        <v>5</v>
      </c>
      <c r="U29">
        <f>SUMIF('库存（子SKU）'!$C:$C,$A29,'库存（子SKU）'!W:W)</f>
        <v>0</v>
      </c>
      <c r="V29" s="23">
        <f t="shared" si="15"/>
        <v>0.0116731517509728</v>
      </c>
      <c r="W29" s="23">
        <f t="shared" si="16"/>
        <v>0.00568181818181818</v>
      </c>
      <c r="X29" s="23">
        <f t="shared" si="17"/>
        <v>0.01953125</v>
      </c>
      <c r="Y29" s="23">
        <f t="shared" si="18"/>
        <v>0</v>
      </c>
      <c r="Z29">
        <f>SUMIF('库存（子SKU）'!$C:$C,$A29,'库存（子SKU）'!AB:AB)</f>
        <v>2.57</v>
      </c>
      <c r="AA29">
        <f>SUMIF('库存（子SKU）'!$C:$C,$A29,'库存（子SKU）'!AC:AC)</f>
        <v>1.01</v>
      </c>
      <c r="AB29">
        <f>SUMIF('库存（子SKU）'!$C:$C,$A29,'库存（子SKU）'!AD:AD)</f>
        <v>1.72</v>
      </c>
      <c r="AC29">
        <f>SUMIF('库存（子SKU）'!$C:$C,$A29,'库存（子SKU）'!AE:AE)</f>
        <v>0</v>
      </c>
      <c r="AD29" s="23" t="str">
        <f t="shared" si="2"/>
        <v>无销量广告费为2.57</v>
      </c>
      <c r="AE29" s="23">
        <f t="shared" si="3"/>
        <v>0.0282122905027933</v>
      </c>
      <c r="AF29" s="23">
        <f t="shared" si="4"/>
        <v>0.0960893854748603</v>
      </c>
      <c r="AG29" s="23" t="str">
        <f t="shared" si="5"/>
        <v/>
      </c>
      <c r="AH29">
        <f>SUMIF('库存（子SKU）'!$C:$C,$A29,'库存（子SKU）'!AJ:AJ)</f>
        <v>5</v>
      </c>
      <c r="AI29">
        <f>SUMIF('库存（子SKU）'!$C:$C,$A29,'库存（子SKU）'!AK:AK)</f>
        <v>6</v>
      </c>
      <c r="AJ29">
        <f>SUMIF('库存（子SKU）'!$C:$C,$A29,'库存（子SKU）'!AL:AL)</f>
        <v>12</v>
      </c>
      <c r="AK29">
        <f>SUMIF('库存（子SKU）'!$C:$C,$A29,'库存（子SKU）'!AM:AM)</f>
        <v>11</v>
      </c>
      <c r="AL29" s="23">
        <f t="shared" si="6"/>
        <v>0</v>
      </c>
      <c r="AM29" s="23">
        <f t="shared" si="7"/>
        <v>0.333333333333333</v>
      </c>
      <c r="AN29" s="23">
        <f t="shared" si="8"/>
        <v>0.0833333333333333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421</v>
      </c>
      <c r="B30" s="6">
        <f>SUMIF('库存（子SKU）'!$C:$C,$A30,'库存（子SKU）'!D:D)</f>
        <v>1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3</v>
      </c>
      <c r="F30" s="7">
        <v>8.4425</v>
      </c>
      <c r="G30">
        <f>SUMIF('库存（子SKU）'!$C:$C,$A30,'库存（子SKU）'!I:I)</f>
        <v>129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129</v>
      </c>
      <c r="L30">
        <f>SUMIF('库存（子SKU）'!$C:$C,$A30,'库存（子SKU）'!N:N)</f>
        <v>0</v>
      </c>
      <c r="M30">
        <f>SUMIF('库存（子SKU）'!$C:$C,$A30,'库存（子SKU）'!O:O)</f>
        <v>128</v>
      </c>
      <c r="N30">
        <f>SUMIF('库存（子SKU）'!$C:$C,$A30,'库存（子SKU）'!P:P)</f>
        <v>2848</v>
      </c>
      <c r="O30">
        <f>SUMIF('库存（子SKU）'!$C:$C,$A30,'库存（子SKU）'!Q:Q)</f>
        <v>1332</v>
      </c>
      <c r="P30">
        <f>SUMIF('库存（子SKU）'!$C:$C,$A30,'库存（子SKU）'!R:R)</f>
        <v>810</v>
      </c>
      <c r="Q30">
        <f>SUMIF('库存（子SKU）'!$C:$C,$A30,'库存（子SKU）'!S:S)</f>
        <v>568</v>
      </c>
      <c r="R30">
        <f>SUMIF('库存（子SKU）'!$C:$C,$A30,'库存（子SKU）'!T:T)</f>
        <v>5</v>
      </c>
      <c r="S30">
        <f>SUMIF('库存（子SKU）'!$C:$C,$A30,'库存（子SKU）'!U:U)</f>
        <v>5</v>
      </c>
      <c r="T30">
        <f>SUMIF('库存（子SKU）'!$C:$C,$A30,'库存（子SKU）'!V:V)</f>
        <v>6</v>
      </c>
      <c r="U30">
        <f>SUMIF('库存（子SKU）'!$C:$C,$A30,'库存（子SKU）'!W:W)</f>
        <v>4</v>
      </c>
      <c r="V30" s="23">
        <f t="shared" si="15"/>
        <v>0.00175561797752809</v>
      </c>
      <c r="W30" s="23">
        <f t="shared" si="16"/>
        <v>0.00375375375375375</v>
      </c>
      <c r="X30" s="23">
        <f t="shared" si="17"/>
        <v>0.00740740740740741</v>
      </c>
      <c r="Y30" s="23">
        <f t="shared" si="18"/>
        <v>0.00704225352112676</v>
      </c>
      <c r="Z30">
        <f>SUMIF('库存（子SKU）'!$C:$C,$A30,'库存（子SKU）'!AB:AB)</f>
        <v>1.59</v>
      </c>
      <c r="AA30">
        <f>SUMIF('库存（子SKU）'!$C:$C,$A30,'库存（子SKU）'!AC:AC)</f>
        <v>1.63</v>
      </c>
      <c r="AB30">
        <f>SUMIF('库存（子SKU）'!$C:$C,$A30,'库存（子SKU）'!AD:AD)</f>
        <v>1.79</v>
      </c>
      <c r="AC30">
        <f>SUMIF('库存（子SKU）'!$C:$C,$A30,'库存（子SKU）'!AE:AE)</f>
        <v>1.17</v>
      </c>
      <c r="AD30" s="23">
        <f t="shared" si="2"/>
        <v>0.188332839798638</v>
      </c>
      <c r="AE30" s="23" t="str">
        <f t="shared" si="3"/>
        <v>无销量广告费为1.63</v>
      </c>
      <c r="AF30" s="23" t="str">
        <f t="shared" si="4"/>
        <v>无销量广告费为1.79</v>
      </c>
      <c r="AG30" s="23">
        <f t="shared" si="5"/>
        <v>0.0461948474977791</v>
      </c>
      <c r="AH30">
        <f>SUMIF('库存（子SKU）'!$C:$C,$A30,'库存（子SKU）'!AJ:AJ)</f>
        <v>11</v>
      </c>
      <c r="AI30">
        <f>SUMIF('库存（子SKU）'!$C:$C,$A30,'库存（子SKU）'!AK:AK)</f>
        <v>15</v>
      </c>
      <c r="AJ30">
        <f>SUMIF('库存（子SKU）'!$C:$C,$A30,'库存（子SKU）'!AL:AL)</f>
        <v>13</v>
      </c>
      <c r="AK30">
        <f>SUMIF('库存（子SKU）'!$C:$C,$A30,'库存（子SKU）'!AM:AM)</f>
        <v>16</v>
      </c>
      <c r="AL30" s="23">
        <f t="shared" si="6"/>
        <v>0.0909090909090909</v>
      </c>
      <c r="AM30" s="23">
        <f t="shared" si="7"/>
        <v>0</v>
      </c>
      <c r="AN30" s="23">
        <f t="shared" si="8"/>
        <v>0</v>
      </c>
      <c r="AO30" s="23">
        <f t="shared" si="9"/>
        <v>0.1875</v>
      </c>
      <c r="AP30" s="8">
        <f t="shared" si="10"/>
        <v>0.142857142857143</v>
      </c>
      <c r="AQ30" s="8">
        <f t="shared" si="11"/>
        <v>8.57142857142857</v>
      </c>
      <c r="AR30" s="8">
        <f t="shared" si="12"/>
        <v>120.428571428571</v>
      </c>
      <c r="AS30">
        <f t="shared" si="13"/>
        <v>903</v>
      </c>
      <c r="AT30" s="25">
        <f>IFERROR(时间!$B$4+AS30,"上周无销量")</f>
        <v>44221</v>
      </c>
    </row>
    <row r="31" spans="1:46">
      <c r="A31" t="s">
        <v>431</v>
      </c>
      <c r="B31" s="6">
        <f>SUMIF('库存（子SKU）'!$C:$C,$A31,'库存（子SKU）'!D:D)</f>
        <v>3</v>
      </c>
      <c r="C31" s="6">
        <f>SUMIF('库存（子SKU）'!$C:$C,$A31,'库存（子SKU）'!E:E)</f>
        <v>4</v>
      </c>
      <c r="D31" s="6">
        <f>SUMIF('库存（子SKU）'!$C:$C,$A31,'库存（子SKU）'!F:F)</f>
        <v>9</v>
      </c>
      <c r="E31" s="6">
        <f>SUMIF('库存（子SKU）'!$C:$C,$A31,'库存（子SKU）'!G:G)</f>
        <v>10</v>
      </c>
      <c r="F31" s="7">
        <v>8.52769230769231</v>
      </c>
      <c r="G31">
        <f>SUMIF('库存（子SKU）'!$C:$C,$A31,'库存（子SKU）'!I:I)</f>
        <v>307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307</v>
      </c>
      <c r="L31">
        <f>SUMIF('库存（子SKU）'!$C:$C,$A31,'库存（子SKU）'!N:N)</f>
        <v>1</v>
      </c>
      <c r="M31">
        <f>SUMIF('库存（子SKU）'!$C:$C,$A31,'库存（子SKU）'!O:O)</f>
        <v>293</v>
      </c>
      <c r="N31">
        <f>SUMIF('库存（子SKU）'!$C:$C,$A31,'库存（子SKU）'!P:P)</f>
        <v>11119</v>
      </c>
      <c r="O31">
        <f>SUMIF('库存（子SKU）'!$C:$C,$A31,'库存（子SKU）'!Q:Q)</f>
        <v>11032</v>
      </c>
      <c r="P31">
        <f>SUMIF('库存（子SKU）'!$C:$C,$A31,'库存（子SKU）'!R:R)</f>
        <v>5087</v>
      </c>
      <c r="Q31">
        <f>SUMIF('库存（子SKU）'!$C:$C,$A31,'库存（子SKU）'!S:S)</f>
        <v>3450</v>
      </c>
      <c r="R31">
        <f>SUMIF('库存（子SKU）'!$C:$C,$A31,'库存（子SKU）'!T:T)</f>
        <v>30</v>
      </c>
      <c r="S31">
        <f>SUMIF('库存（子SKU）'!$C:$C,$A31,'库存（子SKU）'!U:U)</f>
        <v>34</v>
      </c>
      <c r="T31">
        <f>SUMIF('库存（子SKU）'!$C:$C,$A31,'库存（子SKU）'!V:V)</f>
        <v>34</v>
      </c>
      <c r="U31">
        <f>SUMIF('库存（子SKU）'!$C:$C,$A31,'库存（子SKU）'!W:W)</f>
        <v>10</v>
      </c>
      <c r="V31" s="23">
        <f t="shared" si="15"/>
        <v>0.00269808436010433</v>
      </c>
      <c r="W31" s="23">
        <f t="shared" si="16"/>
        <v>0.00308194343727339</v>
      </c>
      <c r="X31" s="23">
        <f t="shared" si="17"/>
        <v>0.00668370355808925</v>
      </c>
      <c r="Y31" s="23">
        <f t="shared" si="18"/>
        <v>0.00289855072463768</v>
      </c>
      <c r="Z31">
        <f>SUMIF('库存（子SKU）'!$C:$C,$A31,'库存（子SKU）'!AB:AB)</f>
        <v>10.83</v>
      </c>
      <c r="AA31">
        <f>SUMIF('库存（子SKU）'!$C:$C,$A31,'库存（子SKU）'!AC:AC)</f>
        <v>10.68</v>
      </c>
      <c r="AB31">
        <f>SUMIF('库存（子SKU）'!$C:$C,$A31,'库存（子SKU）'!AD:AD)</f>
        <v>8.9</v>
      </c>
      <c r="AC31">
        <f>SUMIF('库存（子SKU）'!$C:$C,$A31,'库存（子SKU）'!AE:AE)</f>
        <v>3.3</v>
      </c>
      <c r="AD31" s="23">
        <f t="shared" si="2"/>
        <v>0.423326718383547</v>
      </c>
      <c r="AE31" s="23">
        <f t="shared" si="3"/>
        <v>0.313097600577305</v>
      </c>
      <c r="AF31" s="23">
        <f t="shared" si="4"/>
        <v>0.115962074287891</v>
      </c>
      <c r="AG31" s="23">
        <f t="shared" si="5"/>
        <v>0.0386974562511275</v>
      </c>
      <c r="AH31">
        <f>SUMIF('库存（子SKU）'!$C:$C,$A31,'库存（子SKU）'!AJ:AJ)</f>
        <v>72</v>
      </c>
      <c r="AI31">
        <f>SUMIF('库存（子SKU）'!$C:$C,$A31,'库存（子SKU）'!AK:AK)</f>
        <v>53</v>
      </c>
      <c r="AJ31">
        <f>SUMIF('库存（子SKU）'!$C:$C,$A31,'库存（子SKU）'!AL:AL)</f>
        <v>48</v>
      </c>
      <c r="AK31">
        <f>SUMIF('库存（子SKU）'!$C:$C,$A31,'库存（子SKU）'!AM:AM)</f>
        <v>48</v>
      </c>
      <c r="AL31" s="23">
        <f t="shared" si="6"/>
        <v>0.0416666666666667</v>
      </c>
      <c r="AM31" s="23">
        <f t="shared" si="7"/>
        <v>0.0754716981132075</v>
      </c>
      <c r="AN31" s="23">
        <f t="shared" si="8"/>
        <v>0.1875</v>
      </c>
      <c r="AO31" s="23">
        <f t="shared" si="9"/>
        <v>0.208333333333333</v>
      </c>
      <c r="AP31" s="8">
        <f t="shared" si="10"/>
        <v>0.428571428571429</v>
      </c>
      <c r="AQ31" s="8">
        <f t="shared" si="11"/>
        <v>25.7142857142857</v>
      </c>
      <c r="AR31" s="8">
        <f t="shared" si="12"/>
        <v>281.285714285714</v>
      </c>
      <c r="AS31">
        <f t="shared" si="13"/>
        <v>716</v>
      </c>
      <c r="AT31" s="25">
        <f>IFERROR(时间!$B$4+AS31,"上周无销量")</f>
        <v>44034</v>
      </c>
    </row>
    <row r="32" spans="1:46">
      <c r="A32" t="s">
        <v>463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42</v>
      </c>
      <c r="Q32">
        <f>SUMIF('库存（子SKU）'!$C:$C,$A32,'库存（子SKU）'!S:S)</f>
        <v>144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>
        <f t="shared" si="17"/>
        <v>0</v>
      </c>
      <c r="Y32" s="23">
        <f t="shared" si="18"/>
        <v>0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11</v>
      </c>
      <c r="AI32">
        <f>SUMIF('库存（子SKU）'!$C:$C,$A32,'库存（子SKU）'!AK:AK)</f>
        <v>6</v>
      </c>
      <c r="AJ32">
        <f>SUMIF('库存（子SKU）'!$C:$C,$A32,'库存（子SKU）'!AL:AL)</f>
        <v>16</v>
      </c>
      <c r="AK32">
        <f>SUMIF('库存（子SKU）'!$C:$C,$A32,'库存（子SKU）'!AM:AM)</f>
        <v>6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468</v>
      </c>
      <c r="B33" s="6">
        <f>SUMIF('库存（子SKU）'!$C:$C,$A33,'库存（子SKU）'!D:D)</f>
        <v>0</v>
      </c>
      <c r="C33" s="6">
        <f>SUMIF('库存（子SKU）'!$C:$C,$A33,'库存（子SKU）'!E:E)</f>
        <v>2</v>
      </c>
      <c r="D33" s="6">
        <f>SUMIF('库存（子SKU）'!$C:$C,$A33,'库存（子SKU）'!F:F)</f>
        <v>0</v>
      </c>
      <c r="E33" s="6">
        <f>SUMIF('库存（子SKU）'!$C:$C,$A33,'库存（子SKU）'!G:G)</f>
        <v>2</v>
      </c>
      <c r="F33" s="7">
        <v>13.9</v>
      </c>
      <c r="G33">
        <f>SUMIF('库存（子SKU）'!$C:$C,$A33,'库存（子SKU）'!I:I)</f>
        <v>57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57</v>
      </c>
      <c r="L33">
        <f>SUMIF('库存（子SKU）'!$C:$C,$A33,'库存（子SKU）'!N:N)</f>
        <v>0</v>
      </c>
      <c r="M33">
        <f>SUMIF('库存（子SKU）'!$C:$C,$A33,'库存（子SKU）'!O:O)</f>
        <v>56</v>
      </c>
      <c r="N33">
        <f>SUMIF('库存（子SKU）'!$C:$C,$A33,'库存（子SKU）'!P:P)</f>
        <v>15184</v>
      </c>
      <c r="O33">
        <f>SUMIF('库存（子SKU）'!$C:$C,$A33,'库存（子SKU）'!Q:Q)</f>
        <v>15731</v>
      </c>
      <c r="P33">
        <f>SUMIF('库存（子SKU）'!$C:$C,$A33,'库存（子SKU）'!R:R)</f>
        <v>19613</v>
      </c>
      <c r="Q33">
        <f>SUMIF('库存（子SKU）'!$C:$C,$A33,'库存（子SKU）'!S:S)</f>
        <v>6613</v>
      </c>
      <c r="R33">
        <f>SUMIF('库存（子SKU）'!$C:$C,$A33,'库存（子SKU）'!T:T)</f>
        <v>139</v>
      </c>
      <c r="S33">
        <f>SUMIF('库存（子SKU）'!$C:$C,$A33,'库存（子SKU）'!U:U)</f>
        <v>134</v>
      </c>
      <c r="T33">
        <f>SUMIF('库存（子SKU）'!$C:$C,$A33,'库存（子SKU）'!V:V)</f>
        <v>123</v>
      </c>
      <c r="U33">
        <f>SUMIF('库存（子SKU）'!$C:$C,$A33,'库存（子SKU）'!W:W)</f>
        <v>47</v>
      </c>
      <c r="V33" s="23">
        <f t="shared" si="15"/>
        <v>0.00915437302423604</v>
      </c>
      <c r="W33" s="23">
        <f t="shared" si="16"/>
        <v>0.00851821244676117</v>
      </c>
      <c r="X33" s="23">
        <f t="shared" si="17"/>
        <v>0.00627135063478305</v>
      </c>
      <c r="Y33" s="23">
        <f t="shared" si="18"/>
        <v>0.00710721306517466</v>
      </c>
      <c r="Z33">
        <f>SUMIF('库存（子SKU）'!$C:$C,$A33,'库存（子SKU）'!AB:AB)</f>
        <v>51.39</v>
      </c>
      <c r="AA33">
        <f>SUMIF('库存（子SKU）'!$C:$C,$A33,'库存（子SKU）'!AC:AC)</f>
        <v>50.98</v>
      </c>
      <c r="AB33">
        <f>SUMIF('库存（子SKU）'!$C:$C,$A33,'库存（子SKU）'!AD:AD)</f>
        <v>48.78</v>
      </c>
      <c r="AC33">
        <f>SUMIF('库存（子SKU）'!$C:$C,$A33,'库存（子SKU）'!AE:AE)</f>
        <v>16.13</v>
      </c>
      <c r="AD33" s="23" t="str">
        <f t="shared" si="2"/>
        <v>无销量广告费为51.39</v>
      </c>
      <c r="AE33" s="23">
        <f t="shared" si="3"/>
        <v>1.83381294964029</v>
      </c>
      <c r="AF33" s="23" t="str">
        <f t="shared" si="4"/>
        <v>无销量广告费为48.78</v>
      </c>
      <c r="AG33" s="23">
        <f t="shared" si="5"/>
        <v>0.580215827338129</v>
      </c>
      <c r="AH33">
        <f>SUMIF('库存（子SKU）'!$C:$C,$A33,'库存（子SKU）'!AJ:AJ)</f>
        <v>133</v>
      </c>
      <c r="AI33">
        <f>SUMIF('库存（子SKU）'!$C:$C,$A33,'库存（子SKU）'!AK:AK)</f>
        <v>66</v>
      </c>
      <c r="AJ33">
        <f>SUMIF('库存（子SKU）'!$C:$C,$A33,'库存（子SKU）'!AL:AL)</f>
        <v>89</v>
      </c>
      <c r="AK33">
        <f>SUMIF('库存（子SKU）'!$C:$C,$A33,'库存（子SKU）'!AM:AM)</f>
        <v>63</v>
      </c>
      <c r="AL33" s="23">
        <f t="shared" si="6"/>
        <v>0</v>
      </c>
      <c r="AM33" s="23">
        <f t="shared" si="7"/>
        <v>0.0303030303030303</v>
      </c>
      <c r="AN33" s="23">
        <f t="shared" si="8"/>
        <v>0</v>
      </c>
      <c r="AO33" s="23">
        <f t="shared" si="9"/>
        <v>0.0317460317460317</v>
      </c>
      <c r="AP33" s="8">
        <f t="shared" si="10"/>
        <v>0</v>
      </c>
      <c r="AQ33" s="8">
        <f t="shared" si="11"/>
        <v>0</v>
      </c>
      <c r="AR33" s="8">
        <f t="shared" si="12"/>
        <v>57</v>
      </c>
      <c r="AS33" t="str">
        <f t="shared" si="13"/>
        <v>库存为57</v>
      </c>
      <c r="AT33" s="25" t="str">
        <f>IFERROR(时间!$B$4+AS33,"上周无销量")</f>
        <v>上周无销量</v>
      </c>
    </row>
    <row r="34" spans="1:46">
      <c r="A34" t="s">
        <v>515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1</v>
      </c>
      <c r="F34" s="7">
        <v>9.48</v>
      </c>
      <c r="G34">
        <f>SUMIF('库存（子SKU）'!$C:$C,$A34,'库存（子SKU）'!I:I)</f>
        <v>189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189</v>
      </c>
      <c r="L34">
        <f>SUMIF('库存（子SKU）'!$C:$C,$A34,'库存（子SKU）'!N:N)</f>
        <v>0</v>
      </c>
      <c r="M34">
        <f>SUMIF('库存（子SKU）'!$C:$C,$A34,'库存（子SKU）'!O:O)</f>
        <v>189</v>
      </c>
      <c r="N34">
        <f>SUMIF('库存（子SKU）'!$C:$C,$A34,'库存（子SKU）'!P:P)</f>
        <v>3148</v>
      </c>
      <c r="O34">
        <f>SUMIF('库存（子SKU）'!$C:$C,$A34,'库存（子SKU）'!Q:Q)</f>
        <v>4111</v>
      </c>
      <c r="P34">
        <f>SUMIF('库存（子SKU）'!$C:$C,$A34,'库存（子SKU）'!R:R)</f>
        <v>2874</v>
      </c>
      <c r="Q34">
        <f>SUMIF('库存（子SKU）'!$C:$C,$A34,'库存（子SKU）'!S:S)</f>
        <v>1253</v>
      </c>
      <c r="R34">
        <f>SUMIF('库存（子SKU）'!$C:$C,$A34,'库存（子SKU）'!T:T)</f>
        <v>20</v>
      </c>
      <c r="S34">
        <f>SUMIF('库存（子SKU）'!$C:$C,$A34,'库存（子SKU）'!U:U)</f>
        <v>26</v>
      </c>
      <c r="T34">
        <f>SUMIF('库存（子SKU）'!$C:$C,$A34,'库存（子SKU）'!V:V)</f>
        <v>14</v>
      </c>
      <c r="U34">
        <f>SUMIF('库存（子SKU）'!$C:$C,$A34,'库存（子SKU）'!W:W)</f>
        <v>7</v>
      </c>
      <c r="V34" s="23">
        <f t="shared" si="15"/>
        <v>0.00635324015247776</v>
      </c>
      <c r="W34" s="23">
        <f t="shared" si="16"/>
        <v>0.00632449525662856</v>
      </c>
      <c r="X34" s="23">
        <f t="shared" si="17"/>
        <v>0.00487125956854558</v>
      </c>
      <c r="Y34" s="23">
        <f t="shared" si="18"/>
        <v>0.00558659217877095</v>
      </c>
      <c r="Z34">
        <f>SUMIF('库存（子SKU）'!$C:$C,$A34,'库存（子SKU）'!AB:AB)</f>
        <v>8.38</v>
      </c>
      <c r="AA34">
        <f>SUMIF('库存（子SKU）'!$C:$C,$A34,'库存（子SKU）'!AC:AC)</f>
        <v>10.48</v>
      </c>
      <c r="AB34">
        <f>SUMIF('库存（子SKU）'!$C:$C,$A34,'库存（子SKU）'!AD:AD)</f>
        <v>5.22</v>
      </c>
      <c r="AC34">
        <f>SUMIF('库存（子SKU）'!$C:$C,$A34,'库存（子SKU）'!AE:AE)</f>
        <v>2.86</v>
      </c>
      <c r="AD34" s="23" t="str">
        <f t="shared" si="2"/>
        <v>无销量广告费为8.38</v>
      </c>
      <c r="AE34" s="23" t="str">
        <f t="shared" si="3"/>
        <v>无销量广告费为10.48</v>
      </c>
      <c r="AF34" s="23" t="str">
        <f t="shared" si="4"/>
        <v>无销量广告费为5.22</v>
      </c>
      <c r="AG34" s="23">
        <f t="shared" si="5"/>
        <v>0.30168776371308</v>
      </c>
      <c r="AH34">
        <f>SUMIF('库存（子SKU）'!$C:$C,$A34,'库存（子SKU）'!AJ:AJ)</f>
        <v>13</v>
      </c>
      <c r="AI34">
        <f>SUMIF('库存（子SKU）'!$C:$C,$A34,'库存（子SKU）'!AK:AK)</f>
        <v>22</v>
      </c>
      <c r="AJ34">
        <f>SUMIF('库存（子SKU）'!$C:$C,$A34,'库存（子SKU）'!AL:AL)</f>
        <v>17</v>
      </c>
      <c r="AK34">
        <f>SUMIF('库存（子SKU）'!$C:$C,$A34,'库存（子SKU）'!AM:AM)</f>
        <v>28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0.0357142857142857</v>
      </c>
      <c r="AP34" s="8">
        <f t="shared" si="10"/>
        <v>0</v>
      </c>
      <c r="AQ34" s="8">
        <f t="shared" si="11"/>
        <v>0</v>
      </c>
      <c r="AR34" s="8">
        <f t="shared" si="12"/>
        <v>189</v>
      </c>
      <c r="AS34" t="str">
        <f t="shared" si="13"/>
        <v>库存为189</v>
      </c>
      <c r="AT34" s="25" t="str">
        <f>IFERROR(时间!$B$4+AS34,"上周无销量")</f>
        <v>上周无销量</v>
      </c>
    </row>
    <row r="35" spans="1:46">
      <c r="A35" t="s">
        <v>530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2315</v>
      </c>
      <c r="O35">
        <f>SUMIF('库存（子SKU）'!$C:$C,$A35,'库存（子SKU）'!Q:Q)</f>
        <v>2284</v>
      </c>
      <c r="P35">
        <f>SUMIF('库存（子SKU）'!$C:$C,$A35,'库存（子SKU）'!R:R)</f>
        <v>2181</v>
      </c>
      <c r="Q35">
        <f>SUMIF('库存（子SKU）'!$C:$C,$A35,'库存（子SKU）'!S:S)</f>
        <v>418</v>
      </c>
      <c r="R35">
        <f>SUMIF('库存（子SKU）'!$C:$C,$A35,'库存（子SKU）'!T:T)</f>
        <v>9</v>
      </c>
      <c r="S35">
        <f>SUMIF('库存（子SKU）'!$C:$C,$A35,'库存（子SKU）'!U:U)</f>
        <v>8</v>
      </c>
      <c r="T35">
        <f>SUMIF('库存（子SKU）'!$C:$C,$A35,'库存（子SKU）'!V:V)</f>
        <v>16</v>
      </c>
      <c r="U35">
        <f>SUMIF('库存（子SKU）'!$C:$C,$A35,'库存（子SKU）'!W:W)</f>
        <v>2</v>
      </c>
      <c r="V35" s="23">
        <f t="shared" si="15"/>
        <v>0.00388768898488121</v>
      </c>
      <c r="W35" s="23">
        <f t="shared" si="16"/>
        <v>0.00350262697022767</v>
      </c>
      <c r="X35" s="23">
        <f t="shared" si="17"/>
        <v>0.0073360843649702</v>
      </c>
      <c r="Y35" s="23">
        <f t="shared" si="18"/>
        <v>0.00478468899521531</v>
      </c>
      <c r="Z35">
        <f>SUMIF('库存（子SKU）'!$C:$C,$A35,'库存（子SKU）'!AB:AB)</f>
        <v>3.28</v>
      </c>
      <c r="AA35">
        <f>SUMIF('库存（子SKU）'!$C:$C,$A35,'库存（子SKU）'!AC:AC)</f>
        <v>1.92</v>
      </c>
      <c r="AB35">
        <f>SUMIF('库存（子SKU）'!$C:$C,$A35,'库存（子SKU）'!AD:AD)</f>
        <v>4.89</v>
      </c>
      <c r="AC35">
        <f>SUMIF('库存（子SKU）'!$C:$C,$A35,'库存（子SKU）'!AE:AE)</f>
        <v>0.75</v>
      </c>
      <c r="AD35" s="23" t="str">
        <f t="shared" si="2"/>
        <v>无销量广告费为3.28</v>
      </c>
      <c r="AE35" s="23" t="str">
        <f t="shared" si="3"/>
        <v>无销量广告费为1.92</v>
      </c>
      <c r="AF35" s="23" t="str">
        <f t="shared" si="4"/>
        <v>无销量广告费为4.89</v>
      </c>
      <c r="AG35" s="23" t="str">
        <f t="shared" si="5"/>
        <v>无销量广告费为0.75</v>
      </c>
      <c r="AH35">
        <f>SUMIF('库存（子SKU）'!$C:$C,$A35,'库存（子SKU）'!AJ:AJ)</f>
        <v>7</v>
      </c>
      <c r="AI35">
        <f>SUMIF('库存（子SKU）'!$C:$C,$A35,'库存（子SKU）'!AK:AK)</f>
        <v>11</v>
      </c>
      <c r="AJ35">
        <f>SUMIF('库存（子SKU）'!$C:$C,$A35,'库存（子SKU）'!AL:AL)</f>
        <v>4</v>
      </c>
      <c r="AK35">
        <f>SUMIF('库存（子SKU）'!$C:$C,$A35,'库存（子SKU）'!AM:AM)</f>
        <v>8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540</v>
      </c>
      <c r="B36" s="6">
        <f>SUMIF('库存（子SKU）'!$C:$C,$A36,'库存（子SKU）'!D:D)</f>
        <v>2</v>
      </c>
      <c r="C36" s="6">
        <f>SUMIF('库存（子SKU）'!$C:$C,$A36,'库存（子SKU）'!E:E)</f>
        <v>2</v>
      </c>
      <c r="D36" s="6">
        <f>SUMIF('库存（子SKU）'!$C:$C,$A36,'库存（子SKU）'!F:F)</f>
        <v>0</v>
      </c>
      <c r="E36" s="6">
        <f>SUMIF('库存（子SKU）'!$C:$C,$A36,'库存（子SKU）'!G:G)</f>
        <v>1</v>
      </c>
      <c r="F36" s="7">
        <v>11.478</v>
      </c>
      <c r="G36">
        <f>SUMIF('库存（子SKU）'!$C:$C,$A36,'库存（子SKU）'!I:I)</f>
        <v>467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467</v>
      </c>
      <c r="L36">
        <f>SUMIF('库存（子SKU）'!$C:$C,$A36,'库存（子SKU）'!N:N)</f>
        <v>0</v>
      </c>
      <c r="M36">
        <f>SUMIF('库存（子SKU）'!$C:$C,$A36,'库存（子SKU）'!O:O)</f>
        <v>467</v>
      </c>
      <c r="N36">
        <f>SUMIF('库存（子SKU）'!$C:$C,$A36,'库存（子SKU）'!P:P)</f>
        <v>38951</v>
      </c>
      <c r="O36">
        <f>SUMIF('库存（子SKU）'!$C:$C,$A36,'库存（子SKU）'!Q:Q)</f>
        <v>33504</v>
      </c>
      <c r="P36">
        <f>SUMIF('库存（子SKU）'!$C:$C,$A36,'库存（子SKU）'!R:R)</f>
        <v>13777</v>
      </c>
      <c r="Q36">
        <f>SUMIF('库存（子SKU）'!$C:$C,$A36,'库存（子SKU）'!S:S)</f>
        <v>2507</v>
      </c>
      <c r="R36">
        <f>SUMIF('库存（子SKU）'!$C:$C,$A36,'库存（子SKU）'!T:T)</f>
        <v>108</v>
      </c>
      <c r="S36">
        <f>SUMIF('库存（子SKU）'!$C:$C,$A36,'库存（子SKU）'!U:U)</f>
        <v>69</v>
      </c>
      <c r="T36">
        <f>SUMIF('库存（子SKU）'!$C:$C,$A36,'库存（子SKU）'!V:V)</f>
        <v>26</v>
      </c>
      <c r="U36">
        <f>SUMIF('库存（子SKU）'!$C:$C,$A36,'库存（子SKU）'!W:W)</f>
        <v>14</v>
      </c>
      <c r="V36" s="23">
        <f t="shared" si="15"/>
        <v>0.00277271443608636</v>
      </c>
      <c r="W36" s="23">
        <f t="shared" si="16"/>
        <v>0.00205945558739255</v>
      </c>
      <c r="X36" s="23">
        <f t="shared" si="17"/>
        <v>0.00188720330986427</v>
      </c>
      <c r="Y36" s="23">
        <f t="shared" si="18"/>
        <v>0.00558436378141205</v>
      </c>
      <c r="Z36">
        <f>SUMIF('库存（子SKU）'!$C:$C,$A36,'库存（子SKU）'!AB:AB)</f>
        <v>27.34</v>
      </c>
      <c r="AA36">
        <f>SUMIF('库存（子SKU）'!$C:$C,$A36,'库存（子SKU）'!AC:AC)</f>
        <v>20.4</v>
      </c>
      <c r="AB36">
        <f>SUMIF('库存（子SKU）'!$C:$C,$A36,'库存（子SKU）'!AD:AD)</f>
        <v>6.18</v>
      </c>
      <c r="AC36">
        <f>SUMIF('库存（子SKU）'!$C:$C,$A36,'库存（子SKU）'!AE:AE)</f>
        <v>2.96</v>
      </c>
      <c r="AD36" s="23">
        <f t="shared" si="2"/>
        <v>1.19097403728873</v>
      </c>
      <c r="AE36" s="23">
        <f t="shared" si="3"/>
        <v>0.888656560376372</v>
      </c>
      <c r="AF36" s="23" t="str">
        <f t="shared" si="4"/>
        <v>无销量广告费为6.18</v>
      </c>
      <c r="AG36" s="23">
        <f t="shared" si="5"/>
        <v>0.257884648893535</v>
      </c>
      <c r="AH36">
        <f>SUMIF('库存（子SKU）'!$C:$C,$A36,'库存（子SKU）'!AJ:AJ)</f>
        <v>88</v>
      </c>
      <c r="AI36">
        <f>SUMIF('库存（子SKU）'!$C:$C,$A36,'库存（子SKU）'!AK:AK)</f>
        <v>99</v>
      </c>
      <c r="AJ36">
        <f>SUMIF('库存（子SKU）'!$C:$C,$A36,'库存（子SKU）'!AL:AL)</f>
        <v>25</v>
      </c>
      <c r="AK36">
        <f>SUMIF('库存（子SKU）'!$C:$C,$A36,'库存（子SKU）'!AM:AM)</f>
        <v>24</v>
      </c>
      <c r="AL36" s="23">
        <f t="shared" si="6"/>
        <v>0.0227272727272727</v>
      </c>
      <c r="AM36" s="23">
        <f t="shared" si="7"/>
        <v>0.0202020202020202</v>
      </c>
      <c r="AN36" s="23">
        <f t="shared" si="8"/>
        <v>0</v>
      </c>
      <c r="AO36" s="23">
        <f t="shared" si="9"/>
        <v>0.0416666666666667</v>
      </c>
      <c r="AP36" s="8">
        <f t="shared" si="10"/>
        <v>0.285714285714286</v>
      </c>
      <c r="AQ36" s="8">
        <f t="shared" si="11"/>
        <v>17.1428571428571</v>
      </c>
      <c r="AR36" s="8">
        <f t="shared" si="12"/>
        <v>449.857142857143</v>
      </c>
      <c r="AS36">
        <f t="shared" si="13"/>
        <v>1634</v>
      </c>
      <c r="AT36" s="25">
        <f>IFERROR(时间!$B$4+AS36,"上周无销量")</f>
        <v>44952</v>
      </c>
    </row>
    <row r="37" spans="1:46">
      <c r="A37" t="s">
        <v>587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1731</v>
      </c>
      <c r="O37">
        <f>SUMIF('库存（子SKU）'!$C:$C,$A37,'库存（子SKU）'!Q:Q)</f>
        <v>1744</v>
      </c>
      <c r="P37">
        <f>SUMIF('库存（子SKU）'!$C:$C,$A37,'库存（子SKU）'!R:R)</f>
        <v>2107</v>
      </c>
      <c r="Q37">
        <f>SUMIF('库存（子SKU）'!$C:$C,$A37,'库存（子SKU）'!S:S)</f>
        <v>606</v>
      </c>
      <c r="R37">
        <f>SUMIF('库存（子SKU）'!$C:$C,$A37,'库存（子SKU）'!T:T)</f>
        <v>16</v>
      </c>
      <c r="S37">
        <f>SUMIF('库存（子SKU）'!$C:$C,$A37,'库存（子SKU）'!U:U)</f>
        <v>9</v>
      </c>
      <c r="T37">
        <f>SUMIF('库存（子SKU）'!$C:$C,$A37,'库存（子SKU）'!V:V)</f>
        <v>6</v>
      </c>
      <c r="U37">
        <f>SUMIF('库存（子SKU）'!$C:$C,$A37,'库存（子SKU）'!W:W)</f>
        <v>2</v>
      </c>
      <c r="V37" s="23">
        <f t="shared" si="15"/>
        <v>0.00924321201617562</v>
      </c>
      <c r="W37" s="23">
        <f t="shared" si="16"/>
        <v>0.0051605504587156</v>
      </c>
      <c r="X37" s="23">
        <f t="shared" si="17"/>
        <v>0.00284765068818225</v>
      </c>
      <c r="Y37" s="23">
        <f t="shared" si="18"/>
        <v>0.0033003300330033</v>
      </c>
      <c r="Z37">
        <f>SUMIF('库存（子SKU）'!$C:$C,$A37,'库存（子SKU）'!AB:AB)</f>
        <v>5.59</v>
      </c>
      <c r="AA37">
        <f>SUMIF('库存（子SKU）'!$C:$C,$A37,'库存（子SKU）'!AC:AC)</f>
        <v>3.39</v>
      </c>
      <c r="AB37">
        <f>SUMIF('库存（子SKU）'!$C:$C,$A37,'库存（子SKU）'!AD:AD)</f>
        <v>1.94</v>
      </c>
      <c r="AC37">
        <f>SUMIF('库存（子SKU）'!$C:$C,$A37,'库存（子SKU）'!AE:AE)</f>
        <v>0.93</v>
      </c>
      <c r="AD37" s="23" t="str">
        <f t="shared" si="2"/>
        <v>无销量广告费为5.59</v>
      </c>
      <c r="AE37" s="23" t="str">
        <f t="shared" si="3"/>
        <v>无销量广告费为3.39</v>
      </c>
      <c r="AF37" s="23" t="str">
        <f t="shared" si="4"/>
        <v>无销量广告费为1.94</v>
      </c>
      <c r="AG37" s="23" t="str">
        <f t="shared" si="5"/>
        <v>无销量广告费为0.93</v>
      </c>
      <c r="AH37">
        <f>SUMIF('库存（子SKU）'!$C:$C,$A37,'库存（子SKU）'!AJ:AJ)</f>
        <v>7</v>
      </c>
      <c r="AI37">
        <f>SUMIF('库存（子SKU）'!$C:$C,$A37,'库存（子SKU）'!AK:AK)</f>
        <v>11</v>
      </c>
      <c r="AJ37">
        <f>SUMIF('库存（子SKU）'!$C:$C,$A37,'库存（子SKU）'!AL:AL)</f>
        <v>7</v>
      </c>
      <c r="AK37">
        <f>SUMIF('库存（子SKU）'!$C:$C,$A37,'库存（子SKU）'!AM:AM)</f>
        <v>7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596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150</v>
      </c>
      <c r="O38">
        <f>SUMIF('库存（子SKU）'!$C:$C,$A38,'库存（子SKU）'!Q:Q)</f>
        <v>147</v>
      </c>
      <c r="P38">
        <f>SUMIF('库存（子SKU）'!$C:$C,$A38,'库存（子SKU）'!R:R)</f>
        <v>185</v>
      </c>
      <c r="Q38">
        <f>SUMIF('库存（子SKU）'!$C:$C,$A38,'库存（子SKU）'!S:S)</f>
        <v>21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2</v>
      </c>
      <c r="U38">
        <f>SUMIF('库存（子SKU）'!$C:$C,$A38,'库存（子SKU）'!W:W)</f>
        <v>0</v>
      </c>
      <c r="V38" s="23">
        <f t="shared" si="15"/>
        <v>0</v>
      </c>
      <c r="W38" s="23">
        <f t="shared" si="16"/>
        <v>0</v>
      </c>
      <c r="X38" s="23">
        <f t="shared" si="17"/>
        <v>0.0108108108108108</v>
      </c>
      <c r="Y38" s="23">
        <f t="shared" si="18"/>
        <v>0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0.7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>无销量广告费为0.7</v>
      </c>
      <c r="AG38" s="23" t="str">
        <f t="shared" si="5"/>
        <v/>
      </c>
      <c r="AH38">
        <f>SUMIF('库存（子SKU）'!$C:$C,$A38,'库存（子SKU）'!AJ:AJ)</f>
        <v>2</v>
      </c>
      <c r="AI38">
        <f>SUMIF('库存（子SKU）'!$C:$C,$A38,'库存（子SKU）'!AK:AK)</f>
        <v>5</v>
      </c>
      <c r="AJ38">
        <f>SUMIF('库存（子SKU）'!$C:$C,$A38,'库存（子SKU）'!AL:AL)</f>
        <v>3</v>
      </c>
      <c r="AK38">
        <f>SUMIF('库存（子SKU）'!$C:$C,$A38,'库存（子SKU）'!AM:AM)</f>
        <v>9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601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604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9</v>
      </c>
      <c r="AI40">
        <f>SUMIF('库存（子SKU）'!$C:$C,$A40,'库存（子SKU）'!AK:AK)</f>
        <v>4</v>
      </c>
      <c r="AJ40">
        <f>SUMIF('库存（子SKU）'!$C:$C,$A40,'库存（子SKU）'!AL:AL)</f>
        <v>6</v>
      </c>
      <c r="AK40">
        <f>SUMIF('库存（子SKU）'!$C:$C,$A40,'库存（子SKU）'!AM:AM)</f>
        <v>3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3</v>
      </c>
      <c r="AS40" t="str">
        <f t="shared" si="13"/>
        <v>库存为3</v>
      </c>
      <c r="AT40" s="25" t="str">
        <f>IFERROR(时间!$B$4+AS40,"上周无销量")</f>
        <v>上周无销量</v>
      </c>
    </row>
    <row r="41" spans="1:46">
      <c r="A41" t="s">
        <v>611</v>
      </c>
      <c r="B41" s="6">
        <f>SUMIF('库存（子SKU）'!$C:$C,$A41,'库存（子SKU）'!D:D)</f>
        <v>1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>
        <v>5.63</v>
      </c>
      <c r="G41">
        <f>SUMIF('库存（子SKU）'!$C:$C,$A41,'库存（子SKU）'!I:I)</f>
        <v>14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14</v>
      </c>
      <c r="L41">
        <f>SUMIF('库存（子SKU）'!$C:$C,$A41,'库存（子SKU）'!N:N)</f>
        <v>0</v>
      </c>
      <c r="M41">
        <f>SUMIF('库存（子SKU）'!$C:$C,$A41,'库存（子SKU）'!O:O)</f>
        <v>14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>
        <f t="shared" si="2"/>
        <v>0</v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20</v>
      </c>
      <c r="AJ41">
        <f>SUMIF('库存（子SKU）'!$C:$C,$A41,'库存（子SKU）'!AL:AL)</f>
        <v>23</v>
      </c>
      <c r="AK41">
        <f>SUMIF('库存（子SKU）'!$C:$C,$A41,'库存（子SKU）'!AM:AM)</f>
        <v>29</v>
      </c>
      <c r="AL41" s="23">
        <f t="shared" si="6"/>
        <v>0.05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0.142857142857143</v>
      </c>
      <c r="AQ41" s="8">
        <f t="shared" si="11"/>
        <v>8.57142857142857</v>
      </c>
      <c r="AR41" s="8">
        <f t="shared" si="12"/>
        <v>5.42857142857143</v>
      </c>
      <c r="AS41">
        <f t="shared" si="13"/>
        <v>98</v>
      </c>
      <c r="AT41" s="25">
        <f>IFERROR(时间!$B$4+AS41,"上周无销量")</f>
        <v>43416</v>
      </c>
    </row>
    <row r="42" spans="1:46">
      <c r="A42" t="s">
        <v>636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7</v>
      </c>
      <c r="AI42">
        <f>SUMIF('库存（子SKU）'!$C:$C,$A42,'库存（子SKU）'!AK:AK)</f>
        <v>8</v>
      </c>
      <c r="AJ42">
        <f>SUMIF('库存（子SKU）'!$C:$C,$A42,'库存（子SKU）'!AL:AL)</f>
        <v>5</v>
      </c>
      <c r="AK42">
        <f>SUMIF('库存（子SKU）'!$C:$C,$A42,'库存（子SKU）'!AM:AM)</f>
        <v>8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643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1</v>
      </c>
      <c r="F43" s="7">
        <v>4.99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>
        <f t="shared" si="5"/>
        <v>0</v>
      </c>
      <c r="AH43">
        <f>SUMIF('库存（子SKU）'!$C:$C,$A43,'库存（子SKU）'!AJ:AJ)</f>
        <v>13</v>
      </c>
      <c r="AI43">
        <f>SUMIF('库存（子SKU）'!$C:$C,$A43,'库存（子SKU）'!AK:AK)</f>
        <v>6</v>
      </c>
      <c r="AJ43">
        <f>SUMIF('库存（子SKU）'!$C:$C,$A43,'库存（子SKU）'!AL:AL)</f>
        <v>4</v>
      </c>
      <c r="AK43">
        <f>SUMIF('库存（子SKU）'!$C:$C,$A43,'库存（子SKU）'!AM:AM)</f>
        <v>0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7</v>
      </c>
      <c r="AS43" t="str">
        <f t="shared" si="13"/>
        <v>库存为7</v>
      </c>
      <c r="AT43" s="25" t="str">
        <f>IFERROR(时间!$B$4+AS43,"上周无销量")</f>
        <v>上周无销量</v>
      </c>
    </row>
    <row r="44" spans="1:46">
      <c r="A44" t="s">
        <v>660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10</v>
      </c>
      <c r="N44">
        <f>SUMIF('库存（子SKU）'!$C:$C,$A44,'库存（子SKU）'!P:P)</f>
        <v>333</v>
      </c>
      <c r="O44">
        <f>SUMIF('库存（子SKU）'!$C:$C,$A44,'库存（子SKU）'!Q:Q)</f>
        <v>343</v>
      </c>
      <c r="P44">
        <f>SUMIF('库存（子SKU）'!$C:$C,$A44,'库存（子SKU）'!R:R)</f>
        <v>340</v>
      </c>
      <c r="Q44">
        <f>SUMIF('库存（子SKU）'!$C:$C,$A44,'库存（子SKU）'!S:S)</f>
        <v>225</v>
      </c>
      <c r="R44">
        <f>SUMIF('库存（子SKU）'!$C:$C,$A44,'库存（子SKU）'!T:T)</f>
        <v>1</v>
      </c>
      <c r="S44">
        <f>SUMIF('库存（子SKU）'!$C:$C,$A44,'库存（子SKU）'!U:U)</f>
        <v>2</v>
      </c>
      <c r="T44">
        <f>SUMIF('库存（子SKU）'!$C:$C,$A44,'库存（子SKU）'!V:V)</f>
        <v>2</v>
      </c>
      <c r="U44">
        <f>SUMIF('库存（子SKU）'!$C:$C,$A44,'库存（子SKU）'!W:W)</f>
        <v>0</v>
      </c>
      <c r="V44" s="23">
        <f t="shared" si="15"/>
        <v>0.003003003003003</v>
      </c>
      <c r="W44" s="23">
        <f t="shared" si="16"/>
        <v>0.00583090379008746</v>
      </c>
      <c r="X44" s="23">
        <f t="shared" si="17"/>
        <v>0.00588235294117647</v>
      </c>
      <c r="Y44" s="23">
        <f t="shared" si="18"/>
        <v>0</v>
      </c>
      <c r="Z44">
        <f>SUMIF('库存（子SKU）'!$C:$C,$A44,'库存（子SKU）'!AB:AB)</f>
        <v>0.35</v>
      </c>
      <c r="AA44">
        <f>SUMIF('库存（子SKU）'!$C:$C,$A44,'库存（子SKU）'!AC:AC)</f>
        <v>0.48</v>
      </c>
      <c r="AB44">
        <f>SUMIF('库存（子SKU）'!$C:$C,$A44,'库存（子SKU）'!AD:AD)</f>
        <v>0.66</v>
      </c>
      <c r="AC44">
        <f>SUMIF('库存（子SKU）'!$C:$C,$A44,'库存（子SKU）'!AE:AE)</f>
        <v>0</v>
      </c>
      <c r="AD44" s="23" t="str">
        <f t="shared" si="2"/>
        <v>无销量广告费为0.35</v>
      </c>
      <c r="AE44" s="23" t="str">
        <f t="shared" si="3"/>
        <v>无销量广告费为0.48</v>
      </c>
      <c r="AF44" s="23" t="str">
        <f t="shared" si="4"/>
        <v>无销量广告费为0.66</v>
      </c>
      <c r="AG44" s="23" t="str">
        <f t="shared" si="5"/>
        <v/>
      </c>
      <c r="AH44">
        <f>SUMIF('库存（子SKU）'!$C:$C,$A44,'库存（子SKU）'!AJ:AJ)</f>
        <v>3</v>
      </c>
      <c r="AI44">
        <f>SUMIF('库存（子SKU）'!$C:$C,$A44,'库存（子SKU）'!AK:AK)</f>
        <v>4</v>
      </c>
      <c r="AJ44">
        <f>SUMIF('库存（子SKU）'!$C:$C,$A44,'库存（子SKU）'!AL:AL)</f>
        <v>6</v>
      </c>
      <c r="AK44">
        <f>SUMIF('库存（子SKU）'!$C:$C,$A44,'库存（子SKU）'!AM:AM)</f>
        <v>3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674</v>
      </c>
      <c r="B45" s="6">
        <f>SUMIF('库存（子SKU）'!$C:$C,$A45,'库存（子SKU）'!D:D)</f>
        <v>1</v>
      </c>
      <c r="C45" s="6">
        <f>SUMIF('库存（子SKU）'!$C:$C,$A45,'库存（子SKU）'!E:E)</f>
        <v>1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>
        <v>12.9</v>
      </c>
      <c r="G45">
        <f>SUMIF('库存（子SKU）'!$C:$C,$A45,'库存（子SKU）'!I:I)</f>
        <v>21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21</v>
      </c>
      <c r="L45">
        <f>SUMIF('库存（子SKU）'!$C:$C,$A45,'库存（子SKU）'!N:N)</f>
        <v>0</v>
      </c>
      <c r="M45">
        <f>SUMIF('库存（子SKU）'!$C:$C,$A45,'库存（子SKU）'!O:O)</f>
        <v>22</v>
      </c>
      <c r="N45">
        <f>SUMIF('库存（子SKU）'!$C:$C,$A45,'库存（子SKU）'!P:P)</f>
        <v>9250</v>
      </c>
      <c r="O45">
        <f>SUMIF('库存（子SKU）'!$C:$C,$A45,'库存（子SKU）'!Q:Q)</f>
        <v>9828</v>
      </c>
      <c r="P45">
        <f>SUMIF('库存（子SKU）'!$C:$C,$A45,'库存（子SKU）'!R:R)</f>
        <v>13853</v>
      </c>
      <c r="Q45">
        <f>SUMIF('库存（子SKU）'!$C:$C,$A45,'库存（子SKU）'!S:S)</f>
        <v>2802</v>
      </c>
      <c r="R45">
        <f>SUMIF('库存（子SKU）'!$C:$C,$A45,'库存（子SKU）'!T:T)</f>
        <v>16</v>
      </c>
      <c r="S45">
        <f>SUMIF('库存（子SKU）'!$C:$C,$A45,'库存（子SKU）'!U:U)</f>
        <v>16</v>
      </c>
      <c r="T45">
        <f>SUMIF('库存（子SKU）'!$C:$C,$A45,'库存（子SKU）'!V:V)</f>
        <v>17</v>
      </c>
      <c r="U45">
        <f>SUMIF('库存（子SKU）'!$C:$C,$A45,'库存（子SKU）'!W:W)</f>
        <v>7</v>
      </c>
      <c r="V45" s="23">
        <f t="shared" si="15"/>
        <v>0.00172972972972973</v>
      </c>
      <c r="W45" s="23">
        <f t="shared" si="16"/>
        <v>0.00162800162800163</v>
      </c>
      <c r="X45" s="23">
        <f t="shared" si="17"/>
        <v>0.00122717100988955</v>
      </c>
      <c r="Y45" s="23">
        <f t="shared" si="18"/>
        <v>0.00249821556031406</v>
      </c>
      <c r="Z45">
        <f>SUMIF('库存（子SKU）'!$C:$C,$A45,'库存（子SKU）'!AB:AB)</f>
        <v>5.17</v>
      </c>
      <c r="AA45">
        <f>SUMIF('库存（子SKU）'!$C:$C,$A45,'库存（子SKU）'!AC:AC)</f>
        <v>5.53</v>
      </c>
      <c r="AB45">
        <f>SUMIF('库存（子SKU）'!$C:$C,$A45,'库存（子SKU）'!AD:AD)</f>
        <v>5.39</v>
      </c>
      <c r="AC45">
        <f>SUMIF('库存（子SKU）'!$C:$C,$A45,'库存（子SKU）'!AE:AE)</f>
        <v>2.23</v>
      </c>
      <c r="AD45" s="23">
        <f t="shared" si="2"/>
        <v>0.40077519379845</v>
      </c>
      <c r="AE45" s="23">
        <f t="shared" si="3"/>
        <v>0.428682170542636</v>
      </c>
      <c r="AF45" s="23" t="str">
        <f t="shared" si="4"/>
        <v>无销量广告费为5.39</v>
      </c>
      <c r="AG45" s="23" t="str">
        <f t="shared" si="5"/>
        <v>无销量广告费为2.23</v>
      </c>
      <c r="AH45">
        <f>SUMIF('库存（子SKU）'!$C:$C,$A45,'库存（子SKU）'!AJ:AJ)</f>
        <v>19</v>
      </c>
      <c r="AI45">
        <f>SUMIF('库存（子SKU）'!$C:$C,$A45,'库存（子SKU）'!AK:AK)</f>
        <v>27</v>
      </c>
      <c r="AJ45">
        <f>SUMIF('库存（子SKU）'!$C:$C,$A45,'库存（子SKU）'!AL:AL)</f>
        <v>28</v>
      </c>
      <c r="AK45">
        <f>SUMIF('库存（子SKU）'!$C:$C,$A45,'库存（子SKU）'!AM:AM)</f>
        <v>29</v>
      </c>
      <c r="AL45" s="23">
        <f t="shared" si="6"/>
        <v>0.0526315789473684</v>
      </c>
      <c r="AM45" s="23">
        <f t="shared" si="7"/>
        <v>0.037037037037037</v>
      </c>
      <c r="AN45" s="23">
        <f t="shared" si="8"/>
        <v>0</v>
      </c>
      <c r="AO45" s="23">
        <f t="shared" si="9"/>
        <v>0</v>
      </c>
      <c r="AP45" s="8">
        <f t="shared" si="10"/>
        <v>0.142857142857143</v>
      </c>
      <c r="AQ45" s="8">
        <f t="shared" si="11"/>
        <v>8.57142857142857</v>
      </c>
      <c r="AR45" s="8">
        <f t="shared" si="12"/>
        <v>12.4285714285714</v>
      </c>
      <c r="AS45">
        <f t="shared" si="13"/>
        <v>147</v>
      </c>
      <c r="AT45" s="25">
        <f>IFERROR(时间!$B$4+AS45,"上周无销量")</f>
        <v>43465</v>
      </c>
    </row>
    <row r="46" spans="1:46">
      <c r="A46" t="s">
        <v>700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4</v>
      </c>
      <c r="AJ46">
        <f>SUMIF('库存（子SKU）'!$C:$C,$A46,'库存（子SKU）'!AL:AL)</f>
        <v>2</v>
      </c>
      <c r="AK46">
        <f>SUMIF('库存（子SKU）'!$C:$C,$A46,'库存（子SKU）'!AM:AM)</f>
        <v>8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707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10</v>
      </c>
      <c r="L47">
        <f>SUMIF('库存（子SKU）'!$C:$C,$A47,'库存（子SKU）'!N:N)</f>
        <v>0</v>
      </c>
      <c r="M47">
        <f>SUMIF('库存（子SKU）'!$C:$C,$A47,'库存（子SKU）'!O:O)</f>
        <v>10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14</v>
      </c>
      <c r="AI47">
        <f>SUMIF('库存（子SKU）'!$C:$C,$A47,'库存（子SKU）'!AK:AK)</f>
        <v>13</v>
      </c>
      <c r="AJ47">
        <f>SUMIF('库存（子SKU）'!$C:$C,$A47,'库存（子SKU）'!AL:AL)</f>
        <v>7</v>
      </c>
      <c r="AK47">
        <f>SUMIF('库存（子SKU）'!$C:$C,$A47,'库存（子SKU）'!AM:AM)</f>
        <v>22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10</v>
      </c>
      <c r="AS47" t="str">
        <f t="shared" si="13"/>
        <v>库存为10</v>
      </c>
      <c r="AT47" s="25" t="str">
        <f>IFERROR(时间!$B$4+AS47,"上周无销量")</f>
        <v>上周无销量</v>
      </c>
    </row>
    <row r="48" spans="1:46">
      <c r="A48" t="s">
        <v>724</v>
      </c>
      <c r="B48" s="6">
        <f>SUMIF('库存（子SKU）'!$C:$C,$A48,'库存（子SKU）'!D:D)</f>
        <v>2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1</v>
      </c>
      <c r="F48" s="7">
        <v>10.82</v>
      </c>
      <c r="G48">
        <f>SUMIF('库存（子SKU）'!$C:$C,$A48,'库存（子SKU）'!I:I)</f>
        <v>38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38</v>
      </c>
      <c r="L48">
        <f>SUMIF('库存（子SKU）'!$C:$C,$A48,'库存（子SKU）'!N:N)</f>
        <v>1</v>
      </c>
      <c r="M48">
        <f>SUMIF('库存（子SKU）'!$C:$C,$A48,'库存（子SKU）'!O:O)</f>
        <v>38</v>
      </c>
      <c r="N48">
        <f>SUMIF('库存（子SKU）'!$C:$C,$A48,'库存（子SKU）'!P:P)</f>
        <v>25</v>
      </c>
      <c r="O48">
        <f>SUMIF('库存（子SKU）'!$C:$C,$A48,'库存（子SKU）'!Q:Q)</f>
        <v>22</v>
      </c>
      <c r="P48">
        <f>SUMIF('库存（子SKU）'!$C:$C,$A48,'库存（子SKU）'!R:R)</f>
        <v>36</v>
      </c>
      <c r="Q48">
        <f>SUMIF('库存（子SKU）'!$C:$C,$A48,'库存（子SKU）'!S:S)</f>
        <v>78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2</v>
      </c>
      <c r="U48">
        <f>SUMIF('库存（子SKU）'!$C:$C,$A48,'库存（子SKU）'!W:W)</f>
        <v>0</v>
      </c>
      <c r="V48" s="23">
        <f t="shared" si="15"/>
        <v>0</v>
      </c>
      <c r="W48" s="23">
        <f t="shared" si="16"/>
        <v>0</v>
      </c>
      <c r="X48" s="23">
        <f t="shared" si="17"/>
        <v>0.0555555555555556</v>
      </c>
      <c r="Y48" s="23">
        <f t="shared" si="18"/>
        <v>0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0.07</v>
      </c>
      <c r="AC48">
        <f>SUMIF('库存（子SKU）'!$C:$C,$A48,'库存（子SKU）'!AE:AE)</f>
        <v>0</v>
      </c>
      <c r="AD48" s="23">
        <f t="shared" si="2"/>
        <v>0</v>
      </c>
      <c r="AE48" s="23" t="str">
        <f t="shared" si="3"/>
        <v/>
      </c>
      <c r="AF48" s="23" t="str">
        <f t="shared" si="4"/>
        <v>无销量广告费为0.07</v>
      </c>
      <c r="AG48" s="23">
        <f t="shared" si="5"/>
        <v>0</v>
      </c>
      <c r="AH48">
        <f>SUMIF('库存（子SKU）'!$C:$C,$A48,'库存（子SKU）'!AJ:AJ)</f>
        <v>26</v>
      </c>
      <c r="AI48">
        <f>SUMIF('库存（子SKU）'!$C:$C,$A48,'库存（子SKU）'!AK:AK)</f>
        <v>20</v>
      </c>
      <c r="AJ48">
        <f>SUMIF('库存（子SKU）'!$C:$C,$A48,'库存（子SKU）'!AL:AL)</f>
        <v>29</v>
      </c>
      <c r="AK48">
        <f>SUMIF('库存（子SKU）'!$C:$C,$A48,'库存（子SKU）'!AM:AM)</f>
        <v>33</v>
      </c>
      <c r="AL48" s="23">
        <f t="shared" si="6"/>
        <v>0.0769230769230769</v>
      </c>
      <c r="AM48" s="23">
        <f t="shared" si="7"/>
        <v>0</v>
      </c>
      <c r="AN48" s="23">
        <f t="shared" si="8"/>
        <v>0</v>
      </c>
      <c r="AO48" s="23">
        <f t="shared" si="9"/>
        <v>0.0303030303030303</v>
      </c>
      <c r="AP48" s="8">
        <f t="shared" si="10"/>
        <v>0.285714285714286</v>
      </c>
      <c r="AQ48" s="8">
        <f t="shared" si="11"/>
        <v>17.1428571428571</v>
      </c>
      <c r="AR48" s="8">
        <f t="shared" si="12"/>
        <v>20.8571428571429</v>
      </c>
      <c r="AS48">
        <f t="shared" si="13"/>
        <v>133</v>
      </c>
      <c r="AT48" s="25">
        <f>IFERROR(时间!$B$4+AS48,"上周无销量")</f>
        <v>43451</v>
      </c>
    </row>
    <row r="49" spans="1:46">
      <c r="A49" t="s">
        <v>755</v>
      </c>
      <c r="B49" s="6">
        <f>SUMIF('库存（子SKU）'!$C:$C,$A49,'库存（子SKU）'!D:D)</f>
        <v>2</v>
      </c>
      <c r="C49" s="6">
        <f>SUMIF('库存（子SKU）'!$C:$C,$A49,'库存（子SKU）'!E:E)</f>
        <v>0</v>
      </c>
      <c r="D49" s="6">
        <f>SUMIF('库存（子SKU）'!$C:$C,$A49,'库存（子SKU）'!F:F)</f>
        <v>2</v>
      </c>
      <c r="E49" s="6">
        <f>SUMIF('库存（子SKU）'!$C:$C,$A49,'库存（子SKU）'!G:G)</f>
        <v>0</v>
      </c>
      <c r="F49" s="7">
        <v>13.9</v>
      </c>
      <c r="G49">
        <f>SUMIF('库存（子SKU）'!$C:$C,$A49,'库存（子SKU）'!I:I)</f>
        <v>283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283</v>
      </c>
      <c r="L49">
        <f>SUMIF('库存（子SKU）'!$C:$C,$A49,'库存（子SKU）'!N:N)</f>
        <v>0</v>
      </c>
      <c r="M49">
        <f>SUMIF('库存（子SKU）'!$C:$C,$A49,'库存（子SKU）'!O:O)</f>
        <v>285</v>
      </c>
      <c r="N49">
        <f>SUMIF('库存（子SKU）'!$C:$C,$A49,'库存（子SKU）'!P:P)</f>
        <v>7071</v>
      </c>
      <c r="O49">
        <f>SUMIF('库存（子SKU）'!$C:$C,$A49,'库存（子SKU）'!Q:Q)</f>
        <v>6928</v>
      </c>
      <c r="P49">
        <f>SUMIF('库存（子SKU）'!$C:$C,$A49,'库存（子SKU）'!R:R)</f>
        <v>7370</v>
      </c>
      <c r="Q49">
        <f>SUMIF('库存（子SKU）'!$C:$C,$A49,'库存（子SKU）'!S:S)</f>
        <v>3021</v>
      </c>
      <c r="R49">
        <f>SUMIF('库存（子SKU）'!$C:$C,$A49,'库存（子SKU）'!T:T)</f>
        <v>31</v>
      </c>
      <c r="S49">
        <f>SUMIF('库存（子SKU）'!$C:$C,$A49,'库存（子SKU）'!U:U)</f>
        <v>25</v>
      </c>
      <c r="T49">
        <f>SUMIF('库存（子SKU）'!$C:$C,$A49,'库存（子SKU）'!V:V)</f>
        <v>25</v>
      </c>
      <c r="U49">
        <f>SUMIF('库存（子SKU）'!$C:$C,$A49,'库存（子SKU）'!W:W)</f>
        <v>19</v>
      </c>
      <c r="V49" s="23">
        <f t="shared" si="15"/>
        <v>0.00438410408711639</v>
      </c>
      <c r="W49" s="23">
        <f t="shared" si="16"/>
        <v>0.00360854503464203</v>
      </c>
      <c r="X49" s="23">
        <f t="shared" si="17"/>
        <v>0.0033921302578019</v>
      </c>
      <c r="Y49" s="23">
        <f t="shared" si="18"/>
        <v>0.00628930817610063</v>
      </c>
      <c r="Z49">
        <f>SUMIF('库存（子SKU）'!$C:$C,$A49,'库存（子SKU）'!AB:AB)</f>
        <v>12.13</v>
      </c>
      <c r="AA49">
        <f>SUMIF('库存（子SKU）'!$C:$C,$A49,'库存（子SKU）'!AC:AC)</f>
        <v>8.82</v>
      </c>
      <c r="AB49">
        <f>SUMIF('库存（子SKU）'!$C:$C,$A49,'库存（子SKU）'!AD:AD)</f>
        <v>8.14</v>
      </c>
      <c r="AC49">
        <f>SUMIF('库存（子SKU）'!$C:$C,$A49,'库存（子SKU）'!AE:AE)</f>
        <v>6.04</v>
      </c>
      <c r="AD49" s="23">
        <f t="shared" si="2"/>
        <v>0.436330935251798</v>
      </c>
      <c r="AE49" s="23" t="str">
        <f t="shared" si="3"/>
        <v>无销量广告费为8.82</v>
      </c>
      <c r="AF49" s="23">
        <f t="shared" si="4"/>
        <v>0.292805755395683</v>
      </c>
      <c r="AG49" s="23" t="str">
        <f t="shared" si="5"/>
        <v>无销量广告费为6.04</v>
      </c>
      <c r="AH49">
        <f>SUMIF('库存（子SKU）'!$C:$C,$A49,'库存（子SKU）'!AJ:AJ)</f>
        <v>78</v>
      </c>
      <c r="AI49">
        <f>SUMIF('库存（子SKU）'!$C:$C,$A49,'库存（子SKU）'!AK:AK)</f>
        <v>77</v>
      </c>
      <c r="AJ49">
        <f>SUMIF('库存（子SKU）'!$C:$C,$A49,'库存（子SKU）'!AL:AL)</f>
        <v>76</v>
      </c>
      <c r="AK49">
        <f>SUMIF('库存（子SKU）'!$C:$C,$A49,'库存（子SKU）'!AM:AM)</f>
        <v>83</v>
      </c>
      <c r="AL49" s="23">
        <f t="shared" si="6"/>
        <v>0.0256410256410256</v>
      </c>
      <c r="AM49" s="23">
        <f t="shared" si="7"/>
        <v>0</v>
      </c>
      <c r="AN49" s="23">
        <f t="shared" si="8"/>
        <v>0.0263157894736842</v>
      </c>
      <c r="AO49" s="23">
        <f t="shared" si="9"/>
        <v>0</v>
      </c>
      <c r="AP49" s="8">
        <f t="shared" si="10"/>
        <v>0.285714285714286</v>
      </c>
      <c r="AQ49" s="8">
        <f t="shared" si="11"/>
        <v>17.1428571428571</v>
      </c>
      <c r="AR49" s="8">
        <f t="shared" si="12"/>
        <v>265.857142857143</v>
      </c>
      <c r="AS49">
        <f t="shared" si="13"/>
        <v>990</v>
      </c>
      <c r="AT49" s="25">
        <f>IFERROR(时间!$B$4+AS49,"上周无销量")</f>
        <v>44308</v>
      </c>
    </row>
    <row r="50" spans="1:46">
      <c r="A50" t="s">
        <v>830</v>
      </c>
      <c r="B50" s="6">
        <f>SUMIF('库存（子SKU）'!$C:$C,$A50,'库存（子SKU）'!D:D)</f>
        <v>1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>
        <v>12.9</v>
      </c>
      <c r="G50">
        <f>SUMIF('库存（子SKU）'!$C:$C,$A50,'库存（子SKU）'!I:I)</f>
        <v>21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21</v>
      </c>
      <c r="L50">
        <f>SUMIF('库存（子SKU）'!$C:$C,$A50,'库存（子SKU）'!N:N)</f>
        <v>0</v>
      </c>
      <c r="M50">
        <f>SUMIF('库存（子SKU）'!$C:$C,$A50,'库存（子SKU）'!O:O)</f>
        <v>21</v>
      </c>
      <c r="N50">
        <f>SUMIF('库存（子SKU）'!$C:$C,$A50,'库存（子SKU）'!P:P)</f>
        <v>2039</v>
      </c>
      <c r="O50">
        <f>SUMIF('库存（子SKU）'!$C:$C,$A50,'库存（子SKU）'!Q:Q)</f>
        <v>2203</v>
      </c>
      <c r="P50">
        <f>SUMIF('库存（子SKU）'!$C:$C,$A50,'库存（子SKU）'!R:R)</f>
        <v>3412</v>
      </c>
      <c r="Q50">
        <f>SUMIF('库存（子SKU）'!$C:$C,$A50,'库存（子SKU）'!S:S)</f>
        <v>720</v>
      </c>
      <c r="R50">
        <f>SUMIF('库存（子SKU）'!$C:$C,$A50,'库存（子SKU）'!T:T)</f>
        <v>13</v>
      </c>
      <c r="S50">
        <f>SUMIF('库存（子SKU）'!$C:$C,$A50,'库存（子SKU）'!U:U)</f>
        <v>9</v>
      </c>
      <c r="T50">
        <f>SUMIF('库存（子SKU）'!$C:$C,$A50,'库存（子SKU）'!V:V)</f>
        <v>9</v>
      </c>
      <c r="U50">
        <f>SUMIF('库存（子SKU）'!$C:$C,$A50,'库存（子SKU）'!W:W)</f>
        <v>6</v>
      </c>
      <c r="V50" s="23">
        <f t="shared" si="15"/>
        <v>0.00637567435017165</v>
      </c>
      <c r="W50" s="23">
        <f t="shared" si="16"/>
        <v>0.00408533817521562</v>
      </c>
      <c r="X50" s="23">
        <f t="shared" si="17"/>
        <v>0.00263774912075029</v>
      </c>
      <c r="Y50" s="23">
        <f t="shared" si="18"/>
        <v>0.00833333333333333</v>
      </c>
      <c r="Z50">
        <f>SUMIF('库存（子SKU）'!$C:$C,$A50,'库存（子SKU）'!AB:AB)</f>
        <v>2.96</v>
      </c>
      <c r="AA50">
        <f>SUMIF('库存（子SKU）'!$C:$C,$A50,'库存（子SKU）'!AC:AC)</f>
        <v>2.45</v>
      </c>
      <c r="AB50">
        <f>SUMIF('库存（子SKU）'!$C:$C,$A50,'库存（子SKU）'!AD:AD)</f>
        <v>2.75</v>
      </c>
      <c r="AC50">
        <f>SUMIF('库存（子SKU）'!$C:$C,$A50,'库存（子SKU）'!AE:AE)</f>
        <v>1.53</v>
      </c>
      <c r="AD50" s="23">
        <f t="shared" si="2"/>
        <v>0.229457364341085</v>
      </c>
      <c r="AE50" s="23" t="str">
        <f t="shared" si="3"/>
        <v>无销量广告费为2.45</v>
      </c>
      <c r="AF50" s="23" t="str">
        <f t="shared" si="4"/>
        <v>无销量广告费为2.75</v>
      </c>
      <c r="AG50" s="23" t="str">
        <f t="shared" si="5"/>
        <v>无销量广告费为1.53</v>
      </c>
      <c r="AH50">
        <f>SUMIF('库存（子SKU）'!$C:$C,$A50,'库存（子SKU）'!AJ:AJ)</f>
        <v>20</v>
      </c>
      <c r="AI50">
        <f>SUMIF('库存（子SKU）'!$C:$C,$A50,'库存（子SKU）'!AK:AK)</f>
        <v>17</v>
      </c>
      <c r="AJ50">
        <f>SUMIF('库存（子SKU）'!$C:$C,$A50,'库存（子SKU）'!AL:AL)</f>
        <v>28</v>
      </c>
      <c r="AK50">
        <f>SUMIF('库存（子SKU）'!$C:$C,$A50,'库存（子SKU）'!AM:AM)</f>
        <v>21</v>
      </c>
      <c r="AL50" s="23">
        <f t="shared" si="6"/>
        <v>0.05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0.142857142857143</v>
      </c>
      <c r="AQ50" s="8">
        <f t="shared" si="11"/>
        <v>8.57142857142857</v>
      </c>
      <c r="AR50" s="8">
        <f t="shared" si="12"/>
        <v>12.4285714285714</v>
      </c>
      <c r="AS50">
        <f t="shared" si="13"/>
        <v>147</v>
      </c>
      <c r="AT50" s="25">
        <f>IFERROR(时间!$B$4+AS50,"上周无销量")</f>
        <v>43465</v>
      </c>
    </row>
    <row r="51" spans="1:46">
      <c r="A51" t="s">
        <v>852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0</v>
      </c>
      <c r="AS51" t="str">
        <f t="shared" si="13"/>
        <v>库存为0</v>
      </c>
      <c r="AT51" s="25" t="str">
        <f>IFERROR(时间!$B$4+AS51,"上周无销量")</f>
        <v>上周无销量</v>
      </c>
    </row>
    <row r="52" spans="1:46">
      <c r="A52" t="s">
        <v>855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71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71</v>
      </c>
      <c r="L52">
        <f>SUMIF('库存（子SKU）'!$C:$C,$A52,'库存（子SKU）'!N:N)</f>
        <v>0</v>
      </c>
      <c r="M52">
        <f>SUMIF('库存（子SKU）'!$C:$C,$A52,'库存（子SKU）'!O:O)</f>
        <v>71</v>
      </c>
      <c r="N52">
        <f>SUMIF('库存（子SKU）'!$C:$C,$A52,'库存（子SKU）'!P:P)</f>
        <v>1</v>
      </c>
      <c r="O52">
        <f>SUMIF('库存（子SKU）'!$C:$C,$A52,'库存（子SKU）'!Q:Q)</f>
        <v>1</v>
      </c>
      <c r="P52">
        <f>SUMIF('库存（子SKU）'!$C:$C,$A52,'库存（子SKU）'!R:R)</f>
        <v>86</v>
      </c>
      <c r="Q52">
        <f>SUMIF('库存（子SKU）'!$C:$C,$A52,'库存（子SKU）'!S:S)</f>
        <v>501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>
        <f t="shared" si="15"/>
        <v>0</v>
      </c>
      <c r="W52" s="23">
        <f t="shared" si="16"/>
        <v>0</v>
      </c>
      <c r="X52" s="23">
        <f t="shared" si="17"/>
        <v>0</v>
      </c>
      <c r="Y52" s="23">
        <f t="shared" si="18"/>
        <v>0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2</v>
      </c>
      <c r="AI52">
        <f>SUMIF('库存（子SKU）'!$C:$C,$A52,'库存（子SKU）'!AK:AK)</f>
        <v>3</v>
      </c>
      <c r="AJ52">
        <f>SUMIF('库存（子SKU）'!$C:$C,$A52,'库存（子SKU）'!AL:AL)</f>
        <v>2</v>
      </c>
      <c r="AK52">
        <f>SUMIF('库存（子SKU）'!$C:$C,$A52,'库存（子SKU）'!AM:AM)</f>
        <v>4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71</v>
      </c>
      <c r="AS52" t="str">
        <f t="shared" si="13"/>
        <v>库存为71</v>
      </c>
      <c r="AT52" s="25" t="str">
        <f>IFERROR(时间!$B$4+AS52,"上周无销量")</f>
        <v>上周无销量</v>
      </c>
    </row>
    <row r="53" spans="1:46">
      <c r="A53" t="s">
        <v>858</v>
      </c>
      <c r="B53" s="6">
        <f>SUMIF('库存（子SKU）'!$C:$C,$A53,'库存（子SKU）'!D:D)</f>
        <v>1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v>6.99</v>
      </c>
      <c r="G53">
        <f>SUMIF('库存（子SKU）'!$C:$C,$A53,'库存（子SKU）'!I:I)</f>
        <v>56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56</v>
      </c>
      <c r="L53">
        <f>SUMIF('库存（子SKU）'!$C:$C,$A53,'库存（子SKU）'!N:N)</f>
        <v>0</v>
      </c>
      <c r="M53">
        <f>SUMIF('库存（子SKU）'!$C:$C,$A53,'库存（子SKU）'!O:O)</f>
        <v>56</v>
      </c>
      <c r="N53">
        <f>SUMIF('库存（子SKU）'!$C:$C,$A53,'库存（子SKU）'!P:P)</f>
        <v>3</v>
      </c>
      <c r="O53">
        <f>SUMIF('库存（子SKU）'!$C:$C,$A53,'库存（子SKU）'!Q:Q)</f>
        <v>3</v>
      </c>
      <c r="P53">
        <f>SUMIF('库存（子SKU）'!$C:$C,$A53,'库存（子SKU）'!R:R)</f>
        <v>60</v>
      </c>
      <c r="Q53">
        <f>SUMIF('库存（子SKU）'!$C:$C,$A53,'库存（子SKU）'!S:S)</f>
        <v>203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1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0.00492610837438424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0.8</v>
      </c>
      <c r="AD53" s="23">
        <f t="shared" si="2"/>
        <v>0</v>
      </c>
      <c r="AE53" s="23" t="str">
        <f t="shared" si="3"/>
        <v/>
      </c>
      <c r="AF53" s="23" t="str">
        <f t="shared" si="4"/>
        <v/>
      </c>
      <c r="AG53" s="23" t="str">
        <f t="shared" si="5"/>
        <v>无销量广告费为0.8</v>
      </c>
      <c r="AH53">
        <f>SUMIF('库存（子SKU）'!$C:$C,$A53,'库存（子SKU）'!AJ:AJ)</f>
        <v>2</v>
      </c>
      <c r="AI53">
        <f>SUMIF('库存（子SKU）'!$C:$C,$A53,'库存（子SKU）'!AK:AK)</f>
        <v>3</v>
      </c>
      <c r="AJ53">
        <f>SUMIF('库存（子SKU）'!$C:$C,$A53,'库存（子SKU）'!AL:AL)</f>
        <v>1</v>
      </c>
      <c r="AK53">
        <f>SUMIF('库存（子SKU）'!$C:$C,$A53,'库存（子SKU）'!AM:AM)</f>
        <v>3</v>
      </c>
      <c r="AL53" s="23">
        <f t="shared" si="6"/>
        <v>0.5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0.142857142857143</v>
      </c>
      <c r="AQ53" s="8">
        <f t="shared" si="11"/>
        <v>8.57142857142857</v>
      </c>
      <c r="AR53" s="8">
        <f t="shared" si="12"/>
        <v>47.4285714285714</v>
      </c>
      <c r="AS53">
        <f t="shared" si="13"/>
        <v>392</v>
      </c>
      <c r="AT53" s="25">
        <f>IFERROR(时间!$B$4+AS53,"上周无销量")</f>
        <v>43710</v>
      </c>
    </row>
    <row r="54" spans="1:46">
      <c r="A54" t="s">
        <v>861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33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33</v>
      </c>
      <c r="L54">
        <f>SUMIF('库存（子SKU）'!$C:$C,$A54,'库存（子SKU）'!N:N)</f>
        <v>1</v>
      </c>
      <c r="M54">
        <f>SUMIF('库存（子SKU）'!$C:$C,$A54,'库存（子SKU）'!O:O)</f>
        <v>33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152</v>
      </c>
      <c r="Q54">
        <f>SUMIF('库存（子SKU）'!$C:$C,$A54,'库存（子SKU）'!S:S)</f>
        <v>442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1</v>
      </c>
      <c r="V54" s="23" t="str">
        <f t="shared" si="15"/>
        <v/>
      </c>
      <c r="W54" s="23" t="str">
        <f t="shared" si="16"/>
        <v/>
      </c>
      <c r="X54" s="23">
        <f t="shared" si="17"/>
        <v>0</v>
      </c>
      <c r="Y54" s="23">
        <f t="shared" si="18"/>
        <v>0.00226244343891403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0.5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>无销量广告费为0.5</v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2</v>
      </c>
      <c r="AK54">
        <f>SUMIF('库存（子SKU）'!$C:$C,$A54,'库存（子SKU）'!AM:AM)</f>
        <v>4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33</v>
      </c>
      <c r="AS54" t="str">
        <f t="shared" si="13"/>
        <v>库存为33</v>
      </c>
      <c r="AT54" s="25" t="str">
        <f>IFERROR(时间!$B$4+AS54,"上周无销量")</f>
        <v>上周无销量</v>
      </c>
    </row>
    <row r="55" spans="1:46">
      <c r="A55" t="s">
        <v>864</v>
      </c>
      <c r="B55" s="6">
        <f>SUMIF('库存（子SKU）'!$C:$C,$A55,'库存（子SKU）'!D:D)</f>
        <v>0</v>
      </c>
      <c r="C55" s="6">
        <f>SUMIF('库存（子SKU）'!$C:$C,$A55,'库存（子SKU）'!E:E)</f>
        <v>2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>
        <v>6.99</v>
      </c>
      <c r="G55">
        <f>SUMIF('库存（子SKU）'!$C:$C,$A55,'库存（子SKU）'!I:I)</f>
        <v>181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1</v>
      </c>
      <c r="K55">
        <f t="shared" si="0"/>
        <v>182</v>
      </c>
      <c r="L55">
        <f>SUMIF('库存（子SKU）'!$C:$C,$A55,'库存（子SKU）'!N:N)</f>
        <v>0</v>
      </c>
      <c r="M55">
        <f>SUMIF('库存（子SKU）'!$C:$C,$A55,'库存（子SKU）'!O:O)</f>
        <v>184</v>
      </c>
      <c r="N55">
        <f>SUMIF('库存（子SKU）'!$C:$C,$A55,'库存（子SKU）'!P:P)</f>
        <v>18932</v>
      </c>
      <c r="O55">
        <f>SUMIF('库存（子SKU）'!$C:$C,$A55,'库存（子SKU）'!Q:Q)</f>
        <v>17055</v>
      </c>
      <c r="P55">
        <f>SUMIF('库存（子SKU）'!$C:$C,$A55,'库存（子SKU）'!R:R)</f>
        <v>15608</v>
      </c>
      <c r="Q55">
        <f>SUMIF('库存（子SKU）'!$C:$C,$A55,'库存（子SKU）'!S:S)</f>
        <v>15291</v>
      </c>
      <c r="R55">
        <f>SUMIF('库存（子SKU）'!$C:$C,$A55,'库存（子SKU）'!T:T)</f>
        <v>48</v>
      </c>
      <c r="S55">
        <f>SUMIF('库存（子SKU）'!$C:$C,$A55,'库存（子SKU）'!U:U)</f>
        <v>50</v>
      </c>
      <c r="T55">
        <f>SUMIF('库存（子SKU）'!$C:$C,$A55,'库存（子SKU）'!V:V)</f>
        <v>38</v>
      </c>
      <c r="U55">
        <f>SUMIF('库存（子SKU）'!$C:$C,$A55,'库存（子SKU）'!W:W)</f>
        <v>38</v>
      </c>
      <c r="V55" s="23">
        <f t="shared" si="15"/>
        <v>0.00253538981618424</v>
      </c>
      <c r="W55" s="23">
        <f t="shared" si="16"/>
        <v>0.00293169158604515</v>
      </c>
      <c r="X55" s="23">
        <f t="shared" si="17"/>
        <v>0.00243464889800103</v>
      </c>
      <c r="Y55" s="23">
        <f t="shared" si="18"/>
        <v>0.00248512196717023</v>
      </c>
      <c r="Z55">
        <f>SUMIF('库存（子SKU）'!$C:$C,$A55,'库存（子SKU）'!AB:AB)</f>
        <v>24.5</v>
      </c>
      <c r="AA55">
        <f>SUMIF('库存（子SKU）'!$C:$C,$A55,'库存（子SKU）'!AC:AC)</f>
        <v>25.45</v>
      </c>
      <c r="AB55">
        <f>SUMIF('库存（子SKU）'!$C:$C,$A55,'库存（子SKU）'!AD:AD)</f>
        <v>14.83</v>
      </c>
      <c r="AC55">
        <f>SUMIF('库存（子SKU）'!$C:$C,$A55,'库存（子SKU）'!AE:AE)</f>
        <v>12.87</v>
      </c>
      <c r="AD55" s="23" t="str">
        <f t="shared" si="2"/>
        <v>无销量广告费为24.5</v>
      </c>
      <c r="AE55" s="23">
        <f t="shared" si="3"/>
        <v>1.82045779685265</v>
      </c>
      <c r="AF55" s="23" t="str">
        <f t="shared" si="4"/>
        <v>无销量广告费为14.83</v>
      </c>
      <c r="AG55" s="23" t="str">
        <f t="shared" si="5"/>
        <v>无销量广告费为12.87</v>
      </c>
      <c r="AH55">
        <f>SUMIF('库存（子SKU）'!$C:$C,$A55,'库存（子SKU）'!AJ:AJ)</f>
        <v>44</v>
      </c>
      <c r="AI55">
        <f>SUMIF('库存（子SKU）'!$C:$C,$A55,'库存（子SKU）'!AK:AK)</f>
        <v>41</v>
      </c>
      <c r="AJ55">
        <f>SUMIF('库存（子SKU）'!$C:$C,$A55,'库存（子SKU）'!AL:AL)</f>
        <v>19</v>
      </c>
      <c r="AK55">
        <f>SUMIF('库存（子SKU）'!$C:$C,$A55,'库存（子SKU）'!AM:AM)</f>
        <v>28</v>
      </c>
      <c r="AL55" s="23">
        <f t="shared" si="6"/>
        <v>0</v>
      </c>
      <c r="AM55" s="23">
        <f t="shared" si="7"/>
        <v>0.0487804878048781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182</v>
      </c>
      <c r="AS55" t="str">
        <f t="shared" si="13"/>
        <v>库存为182</v>
      </c>
      <c r="AT55" s="25" t="str">
        <f>IFERROR(时间!$B$4+AS55,"上周无销量")</f>
        <v>上周无销量</v>
      </c>
    </row>
    <row r="56" spans="1:46">
      <c r="A56" t="s">
        <v>873</v>
      </c>
      <c r="B56" s="6">
        <f>SUMIF('库存（子SKU）'!$C:$C,$A56,'库存（子SKU）'!D:D)</f>
        <v>1</v>
      </c>
      <c r="C56" s="6">
        <f>SUMIF('库存（子SKU）'!$C:$C,$A56,'库存（子SKU）'!E:E)</f>
        <v>1</v>
      </c>
      <c r="D56" s="6">
        <f>SUMIF('库存（子SKU）'!$C:$C,$A56,'库存（子SKU）'!F:F)</f>
        <v>1</v>
      </c>
      <c r="E56" s="6">
        <f>SUMIF('库存（子SKU）'!$C:$C,$A56,'库存（子SKU）'!G:G)</f>
        <v>0</v>
      </c>
      <c r="F56" s="7">
        <v>16.99</v>
      </c>
      <c r="G56">
        <f>SUMIF('库存（子SKU）'!$C:$C,$A56,'库存（子SKU）'!I:I)</f>
        <v>20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20</v>
      </c>
      <c r="L56">
        <f>SUMIF('库存（子SKU）'!$C:$C,$A56,'库存（子SKU）'!N:N)</f>
        <v>0</v>
      </c>
      <c r="M56">
        <f>SUMIF('库存（子SKU）'!$C:$C,$A56,'库存（子SKU）'!O:O)</f>
        <v>16</v>
      </c>
      <c r="N56">
        <f>SUMIF('库存（子SKU）'!$C:$C,$A56,'库存（子SKU）'!P:P)</f>
        <v>1117</v>
      </c>
      <c r="O56">
        <f>SUMIF('库存（子SKU）'!$C:$C,$A56,'库存（子SKU）'!Q:Q)</f>
        <v>2039</v>
      </c>
      <c r="P56">
        <f>SUMIF('库存（子SKU）'!$C:$C,$A56,'库存（子SKU）'!R:R)</f>
        <v>2400</v>
      </c>
      <c r="Q56">
        <f>SUMIF('库存（子SKU）'!$C:$C,$A56,'库存（子SKU）'!S:S)</f>
        <v>704</v>
      </c>
      <c r="R56">
        <f>SUMIF('库存（子SKU）'!$C:$C,$A56,'库存（子SKU）'!T:T)</f>
        <v>3</v>
      </c>
      <c r="S56">
        <f>SUMIF('库存（子SKU）'!$C:$C,$A56,'库存（子SKU）'!U:U)</f>
        <v>5</v>
      </c>
      <c r="T56">
        <f>SUMIF('库存（子SKU）'!$C:$C,$A56,'库存（子SKU）'!V:V)</f>
        <v>4</v>
      </c>
      <c r="U56">
        <f>SUMIF('库存（子SKU）'!$C:$C,$A56,'库存（子SKU）'!W:W)</f>
        <v>3</v>
      </c>
      <c r="V56" s="23">
        <f t="shared" si="15"/>
        <v>0.0026857654431513</v>
      </c>
      <c r="W56" s="23">
        <f t="shared" si="16"/>
        <v>0.00245218244237371</v>
      </c>
      <c r="X56" s="23">
        <f t="shared" si="17"/>
        <v>0.00166666666666667</v>
      </c>
      <c r="Y56" s="23">
        <f t="shared" si="18"/>
        <v>0.00426136363636364</v>
      </c>
      <c r="Z56">
        <f>SUMIF('库存（子SKU）'!$C:$C,$A56,'库存（子SKU）'!AB:AB)</f>
        <v>0.84</v>
      </c>
      <c r="AA56">
        <f>SUMIF('库存（子SKU）'!$C:$C,$A56,'库存（子SKU）'!AC:AC)</f>
        <v>1.78</v>
      </c>
      <c r="AB56">
        <f>SUMIF('库存（子SKU）'!$C:$C,$A56,'库存（子SKU）'!AD:AD)</f>
        <v>1.27</v>
      </c>
      <c r="AC56">
        <f>SUMIF('库存（子SKU）'!$C:$C,$A56,'库存（子SKU）'!AE:AE)</f>
        <v>0.66</v>
      </c>
      <c r="AD56" s="23">
        <f t="shared" si="2"/>
        <v>0.0494408475573867</v>
      </c>
      <c r="AE56" s="23">
        <f t="shared" si="3"/>
        <v>0.104767510300177</v>
      </c>
      <c r="AF56" s="23">
        <f t="shared" si="4"/>
        <v>0.0747498528546204</v>
      </c>
      <c r="AG56" s="23" t="str">
        <f t="shared" si="5"/>
        <v>无销量广告费为0.66</v>
      </c>
      <c r="AH56">
        <f>SUMIF('库存（子SKU）'!$C:$C,$A56,'库存（子SKU）'!AJ:AJ)</f>
        <v>12</v>
      </c>
      <c r="AI56">
        <f>SUMIF('库存（子SKU）'!$C:$C,$A56,'库存（子SKU）'!AK:AK)</f>
        <v>16</v>
      </c>
      <c r="AJ56">
        <f>SUMIF('库存（子SKU）'!$C:$C,$A56,'库存（子SKU）'!AL:AL)</f>
        <v>7</v>
      </c>
      <c r="AK56">
        <f>SUMIF('库存（子SKU）'!$C:$C,$A56,'库存（子SKU）'!AM:AM)</f>
        <v>8</v>
      </c>
      <c r="AL56" s="23">
        <f t="shared" si="6"/>
        <v>0.0833333333333333</v>
      </c>
      <c r="AM56" s="23">
        <f t="shared" si="7"/>
        <v>0.0625</v>
      </c>
      <c r="AN56" s="23">
        <f t="shared" si="8"/>
        <v>0.142857142857143</v>
      </c>
      <c r="AO56" s="23">
        <f t="shared" si="9"/>
        <v>0</v>
      </c>
      <c r="AP56" s="8">
        <f t="shared" si="10"/>
        <v>0.142857142857143</v>
      </c>
      <c r="AQ56" s="8">
        <f t="shared" si="11"/>
        <v>8.57142857142857</v>
      </c>
      <c r="AR56" s="8">
        <f t="shared" si="12"/>
        <v>11.4285714285714</v>
      </c>
      <c r="AS56">
        <f t="shared" si="13"/>
        <v>140</v>
      </c>
      <c r="AT56" s="25">
        <f>IFERROR(时间!$B$4+AS56,"上周无销量")</f>
        <v>43458</v>
      </c>
    </row>
    <row r="57" spans="1:46">
      <c r="A57" t="s">
        <v>881</v>
      </c>
      <c r="B57" s="6">
        <f>SUMIF('库存（子SKU）'!$C:$C,$A57,'库存（子SKU）'!D:D)</f>
        <v>10</v>
      </c>
      <c r="C57" s="6">
        <f>SUMIF('库存（子SKU）'!$C:$C,$A57,'库存（子SKU）'!E:E)</f>
        <v>2</v>
      </c>
      <c r="D57" s="6">
        <f>SUMIF('库存（子SKU）'!$C:$C,$A57,'库存（子SKU）'!F:F)</f>
        <v>2</v>
      </c>
      <c r="E57" s="6">
        <f>SUMIF('库存（子SKU）'!$C:$C,$A57,'库存（子SKU）'!G:G)</f>
        <v>0</v>
      </c>
      <c r="F57" s="7">
        <v>16.2042857142857</v>
      </c>
      <c r="G57">
        <f>SUMIF('库存（子SKU）'!$C:$C,$A57,'库存（子SKU）'!I:I)</f>
        <v>58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58</v>
      </c>
      <c r="L57">
        <f>SUMIF('库存（子SKU）'!$C:$C,$A57,'库存（子SKU）'!N:N)</f>
        <v>0</v>
      </c>
      <c r="M57">
        <f>SUMIF('库存（子SKU）'!$C:$C,$A57,'库存（子SKU）'!O:O)</f>
        <v>60</v>
      </c>
      <c r="N57">
        <f>SUMIF('库存（子SKU）'!$C:$C,$A57,'库存（子SKU）'!P:P)</f>
        <v>24949</v>
      </c>
      <c r="O57">
        <f>SUMIF('库存（子SKU）'!$C:$C,$A57,'库存（子SKU）'!Q:Q)</f>
        <v>30326</v>
      </c>
      <c r="P57">
        <f>SUMIF('库存（子SKU）'!$C:$C,$A57,'库存（子SKU）'!R:R)</f>
        <v>33279</v>
      </c>
      <c r="Q57">
        <f>SUMIF('库存（子SKU）'!$C:$C,$A57,'库存（子SKU）'!S:S)</f>
        <v>9634</v>
      </c>
      <c r="R57">
        <f>SUMIF('库存（子SKU）'!$C:$C,$A57,'库存（子SKU）'!T:T)</f>
        <v>76</v>
      </c>
      <c r="S57">
        <f>SUMIF('库存（子SKU）'!$C:$C,$A57,'库存（子SKU）'!U:U)</f>
        <v>89</v>
      </c>
      <c r="T57">
        <f>SUMIF('库存（子SKU）'!$C:$C,$A57,'库存（子SKU）'!V:V)</f>
        <v>100</v>
      </c>
      <c r="U57">
        <f>SUMIF('库存（子SKU）'!$C:$C,$A57,'库存（子SKU）'!W:W)</f>
        <v>45</v>
      </c>
      <c r="V57" s="23">
        <f t="shared" si="15"/>
        <v>0.00304621427712534</v>
      </c>
      <c r="W57" s="23">
        <f t="shared" si="16"/>
        <v>0.00293477544021632</v>
      </c>
      <c r="X57" s="23">
        <f t="shared" si="17"/>
        <v>0.00300489798371345</v>
      </c>
      <c r="Y57" s="23">
        <f t="shared" si="18"/>
        <v>0.00467095702719535</v>
      </c>
      <c r="Z57">
        <f>SUMIF('库存（子SKU）'!$C:$C,$A57,'库存（子SKU）'!AB:AB)</f>
        <v>28.19</v>
      </c>
      <c r="AA57">
        <f>SUMIF('库存（子SKU）'!$C:$C,$A57,'库存（子SKU）'!AC:AC)</f>
        <v>34.49</v>
      </c>
      <c r="AB57">
        <f>SUMIF('库存（子SKU）'!$C:$C,$A57,'库存（子SKU）'!AD:AD)</f>
        <v>35.47</v>
      </c>
      <c r="AC57">
        <f>SUMIF('库存（子SKU）'!$C:$C,$A57,'库存（子SKU）'!AE:AE)</f>
        <v>13.7</v>
      </c>
      <c r="AD57" s="23">
        <f t="shared" si="2"/>
        <v>0.173966322842282</v>
      </c>
      <c r="AE57" s="23">
        <f t="shared" si="3"/>
        <v>1.06422463193159</v>
      </c>
      <c r="AF57" s="23">
        <f t="shared" si="4"/>
        <v>1.09446354579917</v>
      </c>
      <c r="AG57" s="23" t="str">
        <f t="shared" si="5"/>
        <v>无销量广告费为13.7</v>
      </c>
      <c r="AH57">
        <f>SUMIF('库存（子SKU）'!$C:$C,$A57,'库存（子SKU）'!AJ:AJ)</f>
        <v>92</v>
      </c>
      <c r="AI57">
        <f>SUMIF('库存（子SKU）'!$C:$C,$A57,'库存（子SKU）'!AK:AK)</f>
        <v>84</v>
      </c>
      <c r="AJ57">
        <f>SUMIF('库存（子SKU）'!$C:$C,$A57,'库存（子SKU）'!AL:AL)</f>
        <v>64</v>
      </c>
      <c r="AK57">
        <f>SUMIF('库存（子SKU）'!$C:$C,$A57,'库存（子SKU）'!AM:AM)</f>
        <v>50</v>
      </c>
      <c r="AL57" s="23">
        <f t="shared" si="6"/>
        <v>0.108695652173913</v>
      </c>
      <c r="AM57" s="23">
        <f t="shared" si="7"/>
        <v>0.0238095238095238</v>
      </c>
      <c r="AN57" s="23">
        <f t="shared" si="8"/>
        <v>0.03125</v>
      </c>
      <c r="AO57" s="23">
        <f t="shared" si="9"/>
        <v>0</v>
      </c>
      <c r="AP57" s="8">
        <f t="shared" si="10"/>
        <v>1.42857142857143</v>
      </c>
      <c r="AQ57" s="8">
        <f t="shared" si="11"/>
        <v>85.7142857142857</v>
      </c>
      <c r="AR57" s="8">
        <f t="shared" si="12"/>
        <v>-27.7142857142857</v>
      </c>
      <c r="AS57">
        <f t="shared" si="13"/>
        <v>40</v>
      </c>
      <c r="AT57" s="25">
        <f>IFERROR(时间!$B$4+AS57,"上周无销量")</f>
        <v>43358</v>
      </c>
    </row>
    <row r="58" spans="1:46">
      <c r="A58" t="s">
        <v>911</v>
      </c>
      <c r="B58" s="6">
        <f>SUMIF('库存（子SKU）'!$C:$C,$A58,'库存（子SKU）'!D:D)</f>
        <v>14</v>
      </c>
      <c r="C58" s="6">
        <f>SUMIF('库存（子SKU）'!$C:$C,$A58,'库存（子SKU）'!E:E)</f>
        <v>9</v>
      </c>
      <c r="D58" s="6">
        <f>SUMIF('库存（子SKU）'!$C:$C,$A58,'库存（子SKU）'!F:F)</f>
        <v>13</v>
      </c>
      <c r="E58" s="6">
        <f>SUMIF('库存（子SKU）'!$C:$C,$A58,'库存（子SKU）'!G:G)</f>
        <v>0</v>
      </c>
      <c r="F58" s="7">
        <v>16.3288888888889</v>
      </c>
      <c r="G58">
        <f>SUMIF('库存（子SKU）'!$C:$C,$A58,'库存（子SKU）'!I:I)</f>
        <v>252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1</v>
      </c>
      <c r="K58">
        <f t="shared" si="0"/>
        <v>253</v>
      </c>
      <c r="L58">
        <f>SUMIF('库存（子SKU）'!$C:$C,$A58,'库存（子SKU）'!N:N)</f>
        <v>0</v>
      </c>
      <c r="M58">
        <f>SUMIF('库存（子SKU）'!$C:$C,$A58,'库存（子SKU）'!O:O)</f>
        <v>247</v>
      </c>
      <c r="N58">
        <f>SUMIF('库存（子SKU）'!$C:$C,$A58,'库存（子SKU）'!P:P)</f>
        <v>59152</v>
      </c>
      <c r="O58">
        <f>SUMIF('库存（子SKU）'!$C:$C,$A58,'库存（子SKU）'!Q:Q)</f>
        <v>55900</v>
      </c>
      <c r="P58">
        <f>SUMIF('库存（子SKU）'!$C:$C,$A58,'库存（子SKU）'!R:R)</f>
        <v>70101</v>
      </c>
      <c r="Q58">
        <f>SUMIF('库存（子SKU）'!$C:$C,$A58,'库存（子SKU）'!S:S)</f>
        <v>32705</v>
      </c>
      <c r="R58">
        <f>SUMIF('库存（子SKU）'!$C:$C,$A58,'库存（子SKU）'!T:T)</f>
        <v>182</v>
      </c>
      <c r="S58">
        <f>SUMIF('库存（子SKU）'!$C:$C,$A58,'库存（子SKU）'!U:U)</f>
        <v>169</v>
      </c>
      <c r="T58">
        <f>SUMIF('库存（子SKU）'!$C:$C,$A58,'库存（子SKU）'!V:V)</f>
        <v>188</v>
      </c>
      <c r="U58">
        <f>SUMIF('库存（子SKU）'!$C:$C,$A58,'库存（子SKU）'!W:W)</f>
        <v>90</v>
      </c>
      <c r="V58" s="23">
        <f t="shared" si="15"/>
        <v>0.00307681904246686</v>
      </c>
      <c r="W58" s="23">
        <f t="shared" si="16"/>
        <v>0.00302325581395349</v>
      </c>
      <c r="X58" s="23">
        <f t="shared" si="17"/>
        <v>0.00268184476683642</v>
      </c>
      <c r="Y58" s="23">
        <f t="shared" si="18"/>
        <v>0.0027518728023238</v>
      </c>
      <c r="Z58">
        <f>SUMIF('库存（子SKU）'!$C:$C,$A58,'库存（子SKU）'!AB:AB)</f>
        <v>68.87</v>
      </c>
      <c r="AA58">
        <f>SUMIF('库存（子SKU）'!$C:$C,$A58,'库存（子SKU）'!AC:AC)</f>
        <v>64.16</v>
      </c>
      <c r="AB58">
        <f>SUMIF('库存（子SKU）'!$C:$C,$A58,'库存（子SKU）'!AD:AD)</f>
        <v>66.21</v>
      </c>
      <c r="AC58">
        <f>SUMIF('库存（子SKU）'!$C:$C,$A58,'库存（子SKU）'!AE:AE)</f>
        <v>28.65</v>
      </c>
      <c r="AD58" s="23">
        <f t="shared" si="2"/>
        <v>0.301262734271716</v>
      </c>
      <c r="AE58" s="23">
        <f t="shared" si="3"/>
        <v>0.436581382689167</v>
      </c>
      <c r="AF58" s="23">
        <f t="shared" si="4"/>
        <v>0.311905908462794</v>
      </c>
      <c r="AG58" s="23" t="str">
        <f t="shared" si="5"/>
        <v>无销量广告费为28.65</v>
      </c>
      <c r="AH58">
        <f>SUMIF('库存（子SKU）'!$C:$C,$A58,'库存（子SKU）'!AJ:AJ)</f>
        <v>182</v>
      </c>
      <c r="AI58">
        <f>SUMIF('库存（子SKU）'!$C:$C,$A58,'库存（子SKU）'!AK:AK)</f>
        <v>195</v>
      </c>
      <c r="AJ58">
        <f>SUMIF('库存（子SKU）'!$C:$C,$A58,'库存（子SKU）'!AL:AL)</f>
        <v>111</v>
      </c>
      <c r="AK58">
        <f>SUMIF('库存（子SKU）'!$C:$C,$A58,'库存（子SKU）'!AM:AM)</f>
        <v>109</v>
      </c>
      <c r="AL58" s="23">
        <f t="shared" si="6"/>
        <v>0.0769230769230769</v>
      </c>
      <c r="AM58" s="23">
        <f t="shared" si="7"/>
        <v>0.0461538461538462</v>
      </c>
      <c r="AN58" s="23">
        <f t="shared" si="8"/>
        <v>0.117117117117117</v>
      </c>
      <c r="AO58" s="23">
        <f t="shared" si="9"/>
        <v>0</v>
      </c>
      <c r="AP58" s="8">
        <f t="shared" si="10"/>
        <v>2</v>
      </c>
      <c r="AQ58" s="8">
        <f t="shared" si="11"/>
        <v>120</v>
      </c>
      <c r="AR58" s="8">
        <f t="shared" si="12"/>
        <v>133</v>
      </c>
      <c r="AS58">
        <f t="shared" si="13"/>
        <v>126</v>
      </c>
      <c r="AT58" s="25">
        <f>IFERROR(时间!$B$4+AS58,"上周无销量")</f>
        <v>43444</v>
      </c>
    </row>
    <row r="59" spans="1:46">
      <c r="A59" t="s">
        <v>940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68</v>
      </c>
      <c r="O59">
        <f>SUMIF('库存（子SKU）'!$C:$C,$A59,'库存（子SKU）'!Q:Q)</f>
        <v>43</v>
      </c>
      <c r="P59">
        <f>SUMIF('库存（子SKU）'!$C:$C,$A59,'库存（子SKU）'!R:R)</f>
        <v>317</v>
      </c>
      <c r="Q59">
        <f>SUMIF('库存（子SKU）'!$C:$C,$A59,'库存（子SKU）'!S:S)</f>
        <v>1515</v>
      </c>
      <c r="R59">
        <f>SUMIF('库存（子SKU）'!$C:$C,$A59,'库存（子SKU）'!T:T)</f>
        <v>0</v>
      </c>
      <c r="S59">
        <f>SUMIF('库存（子SKU）'!$C:$C,$A59,'库存（子SKU）'!U:U)</f>
        <v>1</v>
      </c>
      <c r="T59">
        <f>SUMIF('库存（子SKU）'!$C:$C,$A59,'库存（子SKU）'!V:V)</f>
        <v>0</v>
      </c>
      <c r="U59">
        <f>SUMIF('库存（子SKU）'!$C:$C,$A59,'库存（子SKU）'!W:W)</f>
        <v>2</v>
      </c>
      <c r="V59" s="23">
        <f t="shared" si="15"/>
        <v>0</v>
      </c>
      <c r="W59" s="23">
        <f t="shared" si="16"/>
        <v>0.0232558139534884</v>
      </c>
      <c r="X59" s="23">
        <f t="shared" si="17"/>
        <v>0</v>
      </c>
      <c r="Y59" s="23">
        <f t="shared" si="18"/>
        <v>0.00132013201320132</v>
      </c>
      <c r="Z59">
        <f>SUMIF('库存（子SKU）'!$C:$C,$A59,'库存（子SKU）'!AB:AB)</f>
        <v>0</v>
      </c>
      <c r="AA59">
        <f>SUMIF('库存（子SKU）'!$C:$C,$A59,'库存（子SKU）'!AC:AC)</f>
        <v>0.15</v>
      </c>
      <c r="AB59">
        <f>SUMIF('库存（子SKU）'!$C:$C,$A59,'库存（子SKU）'!AD:AD)</f>
        <v>0</v>
      </c>
      <c r="AC59">
        <f>SUMIF('库存（子SKU）'!$C:$C,$A59,'库存（子SKU）'!AE:AE)</f>
        <v>0.97</v>
      </c>
      <c r="AD59" s="23" t="str">
        <f t="shared" si="2"/>
        <v/>
      </c>
      <c r="AE59" s="23" t="str">
        <f t="shared" si="3"/>
        <v>无销量广告费为0.15</v>
      </c>
      <c r="AF59" s="23" t="str">
        <f t="shared" si="4"/>
        <v/>
      </c>
      <c r="AG59" s="23" t="str">
        <f t="shared" si="5"/>
        <v>无销量广告费为0.97</v>
      </c>
      <c r="AH59">
        <f>SUMIF('库存（子SKU）'!$C:$C,$A59,'库存（子SKU）'!AJ:AJ)</f>
        <v>4</v>
      </c>
      <c r="AI59">
        <f>SUMIF('库存（子SKU）'!$C:$C,$A59,'库存（子SKU）'!AK:AK)</f>
        <v>6</v>
      </c>
      <c r="AJ59">
        <f>SUMIF('库存（子SKU）'!$C:$C,$A59,'库存（子SKU）'!AL:AL)</f>
        <v>4</v>
      </c>
      <c r="AK59">
        <f>SUMIF('库存（子SKU）'!$C:$C,$A59,'库存（子SKU）'!AM:AM)</f>
        <v>4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24</v>
      </c>
      <c r="AS59" t="str">
        <f t="shared" si="13"/>
        <v>库存为24</v>
      </c>
      <c r="AT59" s="25" t="str">
        <f>IFERROR(时间!$B$4+AS59,"上周无销量")</f>
        <v>上周无销量</v>
      </c>
    </row>
    <row r="60" spans="1:46">
      <c r="A60" t="s">
        <v>1008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1</v>
      </c>
      <c r="F60" s="7">
        <v>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25</v>
      </c>
      <c r="N60">
        <f>SUMIF('库存（子SKU）'!$C:$C,$A60,'库存（子SKU）'!P:P)</f>
        <v>2465</v>
      </c>
      <c r="O60">
        <f>SUMIF('库存（子SKU）'!$C:$C,$A60,'库存（子SKU）'!Q:Q)</f>
        <v>0</v>
      </c>
      <c r="P60">
        <f>SUMIF('库存（子SKU）'!$C:$C,$A60,'库存（子SKU）'!R:R)</f>
        <v>2</v>
      </c>
      <c r="Q60">
        <f>SUMIF('库存（子SKU）'!$C:$C,$A60,'库存（子SKU）'!S:S)</f>
        <v>13</v>
      </c>
      <c r="R60">
        <f>SUMIF('库存（子SKU）'!$C:$C,$A60,'库存（子SKU）'!T:T)</f>
        <v>11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0.00446247464503043</v>
      </c>
      <c r="W60" s="23" t="str">
        <f t="shared" si="16"/>
        <v/>
      </c>
      <c r="X60" s="23">
        <f t="shared" si="17"/>
        <v>0</v>
      </c>
      <c r="Y60" s="23">
        <f t="shared" si="18"/>
        <v>0</v>
      </c>
      <c r="Z60">
        <f>SUMIF('库存（子SKU）'!$C:$C,$A60,'库存（子SKU）'!AB:AB)</f>
        <v>5.87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>无销量广告费为5.87</v>
      </c>
      <c r="AE60" s="23" t="str">
        <f t="shared" si="3"/>
        <v/>
      </c>
      <c r="AF60" s="23" t="str">
        <f t="shared" si="4"/>
        <v/>
      </c>
      <c r="AG60" s="23">
        <f t="shared" si="5"/>
        <v>0</v>
      </c>
      <c r="AH60">
        <f>SUMIF('库存（子SKU）'!$C:$C,$A60,'库存（子SKU）'!AJ:AJ)</f>
        <v>7</v>
      </c>
      <c r="AI60">
        <f>SUMIF('库存（子SKU）'!$C:$C,$A60,'库存（子SKU）'!AK:AK)</f>
        <v>2</v>
      </c>
      <c r="AJ60">
        <f>SUMIF('库存（子SKU）'!$C:$C,$A60,'库存（子SKU）'!AL:AL)</f>
        <v>4</v>
      </c>
      <c r="AK60">
        <f>SUMIF('库存（子SKU）'!$C:$C,$A60,'库存（子SKU）'!AM:AM)</f>
        <v>6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0.166666666666667</v>
      </c>
      <c r="AP60" s="8">
        <f t="shared" si="10"/>
        <v>0</v>
      </c>
      <c r="AQ60" s="8">
        <f t="shared" si="11"/>
        <v>0</v>
      </c>
      <c r="AR60" s="8">
        <f t="shared" si="12"/>
        <v>25</v>
      </c>
      <c r="AS60" t="str">
        <f t="shared" si="13"/>
        <v>库存为25</v>
      </c>
      <c r="AT60" s="25" t="str">
        <f>IFERROR(时间!$B$4+AS60,"上周无销量")</f>
        <v>上周无销量</v>
      </c>
    </row>
    <row r="61" spans="1:46">
      <c r="A61" t="s">
        <v>1012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46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46</v>
      </c>
      <c r="L61">
        <f>SUMIF('库存（子SKU）'!$C:$C,$A61,'库存（子SKU）'!N:N)</f>
        <v>0</v>
      </c>
      <c r="M61">
        <f>SUMIF('库存（子SKU）'!$C:$C,$A61,'库存（子SKU）'!O:O)</f>
        <v>46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27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0</v>
      </c>
      <c r="AJ61">
        <f>SUMIF('库存（子SKU）'!$C:$C,$A61,'库存（子SKU）'!AL:AL)</f>
        <v>1</v>
      </c>
      <c r="AK61">
        <f>SUMIF('库存（子SKU）'!$C:$C,$A61,'库存（子SKU）'!AM:AM)</f>
        <v>8</v>
      </c>
      <c r="AL61" s="23">
        <f t="shared" si="6"/>
        <v>0</v>
      </c>
      <c r="AM61" s="23" t="str">
        <f t="shared" si="7"/>
        <v/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46</v>
      </c>
      <c r="AS61" t="str">
        <f t="shared" si="13"/>
        <v>库存为46</v>
      </c>
      <c r="AT61" s="25" t="str">
        <f>IFERROR(时间!$B$4+AS61,"上周无销量")</f>
        <v>上周无销量</v>
      </c>
    </row>
    <row r="62" spans="1:46">
      <c r="A62" t="s">
        <v>1015</v>
      </c>
      <c r="B62" s="6">
        <f>SUMIF('库存（子SKU）'!$C:$C,$A62,'库存（子SKU）'!D:D)</f>
        <v>1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>
        <v>15.99</v>
      </c>
      <c r="G62">
        <f>SUMIF('库存（子SKU）'!$C:$C,$A62,'库存（子SKU）'!I:I)</f>
        <v>55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55</v>
      </c>
      <c r="L62">
        <f>SUMIF('库存（子SKU）'!$C:$C,$A62,'库存（子SKU）'!N:N)</f>
        <v>0</v>
      </c>
      <c r="M62">
        <f>SUMIF('库存（子SKU）'!$C:$C,$A62,'库存（子SKU）'!O:O)</f>
        <v>55</v>
      </c>
      <c r="N62">
        <f>SUMIF('库存（子SKU）'!$C:$C,$A62,'库存（子SKU）'!P:P)</f>
        <v>564</v>
      </c>
      <c r="O62">
        <f>SUMIF('库存（子SKU）'!$C:$C,$A62,'库存（子SKU）'!Q:Q)</f>
        <v>536</v>
      </c>
      <c r="P62">
        <f>SUMIF('库存（子SKU）'!$C:$C,$A62,'库存（子SKU）'!R:R)</f>
        <v>359</v>
      </c>
      <c r="Q62">
        <f>SUMIF('库存（子SKU）'!$C:$C,$A62,'库存（子SKU）'!S:S)</f>
        <v>42</v>
      </c>
      <c r="R62">
        <f>SUMIF('库存（子SKU）'!$C:$C,$A62,'库存（子SKU）'!T:T)</f>
        <v>6</v>
      </c>
      <c r="S62">
        <f>SUMIF('库存（子SKU）'!$C:$C,$A62,'库存（子SKU）'!U:U)</f>
        <v>5</v>
      </c>
      <c r="T62">
        <f>SUMIF('库存（子SKU）'!$C:$C,$A62,'库存（子SKU）'!V:V)</f>
        <v>1</v>
      </c>
      <c r="U62">
        <f>SUMIF('库存（子SKU）'!$C:$C,$A62,'库存（子SKU）'!W:W)</f>
        <v>0</v>
      </c>
      <c r="V62" s="23">
        <f t="shared" si="15"/>
        <v>0.0106382978723404</v>
      </c>
      <c r="W62" s="23">
        <f t="shared" si="16"/>
        <v>0.00932835820895522</v>
      </c>
      <c r="X62" s="23">
        <f t="shared" si="17"/>
        <v>0.00278551532033426</v>
      </c>
      <c r="Y62" s="23">
        <f t="shared" si="18"/>
        <v>0</v>
      </c>
      <c r="Z62">
        <f>SUMIF('库存（子SKU）'!$C:$C,$A62,'库存（子SKU）'!AB:AB)</f>
        <v>2.24</v>
      </c>
      <c r="AA62">
        <f>SUMIF('库存（子SKU）'!$C:$C,$A62,'库存（子SKU）'!AC:AC)</f>
        <v>2.48</v>
      </c>
      <c r="AB62">
        <f>SUMIF('库存（子SKU）'!$C:$C,$A62,'库存（子SKU）'!AD:AD)</f>
        <v>0.41</v>
      </c>
      <c r="AC62">
        <f>SUMIF('库存（子SKU）'!$C:$C,$A62,'库存（子SKU）'!AE:AE)</f>
        <v>0</v>
      </c>
      <c r="AD62" s="23">
        <f t="shared" si="2"/>
        <v>0.140087554721701</v>
      </c>
      <c r="AE62" s="23" t="str">
        <f t="shared" si="3"/>
        <v>无销量广告费为2.48</v>
      </c>
      <c r="AF62" s="23" t="str">
        <f t="shared" si="4"/>
        <v>无销量广告费为0.41</v>
      </c>
      <c r="AG62" s="23" t="str">
        <f t="shared" si="5"/>
        <v/>
      </c>
      <c r="AH62">
        <f>SUMIF('库存（子SKU）'!$C:$C,$A62,'库存（子SKU）'!AJ:AJ)</f>
        <v>8</v>
      </c>
      <c r="AI62">
        <f>SUMIF('库存（子SKU）'!$C:$C,$A62,'库存（子SKU）'!AK:AK)</f>
        <v>3</v>
      </c>
      <c r="AJ62">
        <f>SUMIF('库存（子SKU）'!$C:$C,$A62,'库存（子SKU）'!AL:AL)</f>
        <v>6</v>
      </c>
      <c r="AK62">
        <f>SUMIF('库存（子SKU）'!$C:$C,$A62,'库存（子SKU）'!AM:AM)</f>
        <v>9</v>
      </c>
      <c r="AL62" s="23">
        <f t="shared" si="6"/>
        <v>0.125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0.142857142857143</v>
      </c>
      <c r="AQ62" s="8">
        <f t="shared" si="11"/>
        <v>8.57142857142857</v>
      </c>
      <c r="AR62" s="8">
        <f t="shared" si="12"/>
        <v>46.4285714285714</v>
      </c>
      <c r="AS62">
        <f t="shared" si="13"/>
        <v>385</v>
      </c>
      <c r="AT62" s="25">
        <f>IFERROR(时间!$B$4+AS62,"上周无销量")</f>
        <v>43703</v>
      </c>
    </row>
    <row r="63" spans="1:46">
      <c r="A63" t="s">
        <v>1023</v>
      </c>
      <c r="B63" s="6">
        <f>SUMIF('库存（子SKU）'!$C:$C,$A63,'库存（子SKU）'!D:D)</f>
        <v>0</v>
      </c>
      <c r="C63" s="6">
        <f>SUMIF('库存（子SKU）'!$C:$C,$A63,'库存（子SKU）'!E:E)</f>
        <v>3</v>
      </c>
      <c r="D63" s="6">
        <f>SUMIF('库存（子SKU）'!$C:$C,$A63,'库存（子SKU）'!F:F)</f>
        <v>0</v>
      </c>
      <c r="E63" s="6">
        <f>SUMIF('库存（子SKU）'!$C:$C,$A63,'库存（子SKU）'!G:G)</f>
        <v>1</v>
      </c>
      <c r="F63" s="7">
        <v>15.99</v>
      </c>
      <c r="G63">
        <f>SUMIF('库存（子SKU）'!$C:$C,$A63,'库存（子SKU）'!I:I)</f>
        <v>89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89</v>
      </c>
      <c r="L63">
        <f>SUMIF('库存（子SKU）'!$C:$C,$A63,'库存（子SKU）'!N:N)</f>
        <v>0</v>
      </c>
      <c r="M63">
        <f>SUMIF('库存（子SKU）'!$C:$C,$A63,'库存（子SKU）'!O:O)</f>
        <v>88</v>
      </c>
      <c r="N63">
        <f>SUMIF('库存（子SKU）'!$C:$C,$A63,'库存（子SKU）'!P:P)</f>
        <v>2991</v>
      </c>
      <c r="O63">
        <f>SUMIF('库存（子SKU）'!$C:$C,$A63,'库存（子SKU）'!Q:Q)</f>
        <v>3299</v>
      </c>
      <c r="P63">
        <f>SUMIF('库存（子SKU）'!$C:$C,$A63,'库存（子SKU）'!R:R)</f>
        <v>3858</v>
      </c>
      <c r="Q63">
        <f>SUMIF('库存（子SKU）'!$C:$C,$A63,'库存（子SKU）'!S:S)</f>
        <v>1590</v>
      </c>
      <c r="R63">
        <f>SUMIF('库存（子SKU）'!$C:$C,$A63,'库存（子SKU）'!T:T)</f>
        <v>5</v>
      </c>
      <c r="S63">
        <f>SUMIF('库存（子SKU）'!$C:$C,$A63,'库存（子SKU）'!U:U)</f>
        <v>9</v>
      </c>
      <c r="T63">
        <f>SUMIF('库存（子SKU）'!$C:$C,$A63,'库存（子SKU）'!V:V)</f>
        <v>3</v>
      </c>
      <c r="U63">
        <f>SUMIF('库存（子SKU）'!$C:$C,$A63,'库存（子SKU）'!W:W)</f>
        <v>1</v>
      </c>
      <c r="V63" s="23">
        <f t="shared" si="15"/>
        <v>0.00167168171180207</v>
      </c>
      <c r="W63" s="23">
        <f t="shared" si="16"/>
        <v>0.0027280994240679</v>
      </c>
      <c r="X63" s="23">
        <f t="shared" si="17"/>
        <v>0.000777604976671851</v>
      </c>
      <c r="Y63" s="23">
        <f t="shared" si="18"/>
        <v>0.000628930817610063</v>
      </c>
      <c r="Z63">
        <f>SUMIF('库存（子SKU）'!$C:$C,$A63,'库存（子SKU）'!AB:AB)</f>
        <v>1.42</v>
      </c>
      <c r="AA63">
        <f>SUMIF('库存（子SKU）'!$C:$C,$A63,'库存（子SKU）'!AC:AC)</f>
        <v>3.75</v>
      </c>
      <c r="AB63">
        <f>SUMIF('库存（子SKU）'!$C:$C,$A63,'库存（子SKU）'!AD:AD)</f>
        <v>1.52</v>
      </c>
      <c r="AC63">
        <f>SUMIF('库存（子SKU）'!$C:$C,$A63,'库存（子SKU）'!AE:AE)</f>
        <v>0.38</v>
      </c>
      <c r="AD63" s="23" t="str">
        <f t="shared" si="2"/>
        <v>无销量广告费为1.42</v>
      </c>
      <c r="AE63" s="23">
        <f t="shared" si="3"/>
        <v>0.0781738586616635</v>
      </c>
      <c r="AF63" s="23" t="str">
        <f t="shared" si="4"/>
        <v>无销量广告费为1.52</v>
      </c>
      <c r="AG63" s="23">
        <f t="shared" si="5"/>
        <v>0.0237648530331457</v>
      </c>
      <c r="AH63">
        <f>SUMIF('库存（子SKU）'!$C:$C,$A63,'库存（子SKU）'!AJ:AJ)</f>
        <v>37</v>
      </c>
      <c r="AI63">
        <f>SUMIF('库存（子SKU）'!$C:$C,$A63,'库存（子SKU）'!AK:AK)</f>
        <v>42</v>
      </c>
      <c r="AJ63">
        <f>SUMIF('库存（子SKU）'!$C:$C,$A63,'库存（子SKU）'!AL:AL)</f>
        <v>16</v>
      </c>
      <c r="AK63">
        <f>SUMIF('库存（子SKU）'!$C:$C,$A63,'库存（子SKU）'!AM:AM)</f>
        <v>22</v>
      </c>
      <c r="AL63" s="23">
        <f t="shared" si="6"/>
        <v>0</v>
      </c>
      <c r="AM63" s="23">
        <f t="shared" si="7"/>
        <v>0.0714285714285714</v>
      </c>
      <c r="AN63" s="23">
        <f t="shared" si="8"/>
        <v>0</v>
      </c>
      <c r="AO63" s="23">
        <f t="shared" si="9"/>
        <v>0.0454545454545455</v>
      </c>
      <c r="AP63" s="8">
        <f t="shared" si="10"/>
        <v>0</v>
      </c>
      <c r="AQ63" s="8">
        <f t="shared" si="11"/>
        <v>0</v>
      </c>
      <c r="AR63" s="8">
        <f t="shared" si="12"/>
        <v>89</v>
      </c>
      <c r="AS63" t="str">
        <f t="shared" si="13"/>
        <v>库存为89</v>
      </c>
      <c r="AT63" s="25" t="str">
        <f>IFERROR(时间!$B$4+AS63,"上周无销量")</f>
        <v>上周无销量</v>
      </c>
    </row>
    <row r="64" spans="1:46">
      <c r="A64" t="s">
        <v>1043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3</v>
      </c>
      <c r="AI64">
        <f>SUMIF('库存（子SKU）'!$C:$C,$A64,'库存（子SKU）'!AK:AK)</f>
        <v>4</v>
      </c>
      <c r="AJ64">
        <f>SUMIF('库存（子SKU）'!$C:$C,$A64,'库存（子SKU）'!AL:AL)</f>
        <v>1</v>
      </c>
      <c r="AK64">
        <f>SUMIF('库存（子SKU）'!$C:$C,$A64,'库存（子SKU）'!AM:AM)</f>
        <v>2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1046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10</v>
      </c>
      <c r="AI65">
        <f>SUMIF('库存（子SKU）'!$C:$C,$A65,'库存（子SKU）'!AK:AK)</f>
        <v>14</v>
      </c>
      <c r="AJ65">
        <f>SUMIF('库存（子SKU）'!$C:$C,$A65,'库存（子SKU）'!AL:AL)</f>
        <v>4</v>
      </c>
      <c r="AK65">
        <f>SUMIF('库存（子SKU）'!$C:$C,$A65,'库存（子SKU）'!AM:AM)</f>
        <v>9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3</v>
      </c>
      <c r="AS65" t="str">
        <f t="shared" si="13"/>
        <v>库存为3</v>
      </c>
      <c r="AT65" s="25" t="str">
        <f>IFERROR(时间!$B$4+AS65,"上周无销量")</f>
        <v>上周无销量</v>
      </c>
    </row>
    <row r="66" spans="1:46">
      <c r="A66" t="s">
        <v>1053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3</v>
      </c>
      <c r="AI66">
        <f>SUMIF('库存（子SKU）'!$C:$C,$A66,'库存（子SKU）'!AK:AK)</f>
        <v>1</v>
      </c>
      <c r="AJ66">
        <f>SUMIF('库存（子SKU）'!$C:$C,$A66,'库存（子SKU）'!AL:AL)</f>
        <v>1</v>
      </c>
      <c r="AK66">
        <f>SUMIF('库存（子SKU）'!$C:$C,$A66,'库存（子SKU）'!AM:AM)</f>
        <v>1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1056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23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14</v>
      </c>
      <c r="AI67">
        <f>SUMIF('库存（子SKU）'!$C:$C,$A67,'库存（子SKU）'!AK:AK)</f>
        <v>18</v>
      </c>
      <c r="AJ67">
        <f>SUMIF('库存（子SKU）'!$C:$C,$A67,'库存（子SKU）'!AL:AL)</f>
        <v>16</v>
      </c>
      <c r="AK67">
        <f>SUMIF('库存（子SKU）'!$C:$C,$A67,'库存（子SKU）'!AM:AM)</f>
        <v>14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1071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</v>
      </c>
      <c r="L68">
        <f>SUMIF('库存（子SKU）'!$C:$C,$A68,'库存（子SKU）'!N:N)</f>
        <v>0</v>
      </c>
      <c r="M68">
        <f>SUMIF('库存（子SKU）'!$C:$C,$A68,'库存（子SKU）'!O:O)</f>
        <v>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8</v>
      </c>
      <c r="AI68">
        <f>SUMIF('库存（子SKU）'!$C:$C,$A68,'库存（子SKU）'!AK:AK)</f>
        <v>5</v>
      </c>
      <c r="AJ68">
        <f>SUMIF('库存（子SKU）'!$C:$C,$A68,'库存（子SKU）'!AL:AL)</f>
        <v>10</v>
      </c>
      <c r="AK68">
        <f>SUMIF('库存（子SKU）'!$C:$C,$A68,'库存（子SKU）'!AM:AM)</f>
        <v>5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5</v>
      </c>
      <c r="AS68" t="str">
        <f t="shared" si="13"/>
        <v>库存为5</v>
      </c>
      <c r="AT68" s="25" t="str">
        <f>IFERROR(时间!$B$4+AS68,"上周无销量")</f>
        <v>上周无销量</v>
      </c>
    </row>
    <row r="69" spans="1:46">
      <c r="A69" t="s">
        <v>1078</v>
      </c>
      <c r="B69" s="6">
        <f>SUMIF('库存（子SKU）'!$C:$C,$A69,'库存（子SKU）'!D:D)</f>
        <v>1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13.99</v>
      </c>
      <c r="G69">
        <f>SUMIF('库存（子SKU）'!$C:$C,$A69,'库存（子SKU）'!I:I)</f>
        <v>7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6" si="19">SUM(G69:J69)</f>
        <v>7</v>
      </c>
      <c r="L69">
        <f>SUMIF('库存（子SKU）'!$C:$C,$A69,'库存（子SKU）'!N:N)</f>
        <v>0</v>
      </c>
      <c r="M69">
        <f>SUMIF('库存（子SKU）'!$C:$C,$A69,'库存（子SKU）'!O:O)</f>
        <v>8</v>
      </c>
      <c r="N69">
        <f>SUMIF('库存（子SKU）'!$C:$C,$A69,'库存（子SKU）'!P:P)</f>
        <v>0</v>
      </c>
      <c r="O69">
        <f>SUMIF('库存（子SKU）'!$C:$C,$A69,'库存（子SKU）'!Q:Q)</f>
        <v>1545</v>
      </c>
      <c r="P69">
        <f>SUMIF('库存（子SKU）'!$C:$C,$A69,'库存（子SKU）'!R:R)</f>
        <v>921</v>
      </c>
      <c r="Q69">
        <f>SUMIF('库存（子SKU）'!$C:$C,$A69,'库存（子SKU）'!S:S)</f>
        <v>336</v>
      </c>
      <c r="R69">
        <f>SUMIF('库存（子SKU）'!$C:$C,$A69,'库存（子SKU）'!T:T)</f>
        <v>0</v>
      </c>
      <c r="S69">
        <f>SUMIF('库存（子SKU）'!$C:$C,$A69,'库存（子SKU）'!U:U)</f>
        <v>4</v>
      </c>
      <c r="T69">
        <f>SUMIF('库存（子SKU）'!$C:$C,$A69,'库存（子SKU）'!V:V)</f>
        <v>8</v>
      </c>
      <c r="U69">
        <f>SUMIF('库存（子SKU）'!$C:$C,$A69,'库存（子SKU）'!W:W)</f>
        <v>1</v>
      </c>
      <c r="V69" s="23" t="str">
        <f t="shared" si="15"/>
        <v/>
      </c>
      <c r="W69" s="23">
        <f t="shared" si="16"/>
        <v>0.00258899676375405</v>
      </c>
      <c r="X69" s="23">
        <f t="shared" si="17"/>
        <v>0.00868621064060804</v>
      </c>
      <c r="Y69" s="23">
        <f t="shared" si="18"/>
        <v>0.00297619047619048</v>
      </c>
      <c r="Z69">
        <f>SUMIF('库存（子SKU）'!$C:$C,$A69,'库存（子SKU）'!AB:AB)</f>
        <v>0</v>
      </c>
      <c r="AA69">
        <f>SUMIF('库存（子SKU）'!$C:$C,$A69,'库存（子SKU）'!AC:AC)</f>
        <v>3</v>
      </c>
      <c r="AB69">
        <f>SUMIF('库存（子SKU）'!$C:$C,$A69,'库存（子SKU）'!AD:AD)</f>
        <v>7.76</v>
      </c>
      <c r="AC69">
        <f>SUMIF('库存（子SKU）'!$C:$C,$A69,'库存（子SKU）'!AE:AE)</f>
        <v>0.8</v>
      </c>
      <c r="AD69" s="23">
        <f t="shared" ref="AD69:AD76" si="20">IF(AND(Z69&gt;0,B69=0),"无销量广告费为"&amp;Z69,IFERROR(Z69/(B69*$F69),""))</f>
        <v>0</v>
      </c>
      <c r="AE69" s="23" t="str">
        <f t="shared" ref="AE69:AE76" si="21">IF(AND(AA69&gt;0,C69=0),"无销量广告费为"&amp;AA69,IFERROR(AA69/(C69*$F69),""))</f>
        <v>无销量广告费为3</v>
      </c>
      <c r="AF69" s="23" t="str">
        <f t="shared" ref="AF69:AF76" si="22">IF(AND(AB69&gt;0,D69=0),"无销量广告费为"&amp;AB69,IFERROR(AB69/(D69*$F69),""))</f>
        <v>无销量广告费为7.76</v>
      </c>
      <c r="AG69" s="23" t="str">
        <f t="shared" ref="AG69:AG76" si="23">IF(AND(AC69&gt;0,E69=0),"无销量广告费为"&amp;AC69,IFERROR(AC69/(E69*$F69),""))</f>
        <v>无销量广告费为0.8</v>
      </c>
      <c r="AH69">
        <f>SUMIF('库存（子SKU）'!$C:$C,$A69,'库存（子SKU）'!AJ:AJ)</f>
        <v>16</v>
      </c>
      <c r="AI69">
        <f>SUMIF('库存（子SKU）'!$C:$C,$A69,'库存（子SKU）'!AK:AK)</f>
        <v>14</v>
      </c>
      <c r="AJ69">
        <f>SUMIF('库存（子SKU）'!$C:$C,$A69,'库存（子SKU）'!AL:AL)</f>
        <v>14</v>
      </c>
      <c r="AK69">
        <f>SUMIF('库存（子SKU）'!$C:$C,$A69,'库存（子SKU）'!AM:AM)</f>
        <v>10</v>
      </c>
      <c r="AL69" s="23">
        <f t="shared" ref="AL69:AL76" si="24">IFERROR(B69/AH69,"")</f>
        <v>0.0625</v>
      </c>
      <c r="AM69" s="23">
        <f t="shared" ref="AM69:AM76" si="25">IFERROR(C69/AI69,"")</f>
        <v>0</v>
      </c>
      <c r="AN69" s="23">
        <f t="shared" ref="AN69:AN76" si="26">IFERROR(D69/AJ69,"")</f>
        <v>0</v>
      </c>
      <c r="AO69" s="23">
        <f t="shared" ref="AO69:AO76" si="27">IFERROR(E69/AK69,"")</f>
        <v>0</v>
      </c>
      <c r="AP69" s="8">
        <f t="shared" ref="AP69:AP76" si="28">B69/7</f>
        <v>0.142857142857143</v>
      </c>
      <c r="AQ69" s="8">
        <f t="shared" ref="AQ69:AQ76" si="29">AP69*60</f>
        <v>8.57142857142857</v>
      </c>
      <c r="AR69" s="8">
        <f t="shared" ref="AR69:AR76" si="30">K69-AQ69</f>
        <v>-1.57142857142857</v>
      </c>
      <c r="AS69">
        <f t="shared" ref="AS69:AS76" si="31">IF(AP69=0,"库存为"&amp;K69,INT(K69/AP69))</f>
        <v>49</v>
      </c>
      <c r="AT69" s="25">
        <f>IFERROR(时间!$B$4+AS69,"上周无销量")</f>
        <v>43367</v>
      </c>
    </row>
    <row r="70" spans="1:46">
      <c r="A70" t="s">
        <v>1082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76" si="32">IFERROR(R70/N70,"")</f>
        <v/>
      </c>
      <c r="W70" s="23" t="str">
        <f t="shared" ref="W70:W76" si="33">IFERROR(S70/O70,"")</f>
        <v/>
      </c>
      <c r="X70" s="23" t="str">
        <f t="shared" ref="X70:X76" si="34">IFERROR(T70/P70,"")</f>
        <v/>
      </c>
      <c r="Y70" s="23" t="str">
        <f t="shared" ref="Y70:Y7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3</v>
      </c>
      <c r="AI70">
        <f>SUMIF('库存（子SKU）'!$C:$C,$A70,'库存（子SKU）'!AK:AK)</f>
        <v>3</v>
      </c>
      <c r="AJ70">
        <f>SUMIF('库存（子SKU）'!$C:$C,$A70,'库存（子SKU）'!AL:AL)</f>
        <v>5</v>
      </c>
      <c r="AK70">
        <f>SUMIF('库存（子SKU）'!$C:$C,$A70,'库存（子SKU）'!AM:AM)</f>
        <v>2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1085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1</v>
      </c>
      <c r="F71" s="7">
        <v>20.99</v>
      </c>
      <c r="G71">
        <f>SUMIF('库存（子SKU）'!$C:$C,$A71,'库存（子SKU）'!I:I)</f>
        <v>19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19</v>
      </c>
      <c r="L71">
        <f>SUMIF('库存（子SKU）'!$C:$C,$A71,'库存（子SKU）'!N:N)</f>
        <v>0</v>
      </c>
      <c r="M71">
        <f>SUMIF('库存（子SKU）'!$C:$C,$A71,'库存（子SKU）'!O:O)</f>
        <v>19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>
        <f t="shared" si="23"/>
        <v>0</v>
      </c>
      <c r="AH71">
        <f>SUMIF('库存（子SKU）'!$C:$C,$A71,'库存（子SKU）'!AJ:AJ)</f>
        <v>4</v>
      </c>
      <c r="AI71">
        <f>SUMIF('库存（子SKU）'!$C:$C,$A71,'库存（子SKU）'!AK:AK)</f>
        <v>6</v>
      </c>
      <c r="AJ71">
        <f>SUMIF('库存（子SKU）'!$C:$C,$A71,'库存（子SKU）'!AL:AL)</f>
        <v>11</v>
      </c>
      <c r="AK71">
        <f>SUMIF('库存（子SKU）'!$C:$C,$A71,'库存（子SKU）'!AM:AM)</f>
        <v>6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0.166666666666667</v>
      </c>
      <c r="AP71" s="8">
        <f t="shared" si="28"/>
        <v>0</v>
      </c>
      <c r="AQ71" s="8">
        <f t="shared" si="29"/>
        <v>0</v>
      </c>
      <c r="AR71" s="8">
        <f t="shared" si="30"/>
        <v>19</v>
      </c>
      <c r="AS71" t="str">
        <f t="shared" si="31"/>
        <v>库存为19</v>
      </c>
      <c r="AT71" s="25" t="str">
        <f>IFERROR(时间!$B$4+AS71,"上周无销量")</f>
        <v>上周无销量</v>
      </c>
    </row>
    <row r="72" spans="1:46">
      <c r="A72" t="s">
        <v>1092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4</v>
      </c>
      <c r="AI72">
        <f>SUMIF('库存（子SKU）'!$C:$C,$A72,'库存（子SKU）'!AK:AK)</f>
        <v>2</v>
      </c>
      <c r="AJ72">
        <f>SUMIF('库存（子SKU）'!$C:$C,$A72,'库存（子SKU）'!AL:AL)</f>
        <v>6</v>
      </c>
      <c r="AK72">
        <f>SUMIF('库存（子SKU）'!$C:$C,$A72,'库存（子SKU）'!AM:AM)</f>
        <v>4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</v>
      </c>
      <c r="AS72" t="str">
        <f t="shared" si="31"/>
        <v>库存为2</v>
      </c>
      <c r="AT72" s="25" t="str">
        <f>IFERROR(时间!$B$4+AS72,"上周无销量")</f>
        <v>上周无销量</v>
      </c>
    </row>
    <row r="73" spans="1:46">
      <c r="A73" t="s">
        <v>1095</v>
      </c>
      <c r="B73" s="6">
        <f>SUMIF('库存（子SKU）'!$C:$C,$A73,'库存（子SKU）'!D:D)</f>
        <v>1</v>
      </c>
      <c r="C73" s="6">
        <f>SUMIF('库存（子SKU）'!$C:$C,$A73,'库存（子SKU）'!E:E)</f>
        <v>1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>
        <v>9.495</v>
      </c>
      <c r="G73">
        <f>SUMIF('库存（子SKU）'!$C:$C,$A73,'库存（子SKU）'!I:I)</f>
        <v>261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261</v>
      </c>
      <c r="L73">
        <f>SUMIF('库存（子SKU）'!$C:$C,$A73,'库存（子SKU）'!N:N)</f>
        <v>0</v>
      </c>
      <c r="M73">
        <f>SUMIF('库存（子SKU）'!$C:$C,$A73,'库存（子SKU）'!O:O)</f>
        <v>261</v>
      </c>
      <c r="N73">
        <f>SUMIF('库存（子SKU）'!$C:$C,$A73,'库存（子SKU）'!P:P)</f>
        <v>356</v>
      </c>
      <c r="O73">
        <f>SUMIF('库存（子SKU）'!$C:$C,$A73,'库存（子SKU）'!Q:Q)</f>
        <v>344</v>
      </c>
      <c r="P73">
        <f>SUMIF('库存（子SKU）'!$C:$C,$A73,'库存（子SKU）'!R:R)</f>
        <v>222</v>
      </c>
      <c r="Q73">
        <f>SUMIF('库存（子SKU）'!$C:$C,$A73,'库存（子SKU）'!S:S)</f>
        <v>157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>
        <f t="shared" si="32"/>
        <v>0</v>
      </c>
      <c r="W73" s="23">
        <f t="shared" si="33"/>
        <v>0</v>
      </c>
      <c r="X73" s="23">
        <f t="shared" si="34"/>
        <v>0</v>
      </c>
      <c r="Y73" s="23">
        <f t="shared" si="35"/>
        <v>0</v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>
        <f t="shared" si="20"/>
        <v>0</v>
      </c>
      <c r="AE73" s="23">
        <f t="shared" si="21"/>
        <v>0</v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20</v>
      </c>
      <c r="AI73">
        <f>SUMIF('库存（子SKU）'!$C:$C,$A73,'库存（子SKU）'!AK:AK)</f>
        <v>51</v>
      </c>
      <c r="AJ73">
        <f>SUMIF('库存（子SKU）'!$C:$C,$A73,'库存（子SKU）'!AL:AL)</f>
        <v>3</v>
      </c>
      <c r="AK73">
        <f>SUMIF('库存（子SKU）'!$C:$C,$A73,'库存（子SKU）'!AM:AM)</f>
        <v>17</v>
      </c>
      <c r="AL73" s="23">
        <f t="shared" si="24"/>
        <v>0.05</v>
      </c>
      <c r="AM73" s="23">
        <f t="shared" si="25"/>
        <v>0.0196078431372549</v>
      </c>
      <c r="AN73" s="23">
        <f t="shared" si="26"/>
        <v>0</v>
      </c>
      <c r="AO73" s="23">
        <f t="shared" si="27"/>
        <v>0</v>
      </c>
      <c r="AP73" s="8">
        <f t="shared" si="28"/>
        <v>0.142857142857143</v>
      </c>
      <c r="AQ73" s="8">
        <f t="shared" si="29"/>
        <v>8.57142857142857</v>
      </c>
      <c r="AR73" s="8">
        <f t="shared" si="30"/>
        <v>252.428571428571</v>
      </c>
      <c r="AS73">
        <f t="shared" si="31"/>
        <v>1827</v>
      </c>
      <c r="AT73" s="25">
        <f>IFERROR(时间!$B$4+AS73,"上周无销量")</f>
        <v>45145</v>
      </c>
    </row>
    <row r="74" spans="1:46">
      <c r="A74" t="s">
        <v>1112</v>
      </c>
      <c r="B74" s="6">
        <f>SUMIF('库存（子SKU）'!$C:$C,$A74,'库存（子SKU）'!D:D)</f>
        <v>0</v>
      </c>
      <c r="C74" s="6">
        <f>SUMIF('库存（子SKU）'!$C:$C,$A74,'库存（子SKU）'!E:E)</f>
        <v>1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v>8.99</v>
      </c>
      <c r="G74">
        <f>SUMIF('库存（子SKU）'!$C:$C,$A74,'库存（子SKU）'!I:I)</f>
        <v>99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1</v>
      </c>
      <c r="K74">
        <f t="shared" si="19"/>
        <v>100</v>
      </c>
      <c r="L74">
        <f>SUMIF('库存（子SKU）'!$C:$C,$A74,'库存（子SKU）'!N:N)</f>
        <v>0</v>
      </c>
      <c r="M74">
        <f>SUMIF('库存（子SKU）'!$C:$C,$A74,'库存（子SKU）'!O:O)</f>
        <v>100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>
        <f t="shared" si="21"/>
        <v>0</v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</v>
      </c>
      <c r="AI74">
        <f>SUMIF('库存（子SKU）'!$C:$C,$A74,'库存（子SKU）'!AK:AK)</f>
        <v>16</v>
      </c>
      <c r="AJ74">
        <f>SUMIF('库存（子SKU）'!$C:$C,$A74,'库存（子SKU）'!AL:AL)</f>
        <v>1</v>
      </c>
      <c r="AK74">
        <f>SUMIF('库存（子SKU）'!$C:$C,$A74,'库存（子SKU）'!AM:AM)</f>
        <v>9</v>
      </c>
      <c r="AL74" s="23">
        <f t="shared" si="24"/>
        <v>0</v>
      </c>
      <c r="AM74" s="23">
        <f t="shared" si="25"/>
        <v>0.0625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100</v>
      </c>
      <c r="AS74" t="str">
        <f t="shared" si="31"/>
        <v>库存为100</v>
      </c>
      <c r="AT74" s="25" t="str">
        <f>IFERROR(时间!$B$4+AS74,"上周无销量")</f>
        <v>上周无销量</v>
      </c>
    </row>
    <row r="75" spans="1:46">
      <c r="A75" t="s">
        <v>1119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3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3</v>
      </c>
      <c r="AJ75">
        <f>SUMIF('库存（子SKU）'!$C:$C,$A75,'库存（子SKU）'!AL:AL)</f>
        <v>6</v>
      </c>
      <c r="AK75">
        <f>SUMIF('库存（子SKU）'!$C:$C,$A75,'库存（子SKU）'!AM:AM)</f>
        <v>2</v>
      </c>
      <c r="AL75" s="23" t="str">
        <f t="shared" si="24"/>
        <v/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3</v>
      </c>
      <c r="AS75" t="str">
        <f t="shared" si="31"/>
        <v>库存为3</v>
      </c>
      <c r="AT75" s="25" t="str">
        <f>IFERROR(时间!$B$4+AS75,"上周无销量")</f>
        <v>上周无销量</v>
      </c>
    </row>
    <row r="76" spans="1:46">
      <c r="A76" t="s">
        <v>1122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2</v>
      </c>
      <c r="AI76">
        <f>SUMIF('库存（子SKU）'!$C:$C,$A76,'库存（子SKU）'!AK:AK)</f>
        <v>1</v>
      </c>
      <c r="AJ76">
        <f>SUMIF('库存（子SKU）'!$C:$C,$A76,'库存（子SKU）'!AL:AL)</f>
        <v>3</v>
      </c>
      <c r="AK76">
        <f>SUMIF('库存（子SKU）'!$C:$C,$A76,'库存（子SKU）'!AM:AM)</f>
        <v>1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8"/>
      <c r="AT77" s="25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989" operator="lessThan">
      <formula>20</formula>
    </cfRule>
    <cfRule type="cellIs" dxfId="1" priority="1988" operator="greaterThan">
      <formula>120</formula>
    </cfRule>
    <cfRule type="containsText" dxfId="3" priority="1987" operator="between" text="库存">
      <formula>NOT(ISERROR(SEARCH("库存",AS2)))</formula>
    </cfRule>
  </conditionalFormatting>
  <conditionalFormatting sqref="AS6">
    <cfRule type="cellIs" dxfId="0" priority="213" operator="lessThan">
      <formula>20</formula>
    </cfRule>
    <cfRule type="cellIs" dxfId="1" priority="142" operator="greaterThan">
      <formula>120</formula>
    </cfRule>
    <cfRule type="containsText" dxfId="3" priority="71" operator="between" text="库存">
      <formula>NOT(ISERROR(SEARCH("库存",AS6)))</formula>
    </cfRule>
  </conditionalFormatting>
  <conditionalFormatting sqref="AS7">
    <cfRule type="cellIs" dxfId="0" priority="212" operator="lessThan">
      <formula>20</formula>
    </cfRule>
    <cfRule type="cellIs" dxfId="1" priority="141" operator="greaterThan">
      <formula>120</formula>
    </cfRule>
    <cfRule type="containsText" dxfId="3" priority="70" operator="between" text="库存">
      <formula>NOT(ISERROR(SEARCH("库存",AS7)))</formula>
    </cfRule>
  </conditionalFormatting>
  <conditionalFormatting sqref="AS8">
    <cfRule type="cellIs" dxfId="0" priority="211" operator="lessThan">
      <formula>20</formula>
    </cfRule>
    <cfRule type="cellIs" dxfId="1" priority="140" operator="greaterThan">
      <formula>120</formula>
    </cfRule>
    <cfRule type="containsText" dxfId="3" priority="69" operator="between" text="库存">
      <formula>NOT(ISERROR(SEARCH("库存",AS8)))</formula>
    </cfRule>
  </conditionalFormatting>
  <conditionalFormatting sqref="AS9">
    <cfRule type="cellIs" dxfId="0" priority="210" operator="lessThan">
      <formula>20</formula>
    </cfRule>
    <cfRule type="cellIs" dxfId="1" priority="139" operator="greaterThan">
      <formula>120</formula>
    </cfRule>
    <cfRule type="containsText" dxfId="3" priority="68" operator="between" text="库存">
      <formula>NOT(ISERROR(SEARCH("库存",AS9)))</formula>
    </cfRule>
  </conditionalFormatting>
  <conditionalFormatting sqref="AS10">
    <cfRule type="cellIs" dxfId="0" priority="209" operator="lessThan">
      <formula>20</formula>
    </cfRule>
    <cfRule type="cellIs" dxfId="1" priority="138" operator="greaterThan">
      <formula>120</formula>
    </cfRule>
    <cfRule type="containsText" dxfId="3" priority="67" operator="between" text="库存">
      <formula>NOT(ISERROR(SEARCH("库存",AS10)))</formula>
    </cfRule>
  </conditionalFormatting>
  <conditionalFormatting sqref="AS11">
    <cfRule type="cellIs" dxfId="0" priority="208" operator="lessThan">
      <formula>20</formula>
    </cfRule>
    <cfRule type="cellIs" dxfId="1" priority="137" operator="greaterThan">
      <formula>120</formula>
    </cfRule>
    <cfRule type="containsText" dxfId="3" priority="66" operator="between" text="库存">
      <formula>NOT(ISERROR(SEARCH("库存",AS11)))</formula>
    </cfRule>
  </conditionalFormatting>
  <conditionalFormatting sqref="AS12">
    <cfRule type="cellIs" dxfId="0" priority="207" operator="lessThan">
      <formula>20</formula>
    </cfRule>
    <cfRule type="cellIs" dxfId="1" priority="136" operator="greaterThan">
      <formula>120</formula>
    </cfRule>
    <cfRule type="containsText" dxfId="3" priority="65" operator="between" text="库存">
      <formula>NOT(ISERROR(SEARCH("库存",AS12)))</formula>
    </cfRule>
  </conditionalFormatting>
  <conditionalFormatting sqref="AS13">
    <cfRule type="cellIs" dxfId="0" priority="206" operator="lessThan">
      <formula>20</formula>
    </cfRule>
    <cfRule type="cellIs" dxfId="1" priority="135" operator="greaterThan">
      <formula>120</formula>
    </cfRule>
    <cfRule type="containsText" dxfId="3" priority="64" operator="between" text="库存">
      <formula>NOT(ISERROR(SEARCH("库存",AS13)))</formula>
    </cfRule>
  </conditionalFormatting>
  <conditionalFormatting sqref="AS14">
    <cfRule type="cellIs" dxfId="0" priority="205" operator="lessThan">
      <formula>20</formula>
    </cfRule>
    <cfRule type="cellIs" dxfId="1" priority="134" operator="greaterThan">
      <formula>120</formula>
    </cfRule>
    <cfRule type="containsText" dxfId="3" priority="63" operator="between" text="库存">
      <formula>NOT(ISERROR(SEARCH("库存",AS14)))</formula>
    </cfRule>
  </conditionalFormatting>
  <conditionalFormatting sqref="AS15">
    <cfRule type="cellIs" dxfId="0" priority="204" operator="lessThan">
      <formula>20</formula>
    </cfRule>
    <cfRule type="cellIs" dxfId="1" priority="133" operator="greaterThan">
      <formula>120</formula>
    </cfRule>
    <cfRule type="containsText" dxfId="3" priority="62" operator="between" text="库存">
      <formula>NOT(ISERROR(SEARCH("库存",AS15)))</formula>
    </cfRule>
  </conditionalFormatting>
  <conditionalFormatting sqref="AS16">
    <cfRule type="cellIs" dxfId="0" priority="203" operator="lessThan">
      <formula>20</formula>
    </cfRule>
    <cfRule type="cellIs" dxfId="1" priority="132" operator="greaterThan">
      <formula>120</formula>
    </cfRule>
    <cfRule type="containsText" dxfId="3" priority="61" operator="between" text="库存">
      <formula>NOT(ISERROR(SEARCH("库存",AS16)))</formula>
    </cfRule>
  </conditionalFormatting>
  <conditionalFormatting sqref="AS17">
    <cfRule type="cellIs" dxfId="0" priority="202" operator="lessThan">
      <formula>20</formula>
    </cfRule>
    <cfRule type="cellIs" dxfId="1" priority="131" operator="greaterThan">
      <formula>120</formula>
    </cfRule>
    <cfRule type="containsText" dxfId="3" priority="60" operator="between" text="库存">
      <formula>NOT(ISERROR(SEARCH("库存",AS17)))</formula>
    </cfRule>
  </conditionalFormatting>
  <conditionalFormatting sqref="AS18">
    <cfRule type="cellIs" dxfId="0" priority="201" operator="lessThan">
      <formula>20</formula>
    </cfRule>
    <cfRule type="cellIs" dxfId="1" priority="130" operator="greaterThan">
      <formula>120</formula>
    </cfRule>
    <cfRule type="containsText" dxfId="3" priority="59" operator="between" text="库存">
      <formula>NOT(ISERROR(SEARCH("库存",AS18)))</formula>
    </cfRule>
  </conditionalFormatting>
  <conditionalFormatting sqref="AS19">
    <cfRule type="cellIs" dxfId="0" priority="200" operator="lessThan">
      <formula>20</formula>
    </cfRule>
    <cfRule type="cellIs" dxfId="1" priority="129" operator="greaterThan">
      <formula>120</formula>
    </cfRule>
    <cfRule type="containsText" dxfId="3" priority="58" operator="between" text="库存">
      <formula>NOT(ISERROR(SEARCH("库存",AS19)))</formula>
    </cfRule>
  </conditionalFormatting>
  <conditionalFormatting sqref="AS20">
    <cfRule type="cellIs" dxfId="0" priority="199" operator="lessThan">
      <formula>20</formula>
    </cfRule>
    <cfRule type="cellIs" dxfId="1" priority="128" operator="greaterThan">
      <formula>120</formula>
    </cfRule>
    <cfRule type="containsText" dxfId="3" priority="57" operator="between" text="库存">
      <formula>NOT(ISERROR(SEARCH("库存",AS20)))</formula>
    </cfRule>
  </conditionalFormatting>
  <conditionalFormatting sqref="AS21">
    <cfRule type="cellIs" dxfId="0" priority="198" operator="lessThan">
      <formula>20</formula>
    </cfRule>
    <cfRule type="cellIs" dxfId="1" priority="127" operator="greaterThan">
      <formula>120</formula>
    </cfRule>
    <cfRule type="containsText" dxfId="3" priority="56" operator="between" text="库存">
      <formula>NOT(ISERROR(SEARCH("库存",AS21)))</formula>
    </cfRule>
  </conditionalFormatting>
  <conditionalFormatting sqref="AS22">
    <cfRule type="cellIs" dxfId="0" priority="197" operator="lessThan">
      <formula>20</formula>
    </cfRule>
    <cfRule type="cellIs" dxfId="1" priority="126" operator="greaterThan">
      <formula>120</formula>
    </cfRule>
    <cfRule type="containsText" dxfId="3" priority="55" operator="between" text="库存">
      <formula>NOT(ISERROR(SEARCH("库存",AS22)))</formula>
    </cfRule>
  </conditionalFormatting>
  <conditionalFormatting sqref="AS23">
    <cfRule type="cellIs" dxfId="0" priority="196" operator="lessThan">
      <formula>20</formula>
    </cfRule>
    <cfRule type="cellIs" dxfId="1" priority="125" operator="greaterThan">
      <formula>120</formula>
    </cfRule>
    <cfRule type="containsText" dxfId="3" priority="54" operator="between" text="库存">
      <formula>NOT(ISERROR(SEARCH("库存",AS23)))</formula>
    </cfRule>
  </conditionalFormatting>
  <conditionalFormatting sqref="AS24">
    <cfRule type="cellIs" dxfId="0" priority="195" operator="lessThan">
      <formula>20</formula>
    </cfRule>
    <cfRule type="cellIs" dxfId="1" priority="124" operator="greaterThan">
      <formula>120</formula>
    </cfRule>
    <cfRule type="containsText" dxfId="3" priority="53" operator="between" text="库存">
      <formula>NOT(ISERROR(SEARCH("库存",AS24)))</formula>
    </cfRule>
  </conditionalFormatting>
  <conditionalFormatting sqref="AS25">
    <cfRule type="cellIs" dxfId="0" priority="194" operator="lessThan">
      <formula>20</formula>
    </cfRule>
    <cfRule type="cellIs" dxfId="1" priority="123" operator="greaterThan">
      <formula>120</formula>
    </cfRule>
    <cfRule type="containsText" dxfId="3" priority="52" operator="between" text="库存">
      <formula>NOT(ISERROR(SEARCH("库存",AS25)))</formula>
    </cfRule>
  </conditionalFormatting>
  <conditionalFormatting sqref="AS26">
    <cfRule type="cellIs" dxfId="0" priority="193" operator="lessThan">
      <formula>20</formula>
    </cfRule>
    <cfRule type="cellIs" dxfId="1" priority="122" operator="greaterThan">
      <formula>120</formula>
    </cfRule>
    <cfRule type="containsText" dxfId="3" priority="51" operator="between" text="库存">
      <formula>NOT(ISERROR(SEARCH("库存",AS26)))</formula>
    </cfRule>
  </conditionalFormatting>
  <conditionalFormatting sqref="AS27">
    <cfRule type="cellIs" dxfId="0" priority="192" operator="lessThan">
      <formula>20</formula>
    </cfRule>
    <cfRule type="cellIs" dxfId="1" priority="121" operator="greaterThan">
      <formula>120</formula>
    </cfRule>
    <cfRule type="containsText" dxfId="3" priority="50" operator="between" text="库存">
      <formula>NOT(ISERROR(SEARCH("库存",AS27)))</formula>
    </cfRule>
  </conditionalFormatting>
  <conditionalFormatting sqref="AS28">
    <cfRule type="cellIs" dxfId="0" priority="191" operator="lessThan">
      <formula>20</formula>
    </cfRule>
    <cfRule type="cellIs" dxfId="1" priority="120" operator="greaterThan">
      <formula>120</formula>
    </cfRule>
    <cfRule type="containsText" dxfId="3" priority="49" operator="between" text="库存">
      <formula>NOT(ISERROR(SEARCH("库存",AS28)))</formula>
    </cfRule>
  </conditionalFormatting>
  <conditionalFormatting sqref="AS29">
    <cfRule type="cellIs" dxfId="0" priority="190" operator="lessThan">
      <formula>20</formula>
    </cfRule>
    <cfRule type="cellIs" dxfId="1" priority="119" operator="greaterThan">
      <formula>120</formula>
    </cfRule>
    <cfRule type="containsText" dxfId="3" priority="48" operator="between" text="库存">
      <formula>NOT(ISERROR(SEARCH("库存",AS29)))</formula>
    </cfRule>
  </conditionalFormatting>
  <conditionalFormatting sqref="AS30">
    <cfRule type="cellIs" dxfId="0" priority="189" operator="lessThan">
      <formula>20</formula>
    </cfRule>
    <cfRule type="cellIs" dxfId="1" priority="118" operator="greaterThan">
      <formula>120</formula>
    </cfRule>
    <cfRule type="containsText" dxfId="3" priority="47" operator="between" text="库存">
      <formula>NOT(ISERROR(SEARCH("库存",AS30)))</formula>
    </cfRule>
  </conditionalFormatting>
  <conditionalFormatting sqref="AS31">
    <cfRule type="cellIs" dxfId="0" priority="188" operator="lessThan">
      <formula>20</formula>
    </cfRule>
    <cfRule type="cellIs" dxfId="1" priority="117" operator="greaterThan">
      <formula>120</formula>
    </cfRule>
    <cfRule type="containsText" dxfId="3" priority="46" operator="between" text="库存">
      <formula>NOT(ISERROR(SEARCH("库存",AS31)))</formula>
    </cfRule>
  </conditionalFormatting>
  <conditionalFormatting sqref="AS32">
    <cfRule type="cellIs" dxfId="0" priority="187" operator="lessThan">
      <formula>20</formula>
    </cfRule>
    <cfRule type="cellIs" dxfId="1" priority="116" operator="greaterThan">
      <formula>120</formula>
    </cfRule>
    <cfRule type="containsText" dxfId="3" priority="45" operator="between" text="库存">
      <formula>NOT(ISERROR(SEARCH("库存",AS32)))</formula>
    </cfRule>
  </conditionalFormatting>
  <conditionalFormatting sqref="AS33">
    <cfRule type="cellIs" dxfId="0" priority="186" operator="lessThan">
      <formula>20</formula>
    </cfRule>
    <cfRule type="cellIs" dxfId="1" priority="115" operator="greaterThan">
      <formula>120</formula>
    </cfRule>
    <cfRule type="containsText" dxfId="3" priority="44" operator="between" text="库存">
      <formula>NOT(ISERROR(SEARCH("库存",AS33)))</formula>
    </cfRule>
  </conditionalFormatting>
  <conditionalFormatting sqref="AS34">
    <cfRule type="cellIs" dxfId="0" priority="185" operator="lessThan">
      <formula>20</formula>
    </cfRule>
    <cfRule type="cellIs" dxfId="1" priority="114" operator="greaterThan">
      <formula>120</formula>
    </cfRule>
    <cfRule type="containsText" dxfId="3" priority="43" operator="between" text="库存">
      <formula>NOT(ISERROR(SEARCH("库存",AS34)))</formula>
    </cfRule>
  </conditionalFormatting>
  <conditionalFormatting sqref="AS35">
    <cfRule type="cellIs" dxfId="0" priority="184" operator="lessThan">
      <formula>20</formula>
    </cfRule>
    <cfRule type="cellIs" dxfId="1" priority="113" operator="greaterThan">
      <formula>120</formula>
    </cfRule>
    <cfRule type="containsText" dxfId="3" priority="42" operator="between" text="库存">
      <formula>NOT(ISERROR(SEARCH("库存",AS35)))</formula>
    </cfRule>
  </conditionalFormatting>
  <conditionalFormatting sqref="AS36">
    <cfRule type="cellIs" dxfId="0" priority="183" operator="lessThan">
      <formula>20</formula>
    </cfRule>
    <cfRule type="cellIs" dxfId="1" priority="112" operator="greaterThan">
      <formula>120</formula>
    </cfRule>
    <cfRule type="containsText" dxfId="3" priority="41" operator="between" text="库存">
      <formula>NOT(ISERROR(SEARCH("库存",AS36)))</formula>
    </cfRule>
  </conditionalFormatting>
  <conditionalFormatting sqref="AS37">
    <cfRule type="cellIs" dxfId="0" priority="182" operator="lessThan">
      <formula>20</formula>
    </cfRule>
    <cfRule type="cellIs" dxfId="1" priority="111" operator="greaterThan">
      <formula>120</formula>
    </cfRule>
    <cfRule type="containsText" dxfId="3" priority="40" operator="between" text="库存">
      <formula>NOT(ISERROR(SEARCH("库存",AS37)))</formula>
    </cfRule>
  </conditionalFormatting>
  <conditionalFormatting sqref="AS38">
    <cfRule type="cellIs" dxfId="0" priority="181" operator="lessThan">
      <formula>20</formula>
    </cfRule>
    <cfRule type="cellIs" dxfId="1" priority="110" operator="greaterThan">
      <formula>120</formula>
    </cfRule>
    <cfRule type="containsText" dxfId="3" priority="39" operator="between" text="库存">
      <formula>NOT(ISERROR(SEARCH("库存",AS38)))</formula>
    </cfRule>
  </conditionalFormatting>
  <conditionalFormatting sqref="AS39">
    <cfRule type="cellIs" dxfId="0" priority="180" operator="lessThan">
      <formula>20</formula>
    </cfRule>
    <cfRule type="cellIs" dxfId="1" priority="109" operator="greaterThan">
      <formula>120</formula>
    </cfRule>
    <cfRule type="containsText" dxfId="3" priority="38" operator="between" text="库存">
      <formula>NOT(ISERROR(SEARCH("库存",AS39)))</formula>
    </cfRule>
  </conditionalFormatting>
  <conditionalFormatting sqref="AS40">
    <cfRule type="cellIs" dxfId="0" priority="179" operator="lessThan">
      <formula>20</formula>
    </cfRule>
    <cfRule type="cellIs" dxfId="1" priority="108" operator="greaterThan">
      <formula>120</formula>
    </cfRule>
    <cfRule type="containsText" dxfId="3" priority="37" operator="between" text="库存">
      <formula>NOT(ISERROR(SEARCH("库存",AS40)))</formula>
    </cfRule>
  </conditionalFormatting>
  <conditionalFormatting sqref="AS41">
    <cfRule type="cellIs" dxfId="0" priority="178" operator="lessThan">
      <formula>20</formula>
    </cfRule>
    <cfRule type="cellIs" dxfId="1" priority="107" operator="greaterThan">
      <formula>120</formula>
    </cfRule>
    <cfRule type="containsText" dxfId="3" priority="36" operator="between" text="库存">
      <formula>NOT(ISERROR(SEARCH("库存",AS41)))</formula>
    </cfRule>
  </conditionalFormatting>
  <conditionalFormatting sqref="AS42">
    <cfRule type="cellIs" dxfId="0" priority="177" operator="lessThan">
      <formula>20</formula>
    </cfRule>
    <cfRule type="cellIs" dxfId="1" priority="106" operator="greaterThan">
      <formula>120</formula>
    </cfRule>
    <cfRule type="containsText" dxfId="3" priority="35" operator="between" text="库存">
      <formula>NOT(ISERROR(SEARCH("库存",AS42)))</formula>
    </cfRule>
  </conditionalFormatting>
  <conditionalFormatting sqref="AS43">
    <cfRule type="cellIs" dxfId="0" priority="176" operator="lessThan">
      <formula>20</formula>
    </cfRule>
    <cfRule type="cellIs" dxfId="1" priority="105" operator="greaterThan">
      <formula>120</formula>
    </cfRule>
    <cfRule type="containsText" dxfId="3" priority="34" operator="between" text="库存">
      <formula>NOT(ISERROR(SEARCH("库存",AS43)))</formula>
    </cfRule>
  </conditionalFormatting>
  <conditionalFormatting sqref="AS44">
    <cfRule type="cellIs" dxfId="0" priority="175" operator="lessThan">
      <formula>20</formula>
    </cfRule>
    <cfRule type="cellIs" dxfId="1" priority="104" operator="greaterThan">
      <formula>120</formula>
    </cfRule>
    <cfRule type="containsText" dxfId="3" priority="33" operator="between" text="库存">
      <formula>NOT(ISERROR(SEARCH("库存",AS44)))</formula>
    </cfRule>
  </conditionalFormatting>
  <conditionalFormatting sqref="AS45">
    <cfRule type="cellIs" dxfId="0" priority="174" operator="lessThan">
      <formula>20</formula>
    </cfRule>
    <cfRule type="cellIs" dxfId="1" priority="103" operator="greaterThan">
      <formula>120</formula>
    </cfRule>
    <cfRule type="containsText" dxfId="3" priority="32" operator="between" text="库存">
      <formula>NOT(ISERROR(SEARCH("库存",AS45)))</formula>
    </cfRule>
  </conditionalFormatting>
  <conditionalFormatting sqref="AS46">
    <cfRule type="cellIs" dxfId="0" priority="173" operator="lessThan">
      <formula>20</formula>
    </cfRule>
    <cfRule type="cellIs" dxfId="1" priority="102" operator="greaterThan">
      <formula>120</formula>
    </cfRule>
    <cfRule type="containsText" dxfId="3" priority="31" operator="between" text="库存">
      <formula>NOT(ISERROR(SEARCH("库存",AS46)))</formula>
    </cfRule>
  </conditionalFormatting>
  <conditionalFormatting sqref="AS47">
    <cfRule type="cellIs" dxfId="0" priority="172" operator="lessThan">
      <formula>20</formula>
    </cfRule>
    <cfRule type="cellIs" dxfId="1" priority="101" operator="greaterThan">
      <formula>120</formula>
    </cfRule>
    <cfRule type="containsText" dxfId="3" priority="30" operator="between" text="库存">
      <formula>NOT(ISERROR(SEARCH("库存",AS47)))</formula>
    </cfRule>
  </conditionalFormatting>
  <conditionalFormatting sqref="AS48">
    <cfRule type="cellIs" dxfId="0" priority="171" operator="lessThan">
      <formula>20</formula>
    </cfRule>
    <cfRule type="cellIs" dxfId="1" priority="100" operator="greaterThan">
      <formula>120</formula>
    </cfRule>
    <cfRule type="containsText" dxfId="3" priority="29" operator="between" text="库存">
      <formula>NOT(ISERROR(SEARCH("库存",AS48)))</formula>
    </cfRule>
  </conditionalFormatting>
  <conditionalFormatting sqref="AS49">
    <cfRule type="cellIs" dxfId="0" priority="170" operator="lessThan">
      <formula>20</formula>
    </cfRule>
    <cfRule type="cellIs" dxfId="1" priority="99" operator="greaterThan">
      <formula>120</formula>
    </cfRule>
    <cfRule type="containsText" dxfId="3" priority="28" operator="between" text="库存">
      <formula>NOT(ISERROR(SEARCH("库存",AS49)))</formula>
    </cfRule>
  </conditionalFormatting>
  <conditionalFormatting sqref="AS50">
    <cfRule type="cellIs" dxfId="0" priority="169" operator="lessThan">
      <formula>20</formula>
    </cfRule>
    <cfRule type="cellIs" dxfId="1" priority="98" operator="greaterThan">
      <formula>120</formula>
    </cfRule>
    <cfRule type="containsText" dxfId="3" priority="27" operator="between" text="库存">
      <formula>NOT(ISERROR(SEARCH("库存",AS50)))</formula>
    </cfRule>
  </conditionalFormatting>
  <conditionalFormatting sqref="AS51">
    <cfRule type="cellIs" dxfId="0" priority="168" operator="lessThan">
      <formula>20</formula>
    </cfRule>
    <cfRule type="cellIs" dxfId="1" priority="97" operator="greaterThan">
      <formula>120</formula>
    </cfRule>
    <cfRule type="containsText" dxfId="3" priority="26" operator="between" text="库存">
      <formula>NOT(ISERROR(SEARCH("库存",AS51)))</formula>
    </cfRule>
  </conditionalFormatting>
  <conditionalFormatting sqref="AS52">
    <cfRule type="cellIs" dxfId="0" priority="167" operator="lessThan">
      <formula>20</formula>
    </cfRule>
    <cfRule type="cellIs" dxfId="1" priority="96" operator="greaterThan">
      <formula>120</formula>
    </cfRule>
    <cfRule type="containsText" dxfId="3" priority="25" operator="between" text="库存">
      <formula>NOT(ISERROR(SEARCH("库存",AS52)))</formula>
    </cfRule>
  </conditionalFormatting>
  <conditionalFormatting sqref="AS53">
    <cfRule type="cellIs" dxfId="0" priority="166" operator="lessThan">
      <formula>20</formula>
    </cfRule>
    <cfRule type="cellIs" dxfId="1" priority="95" operator="greaterThan">
      <formula>120</formula>
    </cfRule>
    <cfRule type="containsText" dxfId="3" priority="24" operator="between" text="库存">
      <formula>NOT(ISERROR(SEARCH("库存",AS53)))</formula>
    </cfRule>
  </conditionalFormatting>
  <conditionalFormatting sqref="AS54">
    <cfRule type="cellIs" dxfId="0" priority="165" operator="lessThan">
      <formula>20</formula>
    </cfRule>
    <cfRule type="cellIs" dxfId="1" priority="94" operator="greaterThan">
      <formula>120</formula>
    </cfRule>
    <cfRule type="containsText" dxfId="3" priority="23" operator="between" text="库存">
      <formula>NOT(ISERROR(SEARCH("库存",AS54)))</formula>
    </cfRule>
  </conditionalFormatting>
  <conditionalFormatting sqref="AS55">
    <cfRule type="cellIs" dxfId="0" priority="164" operator="lessThan">
      <formula>20</formula>
    </cfRule>
    <cfRule type="cellIs" dxfId="1" priority="93" operator="greaterThan">
      <formula>120</formula>
    </cfRule>
    <cfRule type="containsText" dxfId="3" priority="22" operator="between" text="库存">
      <formula>NOT(ISERROR(SEARCH("库存",AS55)))</formula>
    </cfRule>
  </conditionalFormatting>
  <conditionalFormatting sqref="AS56">
    <cfRule type="cellIs" dxfId="0" priority="163" operator="lessThan">
      <formula>20</formula>
    </cfRule>
    <cfRule type="cellIs" dxfId="1" priority="92" operator="greaterThan">
      <formula>120</formula>
    </cfRule>
    <cfRule type="containsText" dxfId="3" priority="21" operator="between" text="库存">
      <formula>NOT(ISERROR(SEARCH("库存",AS56)))</formula>
    </cfRule>
  </conditionalFormatting>
  <conditionalFormatting sqref="AS57">
    <cfRule type="cellIs" dxfId="0" priority="162" operator="lessThan">
      <formula>20</formula>
    </cfRule>
    <cfRule type="cellIs" dxfId="1" priority="91" operator="greaterThan">
      <formula>120</formula>
    </cfRule>
    <cfRule type="containsText" dxfId="3" priority="20" operator="between" text="库存">
      <formula>NOT(ISERROR(SEARCH("库存",AS57)))</formula>
    </cfRule>
  </conditionalFormatting>
  <conditionalFormatting sqref="AS58">
    <cfRule type="cellIs" dxfId="0" priority="161" operator="lessThan">
      <formula>20</formula>
    </cfRule>
    <cfRule type="cellIs" dxfId="1" priority="90" operator="greaterThan">
      <formula>120</formula>
    </cfRule>
    <cfRule type="containsText" dxfId="3" priority="19" operator="between" text="库存">
      <formula>NOT(ISERROR(SEARCH("库存",AS58)))</formula>
    </cfRule>
  </conditionalFormatting>
  <conditionalFormatting sqref="AS59">
    <cfRule type="cellIs" dxfId="0" priority="160" operator="lessThan">
      <formula>20</formula>
    </cfRule>
    <cfRule type="cellIs" dxfId="1" priority="89" operator="greaterThan">
      <formula>120</formula>
    </cfRule>
    <cfRule type="containsText" dxfId="3" priority="18" operator="between" text="库存">
      <formula>NOT(ISERROR(SEARCH("库存",AS59)))</formula>
    </cfRule>
  </conditionalFormatting>
  <conditionalFormatting sqref="AS60">
    <cfRule type="cellIs" dxfId="0" priority="159" operator="lessThan">
      <formula>20</formula>
    </cfRule>
    <cfRule type="cellIs" dxfId="1" priority="88" operator="greaterThan">
      <formula>120</formula>
    </cfRule>
    <cfRule type="containsText" dxfId="3" priority="17" operator="between" text="库存">
      <formula>NOT(ISERROR(SEARCH("库存",AS60)))</formula>
    </cfRule>
  </conditionalFormatting>
  <conditionalFormatting sqref="AS61">
    <cfRule type="cellIs" dxfId="0" priority="158" operator="lessThan">
      <formula>20</formula>
    </cfRule>
    <cfRule type="cellIs" dxfId="1" priority="87" operator="greaterThan">
      <formula>120</formula>
    </cfRule>
    <cfRule type="containsText" dxfId="3" priority="16" operator="between" text="库存">
      <formula>NOT(ISERROR(SEARCH("库存",AS61)))</formula>
    </cfRule>
  </conditionalFormatting>
  <conditionalFormatting sqref="AS62">
    <cfRule type="cellIs" dxfId="0" priority="157" operator="lessThan">
      <formula>20</formula>
    </cfRule>
    <cfRule type="cellIs" dxfId="1" priority="86" operator="greaterThan">
      <formula>120</formula>
    </cfRule>
    <cfRule type="containsText" dxfId="3" priority="15" operator="between" text="库存">
      <formula>NOT(ISERROR(SEARCH("库存",AS62)))</formula>
    </cfRule>
  </conditionalFormatting>
  <conditionalFormatting sqref="AS63">
    <cfRule type="cellIs" dxfId="0" priority="156" operator="lessThan">
      <formula>20</formula>
    </cfRule>
    <cfRule type="cellIs" dxfId="1" priority="85" operator="greaterThan">
      <formula>120</formula>
    </cfRule>
    <cfRule type="containsText" dxfId="3" priority="14" operator="between" text="库存">
      <formula>NOT(ISERROR(SEARCH("库存",AS63)))</formula>
    </cfRule>
  </conditionalFormatting>
  <conditionalFormatting sqref="AS64">
    <cfRule type="cellIs" dxfId="0" priority="155" operator="lessThan">
      <formula>20</formula>
    </cfRule>
    <cfRule type="cellIs" dxfId="1" priority="84" operator="greaterThan">
      <formula>120</formula>
    </cfRule>
    <cfRule type="containsText" dxfId="3" priority="13" operator="between" text="库存">
      <formula>NOT(ISERROR(SEARCH("库存",AS64)))</formula>
    </cfRule>
  </conditionalFormatting>
  <conditionalFormatting sqref="AS65">
    <cfRule type="cellIs" dxfId="0" priority="154" operator="lessThan">
      <formula>20</formula>
    </cfRule>
    <cfRule type="cellIs" dxfId="1" priority="83" operator="greaterThan">
      <formula>120</formula>
    </cfRule>
    <cfRule type="containsText" dxfId="3" priority="12" operator="between" text="库存">
      <formula>NOT(ISERROR(SEARCH("库存",AS65)))</formula>
    </cfRule>
  </conditionalFormatting>
  <conditionalFormatting sqref="AS66">
    <cfRule type="cellIs" dxfId="0" priority="153" operator="lessThan">
      <formula>20</formula>
    </cfRule>
    <cfRule type="cellIs" dxfId="1" priority="82" operator="greaterThan">
      <formula>120</formula>
    </cfRule>
    <cfRule type="containsText" dxfId="3" priority="11" operator="between" text="库存">
      <formula>NOT(ISERROR(SEARCH("库存",AS66)))</formula>
    </cfRule>
  </conditionalFormatting>
  <conditionalFormatting sqref="AS67">
    <cfRule type="cellIs" dxfId="0" priority="152" operator="lessThan">
      <formula>20</formula>
    </cfRule>
    <cfRule type="cellIs" dxfId="1" priority="81" operator="greaterThan">
      <formula>120</formula>
    </cfRule>
    <cfRule type="containsText" dxfId="3" priority="10" operator="between" text="库存">
      <formula>NOT(ISERROR(SEARCH("库存",AS67)))</formula>
    </cfRule>
  </conditionalFormatting>
  <conditionalFormatting sqref="AS68">
    <cfRule type="cellIs" dxfId="0" priority="151" operator="lessThan">
      <formula>20</formula>
    </cfRule>
    <cfRule type="cellIs" dxfId="1" priority="80" operator="greaterThan">
      <formula>120</formula>
    </cfRule>
    <cfRule type="containsText" dxfId="3" priority="9" operator="between" text="库存">
      <formula>NOT(ISERROR(SEARCH("库存",AS68)))</formula>
    </cfRule>
  </conditionalFormatting>
  <conditionalFormatting sqref="AS69">
    <cfRule type="cellIs" dxfId="0" priority="150" operator="lessThan">
      <formula>20</formula>
    </cfRule>
    <cfRule type="cellIs" dxfId="1" priority="79" operator="greaterThan">
      <formula>120</formula>
    </cfRule>
    <cfRule type="containsText" dxfId="3" priority="8" operator="between" text="库存">
      <formula>NOT(ISERROR(SEARCH("库存",AS69)))</formula>
    </cfRule>
  </conditionalFormatting>
  <conditionalFormatting sqref="AS70">
    <cfRule type="cellIs" dxfId="0" priority="149" operator="lessThan">
      <formula>20</formula>
    </cfRule>
    <cfRule type="cellIs" dxfId="1" priority="78" operator="greaterThan">
      <formula>120</formula>
    </cfRule>
    <cfRule type="containsText" dxfId="3" priority="7" operator="between" text="库存">
      <formula>NOT(ISERROR(SEARCH("库存",AS70)))</formula>
    </cfRule>
  </conditionalFormatting>
  <conditionalFormatting sqref="AS71">
    <cfRule type="cellIs" dxfId="0" priority="148" operator="lessThan">
      <formula>20</formula>
    </cfRule>
    <cfRule type="cellIs" dxfId="1" priority="77" operator="greaterThan">
      <formula>120</formula>
    </cfRule>
    <cfRule type="containsText" dxfId="3" priority="6" operator="between" text="库存">
      <formula>NOT(ISERROR(SEARCH("库存",AS71)))</formula>
    </cfRule>
  </conditionalFormatting>
  <conditionalFormatting sqref="AS72">
    <cfRule type="cellIs" dxfId="0" priority="147" operator="lessThan">
      <formula>20</formula>
    </cfRule>
    <cfRule type="cellIs" dxfId="1" priority="76" operator="greaterThan">
      <formula>120</formula>
    </cfRule>
    <cfRule type="containsText" dxfId="3" priority="5" operator="between" text="库存">
      <formula>NOT(ISERROR(SEARCH("库存",AS72)))</formula>
    </cfRule>
  </conditionalFormatting>
  <conditionalFormatting sqref="AS73">
    <cfRule type="cellIs" dxfId="0" priority="146" operator="lessThan">
      <formula>20</formula>
    </cfRule>
    <cfRule type="cellIs" dxfId="1" priority="75" operator="greaterThan">
      <formula>120</formula>
    </cfRule>
    <cfRule type="containsText" dxfId="3" priority="4" operator="between" text="库存">
      <formula>NOT(ISERROR(SEARCH("库存",AS73)))</formula>
    </cfRule>
  </conditionalFormatting>
  <conditionalFormatting sqref="AS74">
    <cfRule type="cellIs" dxfId="0" priority="145" operator="lessThan">
      <formula>20</formula>
    </cfRule>
    <cfRule type="cellIs" dxfId="1" priority="74" operator="greaterThan">
      <formula>120</formula>
    </cfRule>
    <cfRule type="containsText" dxfId="3" priority="3" operator="between" text="库存">
      <formula>NOT(ISERROR(SEARCH("库存",AS74)))</formula>
    </cfRule>
  </conditionalFormatting>
  <conditionalFormatting sqref="AS75">
    <cfRule type="cellIs" dxfId="0" priority="144" operator="lessThan">
      <formula>20</formula>
    </cfRule>
    <cfRule type="cellIs" dxfId="1" priority="73" operator="greaterThan">
      <formula>120</formula>
    </cfRule>
    <cfRule type="containsText" dxfId="3" priority="2" operator="between" text="库存">
      <formula>NOT(ISERROR(SEARCH("库存",AS75)))</formula>
    </cfRule>
  </conditionalFormatting>
  <conditionalFormatting sqref="AS76">
    <cfRule type="cellIs" dxfId="0" priority="143" operator="lessThan">
      <formula>20</formula>
    </cfRule>
    <cfRule type="cellIs" dxfId="1" priority="72" operator="greaterThan">
      <formula>120</formula>
    </cfRule>
    <cfRule type="containsText" dxfId="3" priority="1" operator="between" text="库存">
      <formula>NOT(ISERROR(SEARCH("库存",AS76)))</formula>
    </cfRule>
  </conditionalFormatting>
  <conditionalFormatting sqref="AS77">
    <cfRule type="cellIs" dxfId="0" priority="997" operator="lessThan">
      <formula>20</formula>
    </cfRule>
    <cfRule type="cellIs" dxfId="1" priority="925" operator="greaterThan">
      <formula>120</formula>
    </cfRule>
    <cfRule type="containsText" dxfId="3" priority="853" operator="between" text="库存">
      <formula>NOT(ISERROR(SEARCH("库存",AS77)))</formula>
    </cfRule>
  </conditionalFormatting>
  <conditionalFormatting sqref="AS78">
    <cfRule type="cellIs" dxfId="0" priority="1914" operator="lessThan">
      <formula>20</formula>
    </cfRule>
    <cfRule type="cellIs" dxfId="1" priority="1824" operator="greaterThan">
      <formula>120</formula>
    </cfRule>
    <cfRule type="containsText" dxfId="3" priority="1734" operator="between" text="库存">
      <formula>NOT(ISERROR(SEARCH("库存",AS78)))</formula>
    </cfRule>
  </conditionalFormatting>
  <conditionalFormatting sqref="AS79">
    <cfRule type="cellIs" dxfId="0" priority="1913" operator="lessThan">
      <formula>20</formula>
    </cfRule>
    <cfRule type="cellIs" dxfId="1" priority="1823" operator="greaterThan">
      <formula>120</formula>
    </cfRule>
    <cfRule type="containsText" dxfId="3" priority="1733" operator="between" text="库存">
      <formula>NOT(ISERROR(SEARCH("库存",AS79)))</formula>
    </cfRule>
  </conditionalFormatting>
  <conditionalFormatting sqref="AS80">
    <cfRule type="cellIs" dxfId="0" priority="1912" operator="lessThan">
      <formula>20</formula>
    </cfRule>
    <cfRule type="cellIs" dxfId="1" priority="1822" operator="greaterThan">
      <formula>120</formula>
    </cfRule>
    <cfRule type="containsText" dxfId="3" priority="1732" operator="between" text="库存">
      <formula>NOT(ISERROR(SEARCH("库存",AS80)))</formula>
    </cfRule>
  </conditionalFormatting>
  <conditionalFormatting sqref="AS81">
    <cfRule type="cellIs" dxfId="0" priority="1911" operator="lessThan">
      <formula>20</formula>
    </cfRule>
    <cfRule type="cellIs" dxfId="1" priority="1821" operator="greaterThan">
      <formula>120</formula>
    </cfRule>
    <cfRule type="containsText" dxfId="3" priority="1731" operator="between" text="库存">
      <formula>NOT(ISERROR(SEARCH("库存",AS81)))</formula>
    </cfRule>
  </conditionalFormatting>
  <conditionalFormatting sqref="AS82">
    <cfRule type="cellIs" dxfId="0" priority="1910" operator="lessThan">
      <formula>20</formula>
    </cfRule>
    <cfRule type="cellIs" dxfId="1" priority="1820" operator="greaterThan">
      <formula>120</formula>
    </cfRule>
    <cfRule type="containsText" dxfId="3" priority="1730" operator="between" text="库存">
      <formula>NOT(ISERROR(SEARCH("库存",AS82)))</formula>
    </cfRule>
  </conditionalFormatting>
  <conditionalFormatting sqref="AS83">
    <cfRule type="cellIs" dxfId="0" priority="1909" operator="lessThan">
      <formula>20</formula>
    </cfRule>
    <cfRule type="cellIs" dxfId="1" priority="1819" operator="greaterThan">
      <formula>120</formula>
    </cfRule>
    <cfRule type="containsText" dxfId="3" priority="1729" operator="between" text="库存">
      <formula>NOT(ISERROR(SEARCH("库存",AS83)))</formula>
    </cfRule>
  </conditionalFormatting>
  <conditionalFormatting sqref="AS84">
    <cfRule type="cellIs" dxfId="0" priority="1908" operator="lessThan">
      <formula>20</formula>
    </cfRule>
    <cfRule type="cellIs" dxfId="1" priority="1818" operator="greaterThan">
      <formula>120</formula>
    </cfRule>
    <cfRule type="containsText" dxfId="3" priority="1728" operator="between" text="库存">
      <formula>NOT(ISERROR(SEARCH("库存",AS84)))</formula>
    </cfRule>
  </conditionalFormatting>
  <conditionalFormatting sqref="AS85">
    <cfRule type="cellIs" dxfId="0" priority="1907" operator="lessThan">
      <formula>20</formula>
    </cfRule>
    <cfRule type="cellIs" dxfId="1" priority="1817" operator="greaterThan">
      <formula>120</formula>
    </cfRule>
    <cfRule type="containsText" dxfId="3" priority="1727" operator="between" text="库存">
      <formula>NOT(ISERROR(SEARCH("库存",AS85)))</formula>
    </cfRule>
  </conditionalFormatting>
  <conditionalFormatting sqref="AS86">
    <cfRule type="cellIs" dxfId="0" priority="1906" operator="lessThan">
      <formula>20</formula>
    </cfRule>
    <cfRule type="cellIs" dxfId="1" priority="1816" operator="greaterThan">
      <formula>120</formula>
    </cfRule>
    <cfRule type="containsText" dxfId="3" priority="1726" operator="between" text="库存">
      <formula>NOT(ISERROR(SEARCH("库存",AS86)))</formula>
    </cfRule>
  </conditionalFormatting>
  <conditionalFormatting sqref="AS87">
    <cfRule type="cellIs" dxfId="0" priority="1905" operator="lessThan">
      <formula>20</formula>
    </cfRule>
    <cfRule type="cellIs" dxfId="1" priority="1815" operator="greaterThan">
      <formula>120</formula>
    </cfRule>
    <cfRule type="containsText" dxfId="3" priority="1725" operator="between" text="库存">
      <formula>NOT(ISERROR(SEARCH("库存",AS87)))</formula>
    </cfRule>
  </conditionalFormatting>
  <conditionalFormatting sqref="AS88">
    <cfRule type="cellIs" dxfId="0" priority="1904" operator="lessThan">
      <formula>20</formula>
    </cfRule>
    <cfRule type="cellIs" dxfId="1" priority="1814" operator="greaterThan">
      <formula>120</formula>
    </cfRule>
    <cfRule type="containsText" dxfId="3" priority="1724" operator="between" text="库存">
      <formula>NOT(ISERROR(SEARCH("库存",AS88)))</formula>
    </cfRule>
  </conditionalFormatting>
  <conditionalFormatting sqref="AS89">
    <cfRule type="cellIs" dxfId="0" priority="1903" operator="lessThan">
      <formula>20</formula>
    </cfRule>
    <cfRule type="cellIs" dxfId="1" priority="1813" operator="greaterThan">
      <formula>120</formula>
    </cfRule>
    <cfRule type="containsText" dxfId="3" priority="1723" operator="between" text="库存">
      <formula>NOT(ISERROR(SEARCH("库存",AS89)))</formula>
    </cfRule>
  </conditionalFormatting>
  <conditionalFormatting sqref="AS90">
    <cfRule type="cellIs" dxfId="0" priority="1902" operator="lessThan">
      <formula>20</formula>
    </cfRule>
    <cfRule type="cellIs" dxfId="1" priority="1812" operator="greaterThan">
      <formula>120</formula>
    </cfRule>
    <cfRule type="containsText" dxfId="3" priority="1722" operator="between" text="库存">
      <formula>NOT(ISERROR(SEARCH("库存",AS90)))</formula>
    </cfRule>
  </conditionalFormatting>
  <conditionalFormatting sqref="AS91">
    <cfRule type="cellIs" dxfId="0" priority="1901" operator="lessThan">
      <formula>20</formula>
    </cfRule>
    <cfRule type="cellIs" dxfId="1" priority="1811" operator="greaterThan">
      <formula>120</formula>
    </cfRule>
    <cfRule type="containsText" dxfId="3" priority="1721" operator="between" text="库存">
      <formula>NOT(ISERROR(SEARCH("库存",AS91)))</formula>
    </cfRule>
  </conditionalFormatting>
  <conditionalFormatting sqref="AS92">
    <cfRule type="cellIs" dxfId="0" priority="1900" operator="lessThan">
      <formula>20</formula>
    </cfRule>
    <cfRule type="cellIs" dxfId="1" priority="1810" operator="greaterThan">
      <formula>120</formula>
    </cfRule>
    <cfRule type="containsText" dxfId="3" priority="1720" operator="between" text="库存">
      <formula>NOT(ISERROR(SEARCH("库存",AS92)))</formula>
    </cfRule>
  </conditionalFormatting>
  <conditionalFormatting sqref="AS93">
    <cfRule type="cellIs" dxfId="0" priority="1899" operator="lessThan">
      <formula>20</formula>
    </cfRule>
    <cfRule type="cellIs" dxfId="1" priority="1809" operator="greaterThan">
      <formula>120</formula>
    </cfRule>
    <cfRule type="containsText" dxfId="3" priority="1719" operator="between" text="库存">
      <formula>NOT(ISERROR(SEARCH("库存",AS93)))</formula>
    </cfRule>
  </conditionalFormatting>
  <conditionalFormatting sqref="AS94">
    <cfRule type="cellIs" dxfId="0" priority="1898" operator="lessThan">
      <formula>20</formula>
    </cfRule>
    <cfRule type="cellIs" dxfId="1" priority="1808" operator="greaterThan">
      <formula>120</formula>
    </cfRule>
    <cfRule type="containsText" dxfId="3" priority="1718" operator="between" text="库存">
      <formula>NOT(ISERROR(SEARCH("库存",AS94)))</formula>
    </cfRule>
  </conditionalFormatting>
  <conditionalFormatting sqref="AS95">
    <cfRule type="cellIs" dxfId="0" priority="1897" operator="lessThan">
      <formula>20</formula>
    </cfRule>
    <cfRule type="cellIs" dxfId="1" priority="1807" operator="greaterThan">
      <formula>120</formula>
    </cfRule>
    <cfRule type="containsText" dxfId="3" priority="1717" operator="between" text="库存">
      <formula>NOT(ISERROR(SEARCH("库存",AS95)))</formula>
    </cfRule>
  </conditionalFormatting>
  <conditionalFormatting sqref="AS1 AS3:AS5 AS96:AS1048576">
    <cfRule type="cellIs" dxfId="0" priority="1992" operator="lessThan">
      <formula>20</formula>
    </cfRule>
    <cfRule type="cellIs" dxfId="1" priority="1991" operator="greaterThan">
      <formula>120</formula>
    </cfRule>
    <cfRule type="containsText" dxfId="3" priority="199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7" sqref="C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1131</v>
      </c>
      <c r="B1" s="2">
        <f>B12</f>
        <v>43290</v>
      </c>
    </row>
    <row r="2" spans="1:2">
      <c r="A2" s="1" t="s">
        <v>1132</v>
      </c>
      <c r="B2" s="2">
        <v>43317</v>
      </c>
    </row>
    <row r="3" spans="1:2">
      <c r="A3" s="1"/>
      <c r="B3" s="1"/>
    </row>
    <row r="4" spans="1:2">
      <c r="A4" s="1" t="s">
        <v>1133</v>
      </c>
      <c r="B4" s="3">
        <f>B2+1</f>
        <v>43318</v>
      </c>
    </row>
    <row r="5" spans="1:2">
      <c r="A5" s="1" t="s">
        <v>1134</v>
      </c>
      <c r="B5" s="4">
        <f>B2</f>
        <v>43317</v>
      </c>
    </row>
    <row r="6" spans="1:2">
      <c r="A6" s="1" t="s">
        <v>1135</v>
      </c>
      <c r="B6" s="3">
        <f>B5-6</f>
        <v>43311</v>
      </c>
    </row>
    <row r="7" spans="1:2">
      <c r="A7" s="1" t="s">
        <v>1136</v>
      </c>
      <c r="B7" s="3">
        <f>B5-7</f>
        <v>43310</v>
      </c>
    </row>
    <row r="8" spans="1:2">
      <c r="A8" s="1" t="s">
        <v>1137</v>
      </c>
      <c r="B8" s="3">
        <f>B5-13</f>
        <v>43304</v>
      </c>
    </row>
    <row r="9" spans="1:2">
      <c r="A9" s="1" t="s">
        <v>1138</v>
      </c>
      <c r="B9" s="3">
        <f>B5-14</f>
        <v>43303</v>
      </c>
    </row>
    <row r="10" spans="1:2">
      <c r="A10" s="1" t="s">
        <v>1139</v>
      </c>
      <c r="B10" s="3">
        <f>B5-20</f>
        <v>43297</v>
      </c>
    </row>
    <row r="11" spans="1:2">
      <c r="A11" s="1" t="s">
        <v>1140</v>
      </c>
      <c r="B11" s="3">
        <f>B5-21</f>
        <v>43296</v>
      </c>
    </row>
    <row r="12" spans="1:2">
      <c r="A12" s="1" t="s">
        <v>1141</v>
      </c>
      <c r="B12" s="3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2018-08-08T03:20:34Z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