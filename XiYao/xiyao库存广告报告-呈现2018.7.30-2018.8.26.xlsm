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'库存（子SKU）'!$C$6:$C$566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<sst xmlns="http://schemas.openxmlformats.org/spreadsheetml/2006/main" count="1265">
  <si>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</si>
  <si>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</si>
  <si>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</si>
  <si>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</si>
  <si>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</si>
  <si>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</si>
  <si>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</si>
  <si>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</si>
  <si>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</si>
  <si>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</si>
  <si>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</si>
  <si>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</si>
  <si>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</si>
  <si>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</si>
  <si>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</si>
  <si>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</si>
  <si>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</si>
  <si>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</si>
  <si>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</si>
  <si>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</si>
  <si>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</si>
  <si>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</si>
  <si>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</si>
  <si>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</si>
  <si>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</si>
  <si>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</si>
  <si>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</si>
  <si>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</si>
  <si>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</si>
  <si>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</si>
  <si>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</si>
  <si>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</si>
  <si>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</si>
  <si>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</si>
  <si>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</si>
  <si>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</si>
  <si>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</si>
  <si>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</si>
  <si>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</si>
  <si>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</si>
  <si>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</si>
  <si>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</si>
  <si>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</si>
  <si>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</si>
  <si>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</si>
  <si>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</si>
  <si>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</si>
  <si>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</si>
  <si>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</si>
  <si>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</si>
  <si>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</si>
  <si>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DD-BNY-W0</t>
  </si>
  <si>
    <t>B074FPYB9N</t>
  </si>
  <si>
    <t>DD-BNY</t>
  </si>
  <si>
    <t/>
  </si>
  <si>
    <t>DD-HNY-K0</t>
  </si>
  <si>
    <t>B074FP8NZF</t>
  </si>
  <si>
    <t>DD-HNY</t>
  </si>
  <si>
    <t>DDBNYW0</t>
  </si>
  <si>
    <t>DDBNY</t>
  </si>
  <si>
    <t>DDHNYK0</t>
  </si>
  <si>
    <t>DDHNY</t>
  </si>
  <si>
    <t>GJHNYK0</t>
  </si>
  <si>
    <t>B074FQSTJL</t>
  </si>
  <si>
    <t>GJHNY</t>
  </si>
  <si>
    <t>无销量广告费为8.35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</si>
  <si>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</si>
  <si>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</si>
  <si>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</si>
  <si>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</si>
  <si>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</si>
  <si>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</si>
  <si>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</si>
  <si>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</si>
  <si>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</si>
  <si>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</si>
  <si>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</si>
  <si>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</si>
  <si>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</si>
  <si>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</si>
  <si>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</si>
  <si>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</si>
  <si>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</si>
  <si>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</si>
  <si>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</si>
  <si>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</si>
  <si>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</si>
  <si>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</si>
  <si>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</si>
  <si>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KTKW0TW0XL</t>
  </si>
  <si>
    <t>B071JYNS5V</t>
  </si>
  <si>
    <t>KTKSTY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</si>
  <si>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</si>
  <si>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</si>
  <si>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</si>
  <si>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</si>
  <si>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</si>
  <si>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</si>
  <si>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</si>
  <si>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</si>
  <si>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</si>
  <si>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</si>
  <si>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</si>
  <si>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</si>
  <si>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</si>
  <si>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</si>
  <si>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</si>
  <si>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</si>
  <si>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</si>
  <si>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</si>
  <si>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MY-16055K0-L</t>
  </si>
  <si>
    <t>B0761V7L2R</t>
  </si>
  <si>
    <t>MY16055</t>
  </si>
  <si>
    <t>MY-16055K0-M</t>
  </si>
  <si>
    <t>B0761QBHM9</t>
  </si>
  <si>
    <t>MY-16055K0-S</t>
  </si>
  <si>
    <t>B0761S8TXR</t>
  </si>
  <si>
    <t>MY-16055K0-XL</t>
  </si>
  <si>
    <t>B0761N3HJ3</t>
  </si>
  <si>
    <t>MY-16055MS-M</t>
  </si>
  <si>
    <t>B0761NM1NH</t>
  </si>
  <si>
    <t>MY-16055MS-S</t>
  </si>
  <si>
    <t>B0761Q9VPH</t>
  </si>
  <si>
    <t>MY-16055MS-XL</t>
  </si>
  <si>
    <t>B0761Q7KPX</t>
  </si>
  <si>
    <t>MY-16055MS-XXL</t>
  </si>
  <si>
    <t>B0761QW2JK</t>
  </si>
  <si>
    <t>MY-16055ZQ-L</t>
  </si>
  <si>
    <t>B0761PXTK8</t>
  </si>
  <si>
    <t>MY-16055ZQ-M</t>
  </si>
  <si>
    <t>B0761Q4YF6</t>
  </si>
  <si>
    <t>MY-16055ZQ-S</t>
  </si>
  <si>
    <t>B0761PL2N2</t>
  </si>
  <si>
    <t>MY-16055ZQ-XXL</t>
  </si>
  <si>
    <t>B0761NGYTK</t>
  </si>
  <si>
    <t>MY-71107K0-L</t>
  </si>
  <si>
    <t>B0761PSPTJ</t>
  </si>
  <si>
    <t>MY71107</t>
  </si>
  <si>
    <t>MY-71107K0-S</t>
  </si>
  <si>
    <t>B0761PDMGN</t>
  </si>
  <si>
    <t>MY-71107MS-L</t>
  </si>
  <si>
    <t>B0761P4LKC</t>
  </si>
  <si>
    <t>MY-71107MS-M</t>
  </si>
  <si>
    <t>B0761NJPNM</t>
  </si>
  <si>
    <t>MY-71107MS-S</t>
  </si>
  <si>
    <t>B0761NM3SZ</t>
  </si>
  <si>
    <t>MY-71107MS-XL</t>
  </si>
  <si>
    <t>B0761NNM84</t>
  </si>
  <si>
    <t>MY-71107MS-XXL</t>
  </si>
  <si>
    <t>B0761PTZY2</t>
  </si>
  <si>
    <t>MY-71107ZQ-S</t>
  </si>
  <si>
    <t>B0761N286T</t>
  </si>
  <si>
    <t>MY-71115K0-S</t>
  </si>
  <si>
    <t>B0761PDHV5</t>
  </si>
  <si>
    <t>MY71115</t>
  </si>
  <si>
    <t>MY-71115K0-XL</t>
  </si>
  <si>
    <t>B0761NGWJD</t>
  </si>
  <si>
    <t>MY-71115MS-L</t>
  </si>
  <si>
    <t>B0761NFTQC</t>
  </si>
  <si>
    <t>MY-71115MS-M</t>
  </si>
  <si>
    <t>B0761PV952</t>
  </si>
  <si>
    <t>MY-71115MS-S</t>
  </si>
  <si>
    <t>B0761NHB1Y</t>
  </si>
  <si>
    <t>MY-71115MS-XL</t>
  </si>
  <si>
    <t>B0761PWB12</t>
  </si>
  <si>
    <t>MY-71115MS-XXL</t>
  </si>
  <si>
    <t>B0761N46BN</t>
  </si>
  <si>
    <t>MY-71115ZQ-L</t>
  </si>
  <si>
    <t>B0761S2M63</t>
  </si>
  <si>
    <t>MY-71115ZQ-M</t>
  </si>
  <si>
    <t>B0761MXCJB</t>
  </si>
  <si>
    <t>MY-71115ZQ-S</t>
  </si>
  <si>
    <t>B0761R6ZG2</t>
  </si>
  <si>
    <t>MY-71115ZQ-XL</t>
  </si>
  <si>
    <t>B0761PBXCV</t>
  </si>
  <si>
    <t>MY-71115ZQ-XXL</t>
  </si>
  <si>
    <t>B0761MLYTQ</t>
  </si>
  <si>
    <t>MY16055K0L</t>
  </si>
  <si>
    <t>MY16055K0M</t>
  </si>
  <si>
    <t>MY16055K0S</t>
  </si>
  <si>
    <t>MY16055K0XL</t>
  </si>
  <si>
    <t>MY16055K0XXL</t>
  </si>
  <si>
    <t>B0761R93J2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</si>
  <si>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</si>
  <si>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</si>
  <si>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</si>
  <si>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</si>
  <si>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</si>
  <si>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</si>
  <si>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</si>
  <si>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MY16055ZQXXL</t>
  </si>
  <si>
    <t>MY71107K0L</t>
  </si>
  <si>
    <t>MY71107K0M</t>
  </si>
  <si>
    <t>B0761PWSG1</t>
  </si>
  <si>
    <t>MY71107K0S</t>
  </si>
  <si>
    <t>MY71107K0XL</t>
  </si>
  <si>
    <t>B0761PVQYZ</t>
  </si>
  <si>
    <t>MY71107MSL</t>
  </si>
  <si>
    <t>MY71107MSM</t>
  </si>
  <si>
    <t>MY71107MSS</t>
  </si>
  <si>
    <t>MY71107MSXL</t>
  </si>
  <si>
    <t>MY71107MSXXL</t>
  </si>
  <si>
    <t>MY71107ZQL</t>
  </si>
  <si>
    <t>B0761NJH9L</t>
  </si>
  <si>
    <t>MY71107ZQM</t>
  </si>
  <si>
    <t>B0761P4LK2</t>
  </si>
  <si>
    <t>MY71107ZQS</t>
  </si>
  <si>
    <t>MY71107ZQXL</t>
  </si>
  <si>
    <t>B0761NG4W8</t>
  </si>
  <si>
    <t>MY71107ZQXXL</t>
  </si>
  <si>
    <t>B0761PV7ZS</t>
  </si>
  <si>
    <t>MY71115K0L</t>
  </si>
  <si>
    <t>B0761NMRB4</t>
  </si>
  <si>
    <t>MY71115K0M</t>
  </si>
  <si>
    <t>B0761NNDWM</t>
  </si>
  <si>
    <t>MY71115K0S</t>
  </si>
  <si>
    <t>MY71115K0XL</t>
  </si>
  <si>
    <t>MY71115K0XXL</t>
  </si>
  <si>
    <t>B0761SKR3P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</si>
  <si>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</si>
  <si>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</si>
  <si>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</si>
  <si>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</si>
  <si>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</si>
  <si>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</si>
  <si>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</si>
  <si>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</si>
  <si>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</si>
  <si>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</si>
  <si>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N029YE036</t>
  </si>
  <si>
    <t>B074JWL6PF</t>
  </si>
  <si>
    <t>N029Y</t>
  </si>
  <si>
    <t>无销量广告费为0.29</t>
  </si>
  <si>
    <t>无销量广告费为0.82</t>
  </si>
  <si>
    <t>无销量广告费为0.81</t>
  </si>
  <si>
    <t>无销量广告费为0.28</t>
  </si>
  <si>
    <t>N029YE038</t>
  </si>
  <si>
    <t>B074JWL4F2</t>
  </si>
  <si>
    <t>N029YE040</t>
  </si>
  <si>
    <t>B074JV7QWX</t>
  </si>
  <si>
    <t>无销量广告费为1.24</t>
  </si>
  <si>
    <t>N029YHL36</t>
  </si>
  <si>
    <t>B074K1L386</t>
  </si>
  <si>
    <t>无销量广告费为0.58</t>
  </si>
  <si>
    <t>N029YHL38</t>
  </si>
  <si>
    <t>B074JWS1CB</t>
  </si>
  <si>
    <t>N029YHL40</t>
  </si>
  <si>
    <t>B074JW5XZ4</t>
  </si>
  <si>
    <t>无销量广告费为0.24</t>
  </si>
  <si>
    <t>无销量广告费为5.9</t>
  </si>
  <si>
    <t>N029YMH36</t>
  </si>
  <si>
    <t>B074K5FMRM</t>
  </si>
  <si>
    <t>N029YMH38</t>
  </si>
  <si>
    <t>B074K26CND</t>
  </si>
  <si>
    <t>无销量广告费为0.83</t>
  </si>
  <si>
    <t>N029YMH40</t>
  </si>
  <si>
    <t>B074JX2YCN</t>
  </si>
  <si>
    <t>N039YB036</t>
  </si>
  <si>
    <t>B074JWQ644</t>
  </si>
  <si>
    <t>N039Y</t>
  </si>
  <si>
    <t>无销量广告费为1.77</t>
  </si>
  <si>
    <t>无销量广告费为1.82</t>
  </si>
  <si>
    <t>N039YB038</t>
  </si>
  <si>
    <t>B074JX2YCX</t>
  </si>
  <si>
    <t>无销量广告费为0.44</t>
  </si>
  <si>
    <t>N039YB040</t>
  </si>
  <si>
    <t>B074JTW9NR</t>
  </si>
  <si>
    <t>N039YG036</t>
  </si>
  <si>
    <t>B074JZ2HSX</t>
  </si>
  <si>
    <t>无销量广告费为0.54</t>
  </si>
  <si>
    <t>N039YG038</t>
  </si>
  <si>
    <t>B074JW9ZRS</t>
  </si>
  <si>
    <t>无销量广告费为1.09</t>
  </si>
  <si>
    <t>无销量广告费为9.69</t>
  </si>
  <si>
    <t>无销量广告费为4.4</t>
  </si>
  <si>
    <t>N039YG040</t>
  </si>
  <si>
    <t>B074JW46DX</t>
  </si>
  <si>
    <t>无销量广告费为0.49</t>
  </si>
  <si>
    <t>无销量广告费为0.18</t>
  </si>
  <si>
    <t>N039YP036</t>
  </si>
  <si>
    <t>B074K1913X</t>
  </si>
  <si>
    <t>无销量广告费为1.07</t>
  </si>
  <si>
    <t>无销量广告费为0.41</t>
  </si>
  <si>
    <t>N039YP038</t>
  </si>
  <si>
    <t>B074JXGVBD</t>
  </si>
  <si>
    <t>无销量广告费为0.86</t>
  </si>
  <si>
    <t>无销量广告费为1.87</t>
  </si>
  <si>
    <t>N039YP040</t>
  </si>
  <si>
    <t>B074JY219R</t>
  </si>
  <si>
    <t>N039YR036</t>
  </si>
  <si>
    <t>B074JYMHZL</t>
  </si>
  <si>
    <t>N039YR038</t>
  </si>
  <si>
    <t>B074K3YM47</t>
  </si>
  <si>
    <t>无销量广告费为1.16</t>
  </si>
  <si>
    <t>N039YR040</t>
  </si>
  <si>
    <t>B074K4GLGJ</t>
  </si>
  <si>
    <t>无销量广告费为0.12</t>
  </si>
  <si>
    <t>N039YTHS36</t>
  </si>
  <si>
    <t>B074JTR9T4</t>
  </si>
  <si>
    <t>无销量广告费为0.75</t>
  </si>
  <si>
    <t>N039YTHS38</t>
  </si>
  <si>
    <t>B074K3MSFD</t>
  </si>
  <si>
    <t>无销量广告费为0.14</t>
  </si>
  <si>
    <t>无销量广告费为0.25</t>
  </si>
  <si>
    <t>N039YTHS40</t>
  </si>
  <si>
    <t>B074K4N247</t>
  </si>
  <si>
    <t>N039YXGH36</t>
  </si>
  <si>
    <t>B074K2GJCF</t>
  </si>
  <si>
    <t>N039YXGH38</t>
  </si>
  <si>
    <t>B074JZ42X6</t>
  </si>
  <si>
    <t>无销量广告费为0.45</t>
  </si>
  <si>
    <t>N039YXGH40</t>
  </si>
  <si>
    <t>B074JXZSJM</t>
  </si>
  <si>
    <t>N158YB038</t>
  </si>
  <si>
    <t>B074FXCYQT</t>
  </si>
  <si>
    <t>N158Y</t>
  </si>
  <si>
    <t>无销量广告费为5.34</t>
  </si>
  <si>
    <t>无销量广告费为10.59</t>
  </si>
  <si>
    <t>N158YK038</t>
  </si>
  <si>
    <t>B074FVRK4X</t>
  </si>
  <si>
    <t>N158YR038</t>
  </si>
  <si>
    <t>B074FSXVNK</t>
  </si>
  <si>
    <t>N1709YR042</t>
  </si>
  <si>
    <t>B074CZ4S1V</t>
  </si>
  <si>
    <t>N1709Y</t>
  </si>
  <si>
    <t>无销量广告费为0.78</t>
  </si>
  <si>
    <t>无销量广告费为1.66</t>
  </si>
  <si>
    <t>无销量广告费为2.56</t>
  </si>
  <si>
    <t>N1709YR046</t>
  </si>
  <si>
    <t>B074CS5P3X</t>
  </si>
  <si>
    <t>N1709YR048</t>
  </si>
  <si>
    <t>B074CSF1MY</t>
  </si>
  <si>
    <t>无销量广告费为0.52</t>
  </si>
  <si>
    <t>无销量广告费为2.73</t>
  </si>
  <si>
    <t>N1709YXS48</t>
  </si>
  <si>
    <t>B074CSG4ZS</t>
  </si>
  <si>
    <t>无销量广告费为0.07</t>
  </si>
  <si>
    <t>N1709YZS44</t>
  </si>
  <si>
    <t>B074CSPJVW</t>
  </si>
  <si>
    <t>N1709YZS46</t>
  </si>
  <si>
    <t>B074CS535P</t>
  </si>
  <si>
    <t>无销量广告费为0.67</t>
  </si>
  <si>
    <t>无销量广告费为2.78</t>
  </si>
  <si>
    <t>无销量广告费为2.87</t>
  </si>
  <si>
    <t>N1709YZS48</t>
  </si>
  <si>
    <t>B074CSCRF6</t>
  </si>
  <si>
    <t>N2033YK036</t>
  </si>
  <si>
    <t>B074DVZPS8</t>
  </si>
  <si>
    <t>N2033Y</t>
  </si>
  <si>
    <t>N2033YK038</t>
  </si>
  <si>
    <t>B074DWGDMH</t>
  </si>
  <si>
    <t>N2033YK040</t>
  </si>
  <si>
    <t>B074DWBXBD</t>
  </si>
  <si>
    <t>无销量广告费为0.19</t>
  </si>
  <si>
    <t>无销量广告费为1.44</t>
  </si>
  <si>
    <t>无销量广告费为3.05</t>
  </si>
  <si>
    <t>N2033YK042</t>
  </si>
  <si>
    <t>B074DVVVVP</t>
  </si>
  <si>
    <t>无销量广告费为0.08</t>
  </si>
  <si>
    <t>N2033YSG36</t>
  </si>
  <si>
    <t>B074DVCJDR</t>
  </si>
  <si>
    <t>N2033YSG40</t>
  </si>
  <si>
    <t>B074DW762P</t>
  </si>
  <si>
    <t>N2047YK032</t>
  </si>
  <si>
    <t>B074DVVJND</t>
  </si>
  <si>
    <t>N2047Y</t>
  </si>
  <si>
    <t>无销量广告费为0.21</t>
  </si>
  <si>
    <t>N2047YK034</t>
  </si>
  <si>
    <t>B074DW274J</t>
  </si>
  <si>
    <t>N2047YXS32</t>
  </si>
  <si>
    <t>B074DVQP6Q</t>
  </si>
  <si>
    <t>N2047YXS36</t>
  </si>
  <si>
    <t>B074DW3W5X</t>
  </si>
  <si>
    <t>N2082YK034</t>
  </si>
  <si>
    <t>B074DWLT99</t>
  </si>
  <si>
    <t>N2082Y</t>
  </si>
  <si>
    <t>无销量广告费为0.55</t>
  </si>
  <si>
    <t>N2082YK038</t>
  </si>
  <si>
    <t>B074DWFV62</t>
  </si>
  <si>
    <t>无销量广告费为1.18</t>
  </si>
  <si>
    <t>无销量广告费为0.68</t>
  </si>
  <si>
    <t>N2082YQJ34</t>
  </si>
  <si>
    <t>B074DW5ZSD</t>
  </si>
  <si>
    <t>无销量广告费为0.6</t>
  </si>
  <si>
    <t>N2082YQJ36</t>
  </si>
  <si>
    <t>B074DVY5J8</t>
  </si>
  <si>
    <t>无销量广告费为0.09</t>
  </si>
  <si>
    <t>N2082YQJ38</t>
  </si>
  <si>
    <t>B074DW2MGG</t>
  </si>
  <si>
    <t>N2082YQLS34</t>
  </si>
  <si>
    <t>B074DW1MXR</t>
  </si>
  <si>
    <t>无销量广告费为0.04</t>
  </si>
  <si>
    <t>N2082YQLS36</t>
  </si>
  <si>
    <t>B074DW2H3B</t>
  </si>
  <si>
    <t>N2082YQLS38</t>
  </si>
  <si>
    <t>B074DWNCM6</t>
  </si>
  <si>
    <t>N2257YG036</t>
  </si>
  <si>
    <t>B074FL1674</t>
  </si>
  <si>
    <t>N2257Y</t>
  </si>
  <si>
    <t>N2257YK038</t>
  </si>
  <si>
    <t>B074DW6NQD</t>
  </si>
  <si>
    <t>N2257YR538</t>
  </si>
  <si>
    <t>B074DV7WDZ</t>
  </si>
  <si>
    <t>N2257YSG36</t>
  </si>
  <si>
    <t>B074DVZ847</t>
  </si>
  <si>
    <t>无销量广告费为2.12</t>
  </si>
  <si>
    <t>无销量广告费为1.19</t>
  </si>
  <si>
    <t>无销量广告费为2.57</t>
  </si>
  <si>
    <t>N2716YHL34</t>
  </si>
  <si>
    <t>B074QJ923S</t>
  </si>
  <si>
    <t>N2716Y</t>
  </si>
  <si>
    <t>无销量广告费为0.62</t>
  </si>
  <si>
    <t>N2716YHL36</t>
  </si>
  <si>
    <t>B074Q9CTNJ</t>
  </si>
  <si>
    <t>无销量广告费为2.64</t>
  </si>
  <si>
    <t>无销量广告费为1.27</t>
  </si>
  <si>
    <t>N2716YHL38</t>
  </si>
  <si>
    <t>B074QQ5S79</t>
  </si>
  <si>
    <t>无销量广告费为1.8</t>
  </si>
  <si>
    <t>N2716YMH34</t>
  </si>
  <si>
    <t>B074QGD61W</t>
  </si>
  <si>
    <t>N2716YMH36</t>
  </si>
  <si>
    <t>B074QFDH8R</t>
  </si>
  <si>
    <t>无销量广告费为2.48</t>
  </si>
  <si>
    <t>无销量广告费为0.93</t>
  </si>
  <si>
    <t>N2716YMH38</t>
  </si>
  <si>
    <t>B074QCYQ9L</t>
  </si>
  <si>
    <t>无销量广告费为0.87</t>
  </si>
  <si>
    <t>N2716YR034</t>
  </si>
  <si>
    <t>B074QDS9ZN</t>
  </si>
  <si>
    <t>无销量广告费为2.32</t>
  </si>
  <si>
    <t>N2716YR036</t>
  </si>
  <si>
    <t>B074QGLLQN</t>
  </si>
  <si>
    <t>无销量广告费为0.11</t>
  </si>
  <si>
    <t>N2716YR038</t>
  </si>
  <si>
    <t>B074QG3P8G</t>
  </si>
  <si>
    <t>无销量广告费为0.17</t>
  </si>
  <si>
    <t>无销量广告费为4.51</t>
  </si>
  <si>
    <t>N2716YYGL34</t>
  </si>
  <si>
    <t>B074QCGCJC</t>
  </si>
  <si>
    <t>N2716YYGL36</t>
  </si>
  <si>
    <t>B074QDSYXY</t>
  </si>
  <si>
    <t>无销量广告费为0.88</t>
  </si>
  <si>
    <t>N2716YYGL38</t>
  </si>
  <si>
    <t>B074Q9RQFH</t>
  </si>
  <si>
    <t>无销量广告费为0.72</t>
  </si>
  <si>
    <t>N31459YB040</t>
  </si>
  <si>
    <t>B074CXLQVY</t>
  </si>
  <si>
    <t>N31459Y</t>
  </si>
  <si>
    <t>N31459YB042</t>
  </si>
  <si>
    <t>B074CX8YMH</t>
  </si>
  <si>
    <t>N31459YB044</t>
  </si>
  <si>
    <t>B074CX9229</t>
  </si>
  <si>
    <t>N31459YJS42</t>
  </si>
  <si>
    <t>B074CX7NWQ</t>
  </si>
  <si>
    <t>无销量广告费为3.48</t>
  </si>
  <si>
    <t>无销量广告费为8.89</t>
  </si>
  <si>
    <t>无销量广告费为10.92</t>
  </si>
  <si>
    <t>N31459YJS46</t>
  </si>
  <si>
    <t>B074CXNWMZ</t>
  </si>
  <si>
    <t>无销量广告费为0.02</t>
  </si>
  <si>
    <t>N31459YLL48</t>
  </si>
  <si>
    <t>B074CXBB31</t>
  </si>
  <si>
    <t>N31459YMH38</t>
  </si>
  <si>
    <t>B074CWRDHL</t>
  </si>
  <si>
    <t>N31459YMH42</t>
  </si>
  <si>
    <t>B074CXR8YG</t>
  </si>
  <si>
    <t>N31459YMH44</t>
  </si>
  <si>
    <t>B074CXK4TV</t>
  </si>
  <si>
    <t>N31459YMH46</t>
  </si>
  <si>
    <t>B074CX73CM</t>
  </si>
  <si>
    <t>无销量广告费为2.3</t>
  </si>
  <si>
    <t>无销量广告费为11.76</t>
  </si>
  <si>
    <t>无销量广告费为21.75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</si>
  <si>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</si>
  <si>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</si>
  <si>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</si>
  <si>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</si>
  <si>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</si>
  <si>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</si>
  <si>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</si>
  <si>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</si>
  <si>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</si>
  <si>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</si>
  <si>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</si>
  <si>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</si>
  <si>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无销量广告费为2.28</t>
  </si>
  <si>
    <t>无销量广告费为19.9</t>
  </si>
  <si>
    <t>无销量广告费为18.72</t>
  </si>
  <si>
    <t>N31459YR044</t>
  </si>
  <si>
    <t>B074CXMS2N</t>
  </si>
  <si>
    <t>N3818-2YW038</t>
  </si>
  <si>
    <t>B074CW3HDD</t>
  </si>
  <si>
    <t>N3818-2Y</t>
  </si>
  <si>
    <t>无销量广告费为0.74</t>
  </si>
  <si>
    <t>无销量广告费为3.69</t>
  </si>
  <si>
    <t>无销量广告费为8.38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</si>
  <si>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</si>
  <si>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</si>
  <si>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</si>
  <si>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</si>
  <si>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</si>
  <si>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</si>
  <si>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</si>
  <si>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</si>
  <si>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N531YB034</t>
  </si>
  <si>
    <t>B074JYLBHZ</t>
  </si>
  <si>
    <t>N531Y</t>
  </si>
  <si>
    <t>N531YB036</t>
  </si>
  <si>
    <t>B074JVMQRW</t>
  </si>
  <si>
    <t>无销量广告费为1.38</t>
  </si>
  <si>
    <t>无销量广告费为1.23</t>
  </si>
  <si>
    <t>N531YB038</t>
  </si>
  <si>
    <t>B074K4DJJR</t>
  </si>
  <si>
    <t>无销量广告费为4.73</t>
  </si>
  <si>
    <t>无销量广告费为2.05</t>
  </si>
  <si>
    <t>N531YB040</t>
  </si>
  <si>
    <t>B074JW998T</t>
  </si>
  <si>
    <t>N531YK034</t>
  </si>
  <si>
    <t>B074K2QJ5H</t>
  </si>
  <si>
    <t>无销量广告费为4.03</t>
  </si>
  <si>
    <t>无销量广告费为15.82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</si>
  <si>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</si>
  <si>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</si>
  <si>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</si>
  <si>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</si>
  <si>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</si>
  <si>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</si>
  <si>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</si>
  <si>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</si>
  <si>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N531YQL36</t>
  </si>
  <si>
    <t>B074JXQX4Z</t>
  </si>
  <si>
    <t>无销量广告费为0.73</t>
  </si>
  <si>
    <t>无销量广告费为0.22</t>
  </si>
  <si>
    <t>N531YQL38</t>
  </si>
  <si>
    <t>B074JXFM38</t>
  </si>
  <si>
    <t>N531YQL40</t>
  </si>
  <si>
    <t>B074JZ1THP</t>
  </si>
  <si>
    <t>N531YR034</t>
  </si>
  <si>
    <t>B074K3VJ4G</t>
  </si>
  <si>
    <t>无销量广告费为0.91</t>
  </si>
  <si>
    <t>无销量广告费为1.22</t>
  </si>
  <si>
    <t>无销量广告费为4.67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</si>
  <si>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</si>
  <si>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</si>
  <si>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</si>
  <si>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</si>
  <si>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</si>
  <si>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</si>
  <si>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</si>
  <si>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</si>
  <si>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</si>
  <si>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</si>
  <si>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无销量广告费为0.79</t>
  </si>
  <si>
    <t>无销量广告费为0.26</t>
  </si>
  <si>
    <t>N531YXS38</t>
  </si>
  <si>
    <t>B074JV1QKR</t>
  </si>
  <si>
    <t>无销量广告费为0.97</t>
  </si>
  <si>
    <t>N531YXS40</t>
  </si>
  <si>
    <t>B074JV1QKT</t>
  </si>
  <si>
    <t>无销量广告费为0.8</t>
  </si>
  <si>
    <t>无销量广告费为2.42</t>
  </si>
  <si>
    <t>无销量广告费为1.15</t>
  </si>
  <si>
    <t>N583YQZ36</t>
  </si>
  <si>
    <t>B074DVW5HC</t>
  </si>
  <si>
    <t>N583Y</t>
  </si>
  <si>
    <t>无销量广告费为0.37</t>
  </si>
  <si>
    <t>N583YQZ38</t>
  </si>
  <si>
    <t>B074FJ37K7</t>
  </si>
  <si>
    <t>无销量广告费为1.34</t>
  </si>
  <si>
    <t>无销量广告费为0.96</t>
  </si>
  <si>
    <t>无销量广告费为5.22</t>
  </si>
  <si>
    <t>N583YQZ40</t>
  </si>
  <si>
    <t>B074DW168F</t>
  </si>
  <si>
    <t>N583YQZ42</t>
  </si>
  <si>
    <t>B074DW2BY6</t>
  </si>
  <si>
    <t>N583YQZ44</t>
  </si>
  <si>
    <t>B074DVY6FY</t>
  </si>
  <si>
    <t>无销量广告费为0.43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</si>
  <si>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</si>
  <si>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</si>
  <si>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</si>
  <si>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</si>
  <si>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</si>
  <si>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</si>
  <si>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</si>
  <si>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</si>
  <si>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</si>
  <si>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</si>
  <si>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</si>
  <si>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</si>
  <si>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</si>
  <si>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</si>
  <si>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</si>
  <si>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</si>
  <si>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</si>
  <si>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</si>
  <si>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</si>
  <si>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</si>
  <si>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</si>
  <si>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</si>
  <si>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</si>
  <si>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</si>
  <si>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</si>
  <si>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</si>
  <si>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</si>
  <si>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</si>
  <si>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</si>
  <si>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</si>
  <si>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</si>
  <si>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</si>
  <si>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</si>
  <si>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</si>
  <si>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</si>
  <si>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</si>
  <si>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</si>
  <si>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</si>
  <si>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</si>
  <si>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</si>
  <si>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</si>
  <si>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</si>
  <si>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</si>
  <si>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</si>
  <si>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</si>
  <si>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</si>
  <si>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</si>
  <si>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</si>
  <si>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</si>
  <si>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</si>
  <si>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</si>
  <si>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</si>
  <si>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</si>
  <si>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</si>
  <si>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</si>
  <si>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</si>
  <si>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</si>
  <si>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</si>
  <si>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</si>
  <si>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</si>
  <si>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</si>
  <si>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</si>
  <si>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</si>
  <si>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</si>
  <si>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</si>
  <si>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</si>
  <si>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</t>
  </si>
  <si>
    <t>N888YK038</t>
  </si>
  <si>
    <t>B074FRC3TW</t>
  </si>
  <si>
    <t>无销量广告费为0.35</t>
  </si>
  <si>
    <t>N888YK042</t>
  </si>
  <si>
    <t>B074FSCZT2</t>
  </si>
  <si>
    <t>N888YR536</t>
  </si>
  <si>
    <t>B074FTW5DS</t>
  </si>
  <si>
    <t>无销量广告费为0.2</t>
  </si>
  <si>
    <t>N888YR538</t>
  </si>
  <si>
    <t>B074FRWKSK</t>
  </si>
  <si>
    <t>无销量广告费为0.27</t>
  </si>
  <si>
    <t>无销量广告费为0.47</t>
  </si>
  <si>
    <t>N888YR540</t>
  </si>
  <si>
    <t>B074FX3ZFZ</t>
  </si>
  <si>
    <t>无销量广告费为0.34</t>
  </si>
  <si>
    <t>无销量广告费为1.84</t>
  </si>
  <si>
    <t>无销量广告费为1.53</t>
  </si>
  <si>
    <t>N888YR542</t>
  </si>
  <si>
    <t>B074FXLL7J</t>
  </si>
  <si>
    <t>无销量广告费为0.3</t>
  </si>
  <si>
    <t>无销量广告费为0.7</t>
  </si>
  <si>
    <t>N888YXS36</t>
  </si>
  <si>
    <t>B074FQWCTK</t>
  </si>
  <si>
    <t>N888YXS38</t>
  </si>
  <si>
    <t>B074FRX8XF</t>
  </si>
  <si>
    <t>无销量广告费为0.94</t>
  </si>
  <si>
    <t>N888YXS42</t>
  </si>
  <si>
    <t>B074FVKNXW</t>
  </si>
  <si>
    <t>N89118KW0XL</t>
  </si>
  <si>
    <t>B074FR8NL9</t>
  </si>
  <si>
    <t>N89118K</t>
  </si>
  <si>
    <t>N89119KBLL</t>
  </si>
  <si>
    <t>B074FT3DCL</t>
  </si>
  <si>
    <t>N89119K</t>
  </si>
  <si>
    <t>N89119KBLM</t>
  </si>
  <si>
    <t>B074FQ84QJ</t>
  </si>
  <si>
    <t>N89119KK0L</t>
  </si>
  <si>
    <t>B074FT665V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</si>
  <si>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</si>
  <si>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</si>
  <si>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</si>
  <si>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</si>
  <si>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</si>
  <si>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</si>
  <si>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</si>
  <si>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</si>
  <si>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</si>
  <si>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</si>
  <si>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</si>
  <si>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</si>
  <si>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</t>
  </si>
  <si>
    <t>N89122KBL4XL</t>
  </si>
  <si>
    <t>B074FT3T2H</t>
  </si>
  <si>
    <t>N89122KHL2XL</t>
  </si>
  <si>
    <t>B074FWRNDY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</si>
  <si>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</si>
  <si>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</si>
  <si>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</si>
  <si>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</si>
  <si>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</si>
  <si>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</si>
  <si>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</si>
  <si>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</si>
  <si>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</si>
  <si>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</si>
  <si>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</si>
  <si>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</si>
  <si>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</si>
  <si>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</si>
  <si>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</si>
  <si>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</si>
  <si>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</si>
  <si>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</si>
  <si>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</si>
  <si>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</si>
  <si>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</si>
  <si>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</si>
  <si>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</si>
  <si>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</si>
  <si>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</si>
  <si>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</si>
  <si>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N9383Y</t>
  </si>
  <si>
    <t>N9383YB042</t>
  </si>
  <si>
    <t>B074CWTQW9</t>
  </si>
  <si>
    <t>N9383YB044</t>
  </si>
  <si>
    <t>B074CWMB5Z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</si>
  <si>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</si>
  <si>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</si>
  <si>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</si>
  <si>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</si>
  <si>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</si>
  <si>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</si>
  <si>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</si>
  <si>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</si>
  <si>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</si>
  <si>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</si>
  <si>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无销量广告费为0.48</t>
  </si>
  <si>
    <t>无销量广告费为5.6</t>
  </si>
  <si>
    <t>无销量广告费为6.8</t>
  </si>
  <si>
    <t>N9383YG046</t>
  </si>
  <si>
    <t>B074CX6ML1</t>
  </si>
  <si>
    <t>无销量广告费为0.1</t>
  </si>
  <si>
    <t>N9383YG048</t>
  </si>
  <si>
    <t>B074CWLZDG</t>
  </si>
  <si>
    <t>N9383YMH38</t>
  </si>
  <si>
    <t>B074CWYHQ7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</si>
  <si>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</si>
  <si>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</si>
  <si>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</si>
  <si>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</si>
  <si>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</si>
  <si>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</si>
  <si>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</si>
  <si>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</si>
  <si>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</si>
  <si>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</si>
  <si>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</si>
  <si>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</si>
  <si>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</si>
  <si>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</si>
  <si>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</si>
  <si>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</si>
  <si>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</si>
  <si>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</si>
  <si>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无销量广告费为0.05</t>
  </si>
  <si>
    <t>N9383YR038</t>
  </si>
  <si>
    <t>B074CWSQFG</t>
  </si>
  <si>
    <t>N9383YR040</t>
  </si>
  <si>
    <t>B074CX22LX</t>
  </si>
  <si>
    <t>N9383YR042</t>
  </si>
  <si>
    <t>B074CWTBK6</t>
  </si>
  <si>
    <t>无销量广告费为1.59</t>
  </si>
  <si>
    <t>无销量广告费为3.4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</si>
  <si>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</si>
  <si>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</si>
  <si>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</si>
  <si>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</si>
  <si>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</si>
  <si>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</si>
  <si>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</si>
  <si>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</si>
  <si>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</si>
  <si>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</si>
  <si>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</si>
  <si>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</si>
  <si>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</si>
  <si>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</si>
  <si>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</si>
  <si>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</si>
  <si>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</si>
  <si>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</si>
  <si>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</t>
  </si>
  <si>
    <t>N9932YK036</t>
  </si>
  <si>
    <t>B074FTXNPM</t>
  </si>
  <si>
    <t>无销量广告费为0.69</t>
  </si>
  <si>
    <t>N9932YK038</t>
  </si>
  <si>
    <t>B074FTZ9P4</t>
  </si>
  <si>
    <t>无销量广告费为0.36</t>
  </si>
  <si>
    <t>N9932YR034</t>
  </si>
  <si>
    <t>B074FX94G1</t>
  </si>
  <si>
    <t>N9932YR036</t>
  </si>
  <si>
    <t>B074FX1CXN</t>
  </si>
  <si>
    <t>N9932YR534</t>
  </si>
  <si>
    <t>B074FTFWR7</t>
  </si>
  <si>
    <t>N9932YR536</t>
  </si>
  <si>
    <t>B074FTV42K</t>
  </si>
  <si>
    <t>无销量广告费为0.23</t>
  </si>
  <si>
    <t>N9932YR538</t>
  </si>
  <si>
    <t>B074FTPHX1</t>
  </si>
  <si>
    <t>N9932YXS34</t>
  </si>
  <si>
    <t>B074FQ29ZR</t>
  </si>
  <si>
    <t>无销量广告费为15.8</t>
  </si>
  <si>
    <t>无销量广告费为1.74</t>
  </si>
  <si>
    <t>N9932YXS36</t>
  </si>
  <si>
    <t>B074FVPGVL</t>
  </si>
  <si>
    <t>无销量广告费为0.57</t>
  </si>
  <si>
    <t>N9932YXS38</t>
  </si>
  <si>
    <t>B074FW6SKT</t>
  </si>
  <si>
    <t>NK-XUHM001-K0-L</t>
  </si>
  <si>
    <t>B078WQCTTM</t>
  </si>
  <si>
    <t>NK-XUHM001</t>
  </si>
  <si>
    <t>NK-XUHM001-K0-M</t>
  </si>
  <si>
    <t>B078WQY3NM</t>
  </si>
  <si>
    <t>NK-XUHM001-K0-S</t>
  </si>
  <si>
    <t>B078WR3XZL</t>
  </si>
  <si>
    <t>NK-XUJF001</t>
  </si>
  <si>
    <t>NK-XUHM001-K0-XL</t>
  </si>
  <si>
    <t>B078WPYL96</t>
  </si>
  <si>
    <t>无销量广告费为0.66</t>
  </si>
  <si>
    <t>无销量广告费为24.5</t>
  </si>
  <si>
    <t>NK-XUHM001-K0-XXL</t>
  </si>
  <si>
    <t>B078WQHD98</t>
  </si>
  <si>
    <t>NK-XUJF001-K0-L</t>
  </si>
  <si>
    <t>NK-XUJF001-K0-M</t>
  </si>
  <si>
    <t>NK-XUJF001-K0-S</t>
  </si>
  <si>
    <t>NC11Y</t>
  </si>
  <si>
    <t>NK-XUJF001-K0-XL</t>
  </si>
  <si>
    <t>NK-XUJF001-K0-XXL</t>
  </si>
  <si>
    <t>NHDZ</t>
  </si>
  <si>
    <t>NY-029-YE0-36</t>
  </si>
  <si>
    <t>NY-029</t>
  </si>
  <si>
    <t>NY-029-YE0-38</t>
  </si>
  <si>
    <t>NY-029-YE0-40</t>
  </si>
  <si>
    <t>NY-029-YHL-36</t>
  </si>
  <si>
    <t>NY-029-YHL-38</t>
  </si>
  <si>
    <t>NY-029-YHL-40</t>
  </si>
  <si>
    <t>NY-029-YMH-36</t>
  </si>
  <si>
    <t>NY-039</t>
  </si>
  <si>
    <t>NY-029-YMH-38</t>
  </si>
  <si>
    <t>NY-029-YMH-40</t>
  </si>
  <si>
    <t>NY-039-YB0-36</t>
  </si>
  <si>
    <t>NY-039-YB0-38</t>
  </si>
  <si>
    <t>NY-039-YB0-40</t>
  </si>
  <si>
    <t>NY-039-YG0-36</t>
  </si>
  <si>
    <t>NY-039-YG0-38</t>
  </si>
  <si>
    <t>NY-039-YG0-40</t>
  </si>
  <si>
    <t>NY-039-YP0-36</t>
  </si>
  <si>
    <t>NY-039-YP0-38</t>
  </si>
  <si>
    <t>NY-039-YP0-40</t>
  </si>
  <si>
    <t>NY-039-YR0-36</t>
  </si>
  <si>
    <t>NY-039-YR0-40</t>
  </si>
  <si>
    <t>NY-039-YTHS-36</t>
  </si>
  <si>
    <t>NY-039-YTHS-38</t>
  </si>
  <si>
    <t>NY-039-YTHS-40</t>
  </si>
  <si>
    <t>NY-039-YXGH-36</t>
  </si>
  <si>
    <t>NY-158</t>
  </si>
  <si>
    <t>NY-039-YXGH-38</t>
  </si>
  <si>
    <t>NY-039-YXGH-40</t>
  </si>
  <si>
    <t>NY-158-YB0-38</t>
  </si>
  <si>
    <t>NY-1709</t>
  </si>
  <si>
    <t>NY-158-YK0-38</t>
  </si>
  <si>
    <t>NY-158-YR0-38</t>
  </si>
  <si>
    <t>NY-1709-YR0-42</t>
  </si>
  <si>
    <t>NY-1709-YR0-46</t>
  </si>
  <si>
    <t>NY-1709-YR0-48</t>
  </si>
  <si>
    <t>NY-1709-YZS-44</t>
  </si>
  <si>
    <t>NY-2033</t>
  </si>
  <si>
    <t>NY-1709-YZS-46</t>
  </si>
  <si>
    <t>NY-2082</t>
  </si>
  <si>
    <t>NY-1709-YZS-48</t>
  </si>
  <si>
    <t>NY-2033-YK0-36</t>
  </si>
  <si>
    <t>NY-2716</t>
  </si>
  <si>
    <t>NY-2082-YK0-34</t>
  </si>
  <si>
    <t>NY-2082-YK0-38</t>
  </si>
  <si>
    <t>NY-2716-YHL-34</t>
  </si>
  <si>
    <t>NY-2716-YHL-36</t>
  </si>
  <si>
    <t>NY-2716-YHL-38</t>
  </si>
  <si>
    <t>NY-2716-YMH-34</t>
  </si>
  <si>
    <t>NY-2716-YMH-36</t>
  </si>
  <si>
    <t>NY-2716-YMH-38</t>
  </si>
  <si>
    <t>NY-2716-YR0-34</t>
  </si>
  <si>
    <t>NY-2716-YR0-36</t>
  </si>
  <si>
    <t>NY-2716-YR0-38</t>
  </si>
  <si>
    <t>NY-2716-YYGL-34</t>
  </si>
  <si>
    <t>NY-31459</t>
  </si>
  <si>
    <t>NY-2716-YYGL-36</t>
  </si>
  <si>
    <t>NY-2716-YYGL-38</t>
  </si>
  <si>
    <t>NY-31459-YB0-40</t>
  </si>
  <si>
    <t>NY-31459-YB0-42</t>
  </si>
  <si>
    <t>NY-31459-YJS-42</t>
  </si>
  <si>
    <t>NY-31459-YJS-46</t>
  </si>
  <si>
    <t>NY-31459-YMH-42</t>
  </si>
  <si>
    <t>NY-31459-YMH-44</t>
  </si>
  <si>
    <t>NY-31459-YMH-46</t>
  </si>
  <si>
    <t>NY-31459-YMH-48</t>
  </si>
  <si>
    <t>NY-38182</t>
  </si>
  <si>
    <t>NY-31459-YR0-38</t>
  </si>
  <si>
    <t>NY-31459-YR0-44</t>
  </si>
  <si>
    <t>NY-38182-YW0-38</t>
  </si>
  <si>
    <t>NY-38182-YW0-40</t>
  </si>
  <si>
    <t>NY-38182-YW0-44</t>
  </si>
  <si>
    <t>NY-531</t>
  </si>
  <si>
    <t>NY-38182-YW0-46</t>
  </si>
  <si>
    <t>NY-38182-YW0-48</t>
  </si>
  <si>
    <t>NY-531-YB0-36</t>
  </si>
  <si>
    <t>NY-531-YB0-38</t>
  </si>
  <si>
    <t>NY-531-YB0-40</t>
  </si>
  <si>
    <t>NY-531-YK0-34</t>
  </si>
  <si>
    <t>NY-531-YK0-36</t>
  </si>
  <si>
    <t>NY-531-YK0-38</t>
  </si>
  <si>
    <t>NY-531-YK0-40</t>
  </si>
  <si>
    <t>NY-531-YQL-34</t>
  </si>
  <si>
    <t>NY-531-YQL-36</t>
  </si>
  <si>
    <t>NY-531-YQL-38</t>
  </si>
  <si>
    <t>NY-531-YQL-40</t>
  </si>
  <si>
    <t>NY-531-YR0-34</t>
  </si>
  <si>
    <t>NY-531-YR0-36</t>
  </si>
  <si>
    <t>NY-531-YR0-38</t>
  </si>
  <si>
    <t>NY-531-YR0-40</t>
  </si>
  <si>
    <t>NY-531-YXS-34</t>
  </si>
  <si>
    <t>NY-531-YXS-36</t>
  </si>
  <si>
    <t>NY-583</t>
  </si>
  <si>
    <t>NY-531-YXS-38</t>
  </si>
  <si>
    <t>NY-531-YXS-40</t>
  </si>
  <si>
    <t>NY-888</t>
  </si>
  <si>
    <t>NY-583-YQZ-40</t>
  </si>
  <si>
    <t>NY-583-YQZ-42</t>
  </si>
  <si>
    <t>NY-888-YK0-36</t>
  </si>
  <si>
    <t>NY-888-YK0-38</t>
  </si>
  <si>
    <t>NY-888-YK0-42</t>
  </si>
  <si>
    <t>NY-888-YR5-36</t>
  </si>
  <si>
    <t>NY-888-YR5-38</t>
  </si>
  <si>
    <t>NY-888-YR5-40</t>
  </si>
  <si>
    <t>NY-888-YR5-42</t>
  </si>
  <si>
    <t>NY-9383</t>
  </si>
  <si>
    <t>NY-888-YXS-36</t>
  </si>
  <si>
    <t>NY-888-YXS-38</t>
  </si>
  <si>
    <t>NY-9383-YB0-40</t>
  </si>
  <si>
    <t>NY-9383-YB0-46</t>
  </si>
  <si>
    <t>NY-9383-YG0-42</t>
  </si>
  <si>
    <t>NY-9383-YG0-44</t>
  </si>
  <si>
    <t>NY-9383-YG0-46</t>
  </si>
  <si>
    <t>NY-9383-YMH-40</t>
  </si>
  <si>
    <t>NY-9383-YP0-40</t>
  </si>
  <si>
    <t>NY-9383-YP0-42</t>
  </si>
  <si>
    <t>NY-9383-YR0-40</t>
  </si>
  <si>
    <t>NY-9383-YR0-42</t>
  </si>
  <si>
    <t>NY-9383-YXGH-38</t>
  </si>
  <si>
    <t>NY-9932</t>
  </si>
  <si>
    <t>NY-9383-YXGH-42</t>
  </si>
  <si>
    <t>NY-9383-YXGH-44</t>
  </si>
  <si>
    <t>NY-9932-YR0-36</t>
  </si>
  <si>
    <t>NY-9932-YR0-38</t>
  </si>
  <si>
    <t>NY-9932-YR5-38</t>
  </si>
  <si>
    <t>NWZE</t>
  </si>
  <si>
    <t>NY-9932-YXS-34</t>
  </si>
  <si>
    <t>NY-9932-YXS-38</t>
  </si>
  <si>
    <t>NY-B15016-K0-L</t>
  </si>
  <si>
    <t>B078NQ9D6V</t>
  </si>
  <si>
    <t>NY-B15016</t>
  </si>
  <si>
    <t>NY-B15016-K0-M</t>
  </si>
  <si>
    <t>B078NN9LW4</t>
  </si>
  <si>
    <t>NY-B15016-K0-S</t>
  </si>
  <si>
    <t>B078NNNW7X</t>
  </si>
  <si>
    <t>无销量广告费为1.7</t>
  </si>
  <si>
    <t>无销量广告费为1.96</t>
  </si>
  <si>
    <t>无销量广告费为0.84</t>
  </si>
  <si>
    <t>NY-B15016-W0-L</t>
  </si>
  <si>
    <t>B078NQ7BCX</t>
  </si>
  <si>
    <t>无销量广告费为1.49</t>
  </si>
  <si>
    <t>NY-B15016-W0-M</t>
  </si>
  <si>
    <t>B078NN9RD2</t>
  </si>
  <si>
    <t>无销量广告费为1.12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</si>
  <si>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</si>
  <si>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</si>
  <si>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</si>
  <si>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</si>
  <si>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</si>
  <si>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</si>
  <si>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无销量广告费为5.74</t>
  </si>
  <si>
    <t>无销量广告费为7.88</t>
  </si>
  <si>
    <t>NY-B15016-Y0-S</t>
  </si>
  <si>
    <t>B078NNB2PQ</t>
  </si>
  <si>
    <t>无销量广告费为1.57</t>
  </si>
  <si>
    <t>NY-B15021-B0-L</t>
  </si>
  <si>
    <t>B078NQZYP7</t>
  </si>
  <si>
    <t>NY-B15021</t>
  </si>
  <si>
    <t>无销量广告费为0.42</t>
  </si>
  <si>
    <t>无销量广告费为1.17</t>
  </si>
  <si>
    <t>NY-B15021-B0-M</t>
  </si>
  <si>
    <t>B078NQ6C6H</t>
  </si>
  <si>
    <t>无销量广告费为6.87</t>
  </si>
  <si>
    <t>NY-B15021-B0-S</t>
  </si>
  <si>
    <t>B078NQ2LH1</t>
  </si>
  <si>
    <t>NY-B15021-B0-XL</t>
  </si>
  <si>
    <t>B078NPVY5T</t>
  </si>
  <si>
    <t>无销量广告费为0.32</t>
  </si>
  <si>
    <t>NY-B15021-K0-L</t>
  </si>
  <si>
    <t>B078NNLWT7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</si>
  <si>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</si>
  <si>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</si>
  <si>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</si>
  <si>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</si>
  <si>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</si>
  <si>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</si>
  <si>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</si>
  <si>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</si>
  <si>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无销量广告费为5.85</t>
  </si>
  <si>
    <t>无销量广告费为10.43</t>
  </si>
  <si>
    <t>无销量广告费为12.07</t>
  </si>
  <si>
    <t>NY-B15021-PI-M</t>
  </si>
  <si>
    <t>B078NQW8Y6</t>
  </si>
  <si>
    <t>NK-XUHM011</t>
  </si>
  <si>
    <t>NY-B15021-PI-S</t>
  </si>
  <si>
    <t>B078NGPQK3</t>
  </si>
  <si>
    <t>无销量广告费为2</t>
  </si>
  <si>
    <t>无销量广告费为1.36</t>
  </si>
  <si>
    <t>NY-B15021-PI-XL</t>
  </si>
  <si>
    <t>B078NNZWD6</t>
  </si>
  <si>
    <t>无销量广告费为4.27</t>
  </si>
  <si>
    <t>无销量广告费为6.08</t>
  </si>
  <si>
    <t>无销量广告费为13.19</t>
  </si>
  <si>
    <t>NY-B15021-W0-L</t>
  </si>
  <si>
    <t>B078NS87P7</t>
  </si>
  <si>
    <t>NY-B15021-W0-M</t>
  </si>
  <si>
    <t>B078NNTHD3</t>
  </si>
  <si>
    <t>NY-XUHM001</t>
  </si>
  <si>
    <t>NY-B15021-W0-S</t>
  </si>
  <si>
    <t>B078NSG1GW</t>
  </si>
  <si>
    <t>NY-B15021-W0-XL</t>
  </si>
  <si>
    <t>B078NNZ9M6</t>
  </si>
  <si>
    <t>无销量广告费为1.55</t>
  </si>
  <si>
    <t>无销量广告费为2.93</t>
  </si>
  <si>
    <t>无销量广告费为1.81</t>
  </si>
  <si>
    <t>无销量广告费为3.41</t>
  </si>
  <si>
    <t>NY-XUHM001-K0-36</t>
  </si>
  <si>
    <t>B078WPW9YL</t>
  </si>
  <si>
    <t>NY-XUHM001-K0-36C</t>
  </si>
  <si>
    <t>NY-XUHM001-K0-38</t>
  </si>
  <si>
    <t>B078WQN4YQ</t>
  </si>
  <si>
    <t>NY-XUHM001-K0-38C</t>
  </si>
  <si>
    <t>NY-XUHM001-K0-40</t>
  </si>
  <si>
    <t>B078WQ3MJ9</t>
  </si>
  <si>
    <t>NY-XUHM001-K0-40C</t>
  </si>
  <si>
    <t>NY-XUHM001-K0-42</t>
  </si>
  <si>
    <t>B078WR4F43</t>
  </si>
  <si>
    <t>NY-XUHM001-K0-42C</t>
  </si>
  <si>
    <t>NY-XUHM001-K0-44</t>
  </si>
  <si>
    <t>B078WRDL9P</t>
  </si>
  <si>
    <t>NY-XUHM001-K0-44C</t>
  </si>
  <si>
    <t>NY-XUHM002-K0-L</t>
  </si>
  <si>
    <t>B07BKR7DCF</t>
  </si>
  <si>
    <t>无销量广告费为0.31</t>
  </si>
  <si>
    <t>NY-XUHM002-K0-M</t>
  </si>
  <si>
    <t>B07BKT1Y4D</t>
  </si>
  <si>
    <t>NY-XUHM002-K0-S</t>
  </si>
  <si>
    <t>B07BKNH45J</t>
  </si>
  <si>
    <t>NY-XUHM002-PI-L</t>
  </si>
  <si>
    <t>B07BKR7DCG</t>
  </si>
  <si>
    <t>无销量广告费为13.95</t>
  </si>
  <si>
    <t>无销量广告费为20.84</t>
  </si>
  <si>
    <t>无销量广告费为19.23</t>
  </si>
  <si>
    <t>NY-XUHM002-PI-M</t>
  </si>
  <si>
    <t>B07BKSWCR3</t>
  </si>
  <si>
    <t>无销量广告费为0.95</t>
  </si>
  <si>
    <t>无销量广告费为0.4</t>
  </si>
  <si>
    <t>NY-XUHM002-PI-S</t>
  </si>
  <si>
    <t>B07BKR8D8Z</t>
  </si>
  <si>
    <t>无销量广告费为4.82</t>
  </si>
  <si>
    <t>NY-XUHM005-GA-L</t>
  </si>
  <si>
    <t>B07BKTKK7K</t>
  </si>
  <si>
    <t>NY-XUHM005-GA-M</t>
  </si>
  <si>
    <t>B07BKTCPPS</t>
  </si>
  <si>
    <t>NY-XUHM005-GA-S</t>
  </si>
  <si>
    <t>B07BKWBM9B</t>
  </si>
  <si>
    <t>无销量广告费为1.43</t>
  </si>
  <si>
    <t>NY-XUHM005-K0-L</t>
  </si>
  <si>
    <t>B07BKTSQ1R</t>
  </si>
  <si>
    <t>NY-XUHM011</t>
  </si>
  <si>
    <t>无销量广告费为1.06</t>
  </si>
  <si>
    <t>NY-XUHM005-K0-M</t>
  </si>
  <si>
    <t>B07BKTLC85</t>
  </si>
  <si>
    <t>无销量广告费为1.31</t>
  </si>
  <si>
    <t>NY-XUHM005-K0-S</t>
  </si>
  <si>
    <t>B07BKS8YTN</t>
  </si>
  <si>
    <t>NY-XUHM011-K0-36</t>
  </si>
  <si>
    <t>B078WQVSNV</t>
  </si>
  <si>
    <t>NY-XUHM011-K0-36C</t>
  </si>
  <si>
    <t>NY-XUHM011-K0-38</t>
  </si>
  <si>
    <t>B078WRMSBV</t>
  </si>
  <si>
    <t>NY-XUHM011-K0-38C</t>
  </si>
  <si>
    <t>NY-XUHM011-K0-40</t>
  </si>
  <si>
    <t>B078WQMW23</t>
  </si>
  <si>
    <t>NY-XUHM011-K0-40C</t>
  </si>
  <si>
    <t>NY-XUHM011-K0-42</t>
  </si>
  <si>
    <t>B078WQV8SF</t>
  </si>
  <si>
    <t>NY-XUHM011-K0-42C</t>
  </si>
  <si>
    <t>NY-XUHM331</t>
  </si>
  <si>
    <t>NY-XUHM011-K0-44</t>
  </si>
  <si>
    <t>B078WRLGFX</t>
  </si>
  <si>
    <t>NY-XUHM011-K0-44C</t>
  </si>
  <si>
    <t>NY-XUHM332</t>
  </si>
  <si>
    <t>NY-XUHM331-B0-L</t>
  </si>
  <si>
    <t>B07BKS4NK1</t>
  </si>
  <si>
    <t>NY-XUHM333</t>
  </si>
  <si>
    <t>无销量广告费为1.42</t>
  </si>
  <si>
    <t>无销量广告费为1.79</t>
  </si>
  <si>
    <t>无销量广告费为5.87</t>
  </si>
  <si>
    <t>NY-XUHM332-HS-M</t>
  </si>
  <si>
    <t>B07BKNWPWQ</t>
  </si>
  <si>
    <t>NY-XUHM333-HS-L</t>
  </si>
  <si>
    <t>B07B3V3G8H</t>
  </si>
  <si>
    <t>NY-XUHM463</t>
  </si>
  <si>
    <t>NY-XUHM333-HS-M</t>
  </si>
  <si>
    <t>B07B3V3BV5</t>
  </si>
  <si>
    <t>NY-XUHM333-HS-S</t>
  </si>
  <si>
    <t>B07B3TW6D2</t>
  </si>
  <si>
    <t>无销量广告费为3.17</t>
  </si>
  <si>
    <t>无销量广告费为2.77</t>
  </si>
  <si>
    <t>无销量广告费为2.24</t>
  </si>
  <si>
    <t>NY-XUHM463-K0-L</t>
  </si>
  <si>
    <t>B07BKQTYFV</t>
  </si>
  <si>
    <t>NY-XUHM463-K0-M</t>
  </si>
  <si>
    <t>B07BKVPJ6Q</t>
  </si>
  <si>
    <t>NY-XUHM463-K0-S</t>
  </si>
  <si>
    <t>B07BKSX1D6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</si>
  <si>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</si>
  <si>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</si>
  <si>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</si>
  <si>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</si>
  <si>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</si>
  <si>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</si>
  <si>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</si>
  <si>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</si>
  <si>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</si>
  <si>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</si>
  <si>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无销量广告费为0.39</t>
  </si>
  <si>
    <t>无销量广告费为1.6</t>
  </si>
  <si>
    <t>无销量广告费为1</t>
  </si>
  <si>
    <t>PYJK-DKB0-L</t>
  </si>
  <si>
    <t>B073WBNY9P</t>
  </si>
  <si>
    <t>PYJKDK</t>
  </si>
  <si>
    <t>PYJK-JSK0-L</t>
  </si>
  <si>
    <t>B073WTPJLR</t>
  </si>
  <si>
    <t>PYJKJS</t>
  </si>
  <si>
    <t>PYJK-JSK0-M</t>
  </si>
  <si>
    <t>B073WTRPXK</t>
  </si>
  <si>
    <t>PYJK-JSK0-XL</t>
  </si>
  <si>
    <t>B073WV1KVP</t>
  </si>
  <si>
    <t>PYJK-JSK0-XXXL</t>
  </si>
  <si>
    <t>B073WTQ7YC</t>
  </si>
  <si>
    <t>PYJK-JSR0-L</t>
  </si>
  <si>
    <t>B073WTTKP4</t>
  </si>
  <si>
    <t>PYJK-JSY0-XXXL</t>
  </si>
  <si>
    <t>B073TWLDHK</t>
  </si>
  <si>
    <t>PYJK-TSK0-L</t>
  </si>
  <si>
    <t>B073WV5CCK</t>
  </si>
  <si>
    <t>PYJK-TSKF-L</t>
  </si>
  <si>
    <t>B073WTZ549</t>
  </si>
  <si>
    <t>PYJK-TSR0-L</t>
  </si>
  <si>
    <t>B073WT7S1J</t>
  </si>
  <si>
    <t>PYJK-TSY0-L</t>
  </si>
  <si>
    <t>B073W6VTYY</t>
  </si>
  <si>
    <t>PYJKDKB0L</t>
  </si>
  <si>
    <t>PYJKDKK0XXXL</t>
  </si>
  <si>
    <t>B073WBR2D4</t>
  </si>
  <si>
    <t>PYJKDKR0L</t>
  </si>
  <si>
    <t>B073WB3TLC</t>
  </si>
  <si>
    <t>PYJKDKY0M</t>
  </si>
  <si>
    <t>B073W69WZK</t>
  </si>
  <si>
    <t>PYJKJSB0XL</t>
  </si>
  <si>
    <t>B073WTW1SS</t>
  </si>
  <si>
    <t>PYJKJSK0L</t>
  </si>
  <si>
    <t>PYJKJSK0M</t>
  </si>
  <si>
    <t>PYJKJSK0XL</t>
  </si>
  <si>
    <t>PYJKJSK0XXXL</t>
  </si>
  <si>
    <t>PYJKJSR0L</t>
  </si>
  <si>
    <t>PYJKJSY0XXXL</t>
  </si>
  <si>
    <t>PYJKTSK0L</t>
  </si>
  <si>
    <t>PYJKTSKFL</t>
  </si>
  <si>
    <t>PYJKTSR0L</t>
  </si>
  <si>
    <t>PYJKTSY0L</t>
  </si>
  <si>
    <t>SPHNYK0</t>
  </si>
  <si>
    <t>B074FP8V7K</t>
  </si>
  <si>
    <t>SPHNY</t>
  </si>
  <si>
    <t>TTCX36851</t>
  </si>
  <si>
    <t>B072RD6VF2</t>
  </si>
  <si>
    <t>TTCX3685</t>
  </si>
  <si>
    <t>TTYCMZFCX1</t>
  </si>
  <si>
    <t>B072N2WZ5J</t>
  </si>
  <si>
    <t>TTYCMZFCX</t>
  </si>
  <si>
    <t>TTYCMZFCX2</t>
  </si>
  <si>
    <t>B072KH5Y75</t>
  </si>
  <si>
    <t>TTYCMZFCX3</t>
  </si>
  <si>
    <t>B071K8MVBL</t>
  </si>
  <si>
    <t>TTYCYH3688BLACK</t>
  </si>
  <si>
    <t>B0721PYJL2</t>
  </si>
  <si>
    <t>TTYCYH3688</t>
  </si>
  <si>
    <t>XT-HQ-XS-C</t>
  </si>
  <si>
    <t>B074NNZXDV</t>
  </si>
  <si>
    <t>XTHQ</t>
  </si>
  <si>
    <t>XT-LA-XS-C</t>
  </si>
  <si>
    <t>B074NZSTV3</t>
  </si>
  <si>
    <t>XTLA</t>
  </si>
  <si>
    <t>XTHQK0A</t>
  </si>
  <si>
    <t>B074NYX45B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</si>
  <si>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</si>
  <si>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</si>
  <si>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</si>
  <si>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</si>
  <si>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</si>
  <si>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</si>
  <si>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</si>
  <si>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</si>
  <si>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XT-HQ</t>
  </si>
  <si>
    <t>XTHQXSB</t>
  </si>
  <si>
    <t>B074NY9YM1</t>
  </si>
  <si>
    <t>XTHQXSC</t>
  </si>
  <si>
    <t>XTHQXSD</t>
  </si>
  <si>
    <t>B074NQW8FF</t>
  </si>
  <si>
    <t>XTLAK0A</t>
  </si>
  <si>
    <t>B074P2RFBZ</t>
  </si>
  <si>
    <t>XTLAK0B</t>
  </si>
  <si>
    <t>B074NQW76F</t>
  </si>
  <si>
    <t>XTLAXSC</t>
  </si>
  <si>
    <t>XYBXBAF008W0L</t>
  </si>
  <si>
    <t>B071YQ9S6C</t>
  </si>
  <si>
    <t>XYBX</t>
  </si>
  <si>
    <t>XYBXBAF008W0XL</t>
  </si>
  <si>
    <t>B0722LHQ3T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</si>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</sst>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1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2" fillId="19" borderId="7" applyNumberFormat="0" applyAlignment="0" applyProtection="0">
      <alignment vertical="center"/>
    </xf>
    <xf numFmtId="0" fontId="20" fillId="19" borderId="2" applyNumberFormat="0" applyAlignment="0" applyProtection="0">
      <alignment vertical="center"/>
    </xf>
    <xf numFmtId="0" fontId="19" fillId="18" borderId="4" applyNumberFormat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B0721PYJL2</v>
          </cell>
          <cell r="B2">
            <v>5</v>
          </cell>
          <cell r="C2">
            <v>3</v>
          </cell>
          <cell r="D2">
            <v>2</v>
          </cell>
          <cell r="E2">
            <v>4</v>
          </cell>
        </row>
        <row r="3">
          <cell r="A3" t="str">
            <v>B0722LHQ3T</v>
          </cell>
          <cell r="B3">
            <v>7</v>
          </cell>
          <cell r="C3">
            <v>4</v>
          </cell>
          <cell r="D3">
            <v>1</v>
          </cell>
          <cell r="E3">
            <v>2</v>
          </cell>
        </row>
        <row r="4">
          <cell r="A4" t="str">
            <v>B072KH5Y75</v>
          </cell>
          <cell r="B4">
            <v>3</v>
          </cell>
          <cell r="C4">
            <v>3</v>
          </cell>
          <cell r="D4">
            <v>3</v>
          </cell>
          <cell r="E4">
            <v>2</v>
          </cell>
        </row>
        <row r="5">
          <cell r="A5" t="str">
            <v>B072N2WZ5J</v>
          </cell>
          <cell r="B5">
            <v>5</v>
          </cell>
          <cell r="C5">
            <v>5</v>
          </cell>
          <cell r="D5">
            <v>2</v>
          </cell>
          <cell r="E5">
            <v>2</v>
          </cell>
        </row>
        <row r="6">
          <cell r="A6" t="str">
            <v>B072RD6VF2</v>
          </cell>
          <cell r="B6">
            <v>5</v>
          </cell>
          <cell r="C6">
            <v>3</v>
          </cell>
          <cell r="D6">
            <v>3</v>
          </cell>
          <cell r="E6">
            <v>3</v>
          </cell>
        </row>
        <row r="7">
          <cell r="A7" t="str">
            <v>B073F1HX4C</v>
          </cell>
          <cell r="B7">
            <v>4</v>
          </cell>
          <cell r="C7">
            <v>7</v>
          </cell>
          <cell r="D7">
            <v>3</v>
          </cell>
          <cell r="E7">
            <v>3</v>
          </cell>
        </row>
        <row r="8">
          <cell r="A8" t="str">
            <v>B073F1L1DN</v>
          </cell>
          <cell r="B8">
            <v>4</v>
          </cell>
          <cell r="C8">
            <v>4</v>
          </cell>
          <cell r="D8">
            <v>3</v>
          </cell>
          <cell r="E8">
            <v>6</v>
          </cell>
        </row>
        <row r="9">
          <cell r="A9" t="str">
            <v>B073F2HG9P</v>
          </cell>
          <cell r="B9">
            <v>4</v>
          </cell>
          <cell r="C9">
            <v>6</v>
          </cell>
          <cell r="D9">
            <v>4</v>
          </cell>
          <cell r="E9">
            <v>3</v>
          </cell>
        </row>
        <row r="10">
          <cell r="A10" t="str">
            <v>B073F2QMQK</v>
          </cell>
          <cell r="B10">
            <v>4</v>
          </cell>
          <cell r="C10">
            <v>3</v>
          </cell>
          <cell r="D10">
            <v>3</v>
          </cell>
          <cell r="E10">
            <v>3</v>
          </cell>
        </row>
        <row r="11">
          <cell r="A11" t="str">
            <v>B073F2WTJX</v>
          </cell>
          <cell r="B11">
            <v>5</v>
          </cell>
          <cell r="C11">
            <v>6</v>
          </cell>
          <cell r="D11">
            <v>3</v>
          </cell>
          <cell r="E11">
            <v>4</v>
          </cell>
        </row>
        <row r="12">
          <cell r="A12" t="str">
            <v>B073F35WHV</v>
          </cell>
          <cell r="B12">
            <v>7</v>
          </cell>
          <cell r="C12">
            <v>5</v>
          </cell>
          <cell r="D12">
            <v>2</v>
          </cell>
          <cell r="E12">
            <v>2</v>
          </cell>
        </row>
        <row r="13">
          <cell r="A13" t="str">
            <v>B073F4G8B1</v>
          </cell>
          <cell r="B13">
            <v>5</v>
          </cell>
          <cell r="C13">
            <v>5</v>
          </cell>
          <cell r="D13">
            <v>2</v>
          </cell>
          <cell r="E13">
            <v>4</v>
          </cell>
        </row>
        <row r="14">
          <cell r="A14" t="str">
            <v>B073TWLDHK</v>
          </cell>
          <cell r="B14">
            <v>0</v>
          </cell>
          <cell r="C14">
            <v>0</v>
          </cell>
          <cell r="D14">
            <v>3</v>
          </cell>
          <cell r="E14">
            <v>3</v>
          </cell>
        </row>
        <row r="15">
          <cell r="A15" t="str">
            <v>B073W39HF6</v>
          </cell>
          <cell r="B15">
            <v>0</v>
          </cell>
          <cell r="C15">
            <v>0</v>
          </cell>
          <cell r="D15">
            <v>0</v>
          </cell>
          <cell r="E15">
            <v>1</v>
          </cell>
        </row>
        <row r="16">
          <cell r="A16" t="str">
            <v>B073W69WZK</v>
          </cell>
          <cell r="B16">
            <v>8</v>
          </cell>
          <cell r="C16">
            <v>3</v>
          </cell>
          <cell r="D16">
            <v>2</v>
          </cell>
          <cell r="E16">
            <v>4</v>
          </cell>
        </row>
        <row r="17">
          <cell r="A17" t="str">
            <v>B073W6VTYY</v>
          </cell>
          <cell r="B17">
            <v>0</v>
          </cell>
          <cell r="C17">
            <v>0</v>
          </cell>
          <cell r="D17">
            <v>2</v>
          </cell>
          <cell r="E17">
            <v>4</v>
          </cell>
        </row>
        <row r="18">
          <cell r="A18" t="str">
            <v>B073WB3TLC</v>
          </cell>
          <cell r="B18">
            <v>3</v>
          </cell>
          <cell r="C18">
            <v>3</v>
          </cell>
          <cell r="D18">
            <v>4</v>
          </cell>
          <cell r="E18">
            <v>4</v>
          </cell>
        </row>
        <row r="19">
          <cell r="A19" t="str">
            <v>B073WBNY9P</v>
          </cell>
          <cell r="B19">
            <v>0</v>
          </cell>
          <cell r="C19">
            <v>0</v>
          </cell>
          <cell r="D19">
            <v>3</v>
          </cell>
          <cell r="E19">
            <v>3</v>
          </cell>
        </row>
        <row r="20">
          <cell r="A20" t="str">
            <v>B073WBR2D4</v>
          </cell>
          <cell r="B20">
            <v>2</v>
          </cell>
          <cell r="C20">
            <v>2</v>
          </cell>
          <cell r="D20">
            <v>2</v>
          </cell>
          <cell r="E20">
            <v>2</v>
          </cell>
        </row>
        <row r="21">
          <cell r="A21" t="str">
            <v>B073WT7S1J</v>
          </cell>
          <cell r="B21">
            <v>0</v>
          </cell>
          <cell r="C21">
            <v>0</v>
          </cell>
          <cell r="D21">
            <v>4</v>
          </cell>
          <cell r="E21">
            <v>3</v>
          </cell>
        </row>
        <row r="22">
          <cell r="A22" t="str">
            <v>B073WTPJLR</v>
          </cell>
          <cell r="B22">
            <v>0</v>
          </cell>
          <cell r="C22">
            <v>0</v>
          </cell>
          <cell r="D22">
            <v>3</v>
          </cell>
          <cell r="E22">
            <v>2</v>
          </cell>
        </row>
        <row r="23">
          <cell r="A23" t="str">
            <v>B073WTQ7YC</v>
          </cell>
          <cell r="B23">
            <v>0</v>
          </cell>
          <cell r="C23">
            <v>0</v>
          </cell>
          <cell r="D23">
            <v>4</v>
          </cell>
          <cell r="E23">
            <v>2</v>
          </cell>
        </row>
        <row r="24">
          <cell r="A24" t="str">
            <v>B073WTRPXK</v>
          </cell>
          <cell r="B24">
            <v>0</v>
          </cell>
          <cell r="C24">
            <v>0</v>
          </cell>
          <cell r="D24">
            <v>1</v>
          </cell>
          <cell r="E24">
            <v>2</v>
          </cell>
        </row>
        <row r="25">
          <cell r="A25" t="str">
            <v>B073WTTKP4</v>
          </cell>
          <cell r="B25">
            <v>0</v>
          </cell>
          <cell r="C25">
            <v>0</v>
          </cell>
          <cell r="D25">
            <v>3</v>
          </cell>
          <cell r="E25">
            <v>2</v>
          </cell>
        </row>
        <row r="26">
          <cell r="A26" t="str">
            <v>B073WTW1SS</v>
          </cell>
          <cell r="B26">
            <v>7</v>
          </cell>
          <cell r="C26">
            <v>4</v>
          </cell>
          <cell r="D26">
            <v>2</v>
          </cell>
          <cell r="E26">
            <v>3</v>
          </cell>
        </row>
        <row r="27">
          <cell r="A27" t="str">
            <v>B073WTZ549</v>
          </cell>
          <cell r="B27">
            <v>0</v>
          </cell>
          <cell r="C27">
            <v>0</v>
          </cell>
          <cell r="D27">
            <v>6</v>
          </cell>
          <cell r="E27">
            <v>1</v>
          </cell>
        </row>
        <row r="28">
          <cell r="A28" t="str">
            <v>B073WV1KVP</v>
          </cell>
          <cell r="B28">
            <v>0</v>
          </cell>
          <cell r="C28">
            <v>0</v>
          </cell>
          <cell r="D28">
            <v>4</v>
          </cell>
          <cell r="E28">
            <v>1</v>
          </cell>
        </row>
        <row r="29">
          <cell r="A29" t="str">
            <v>B073WV5CCK</v>
          </cell>
          <cell r="B29">
            <v>0</v>
          </cell>
          <cell r="C29">
            <v>1</v>
          </cell>
          <cell r="D29">
            <v>5</v>
          </cell>
          <cell r="E29">
            <v>2</v>
          </cell>
        </row>
        <row r="30">
          <cell r="A30" t="str">
            <v>B073XMFYWX</v>
          </cell>
          <cell r="B30">
            <v>73</v>
          </cell>
          <cell r="C30">
            <v>54</v>
          </cell>
          <cell r="D30">
            <v>51</v>
          </cell>
          <cell r="E30">
            <v>22</v>
          </cell>
        </row>
        <row r="31">
          <cell r="A31" t="str">
            <v>B074CS535P</v>
          </cell>
          <cell r="B31">
            <v>0</v>
          </cell>
          <cell r="C31">
            <v>0</v>
          </cell>
          <cell r="D31">
            <v>9</v>
          </cell>
          <cell r="E31">
            <v>4</v>
          </cell>
        </row>
        <row r="32">
          <cell r="A32" t="str">
            <v>B074CS5P3X</v>
          </cell>
          <cell r="B32">
            <v>1</v>
          </cell>
          <cell r="C32">
            <v>0</v>
          </cell>
          <cell r="D32">
            <v>8</v>
          </cell>
          <cell r="E32">
            <v>1</v>
          </cell>
        </row>
        <row r="33">
          <cell r="A33" t="str">
            <v>B074CSCRF6</v>
          </cell>
          <cell r="B33">
            <v>0</v>
          </cell>
          <cell r="C33">
            <v>0</v>
          </cell>
          <cell r="D33">
            <v>6</v>
          </cell>
          <cell r="E33">
            <v>2</v>
          </cell>
        </row>
        <row r="34">
          <cell r="A34" t="str">
            <v>B074CSF1MY</v>
          </cell>
          <cell r="B34">
            <v>0</v>
          </cell>
          <cell r="C34">
            <v>1</v>
          </cell>
          <cell r="D34">
            <v>15</v>
          </cell>
          <cell r="E34">
            <v>9</v>
          </cell>
        </row>
        <row r="35">
          <cell r="A35" t="str">
            <v>B074CSG4ZS</v>
          </cell>
          <cell r="B35">
            <v>3</v>
          </cell>
          <cell r="C35">
            <v>6</v>
          </cell>
          <cell r="D35">
            <v>6</v>
          </cell>
          <cell r="E35">
            <v>2</v>
          </cell>
        </row>
        <row r="36">
          <cell r="A36" t="str">
            <v>B074CSPJVW</v>
          </cell>
          <cell r="B36">
            <v>0</v>
          </cell>
          <cell r="C36">
            <v>0</v>
          </cell>
          <cell r="D36">
            <v>7</v>
          </cell>
          <cell r="E36">
            <v>3</v>
          </cell>
        </row>
        <row r="37">
          <cell r="A37" t="str">
            <v>B074CV3L2T</v>
          </cell>
          <cell r="B37">
            <v>0</v>
          </cell>
          <cell r="C37">
            <v>0</v>
          </cell>
          <cell r="D37">
            <v>12</v>
          </cell>
          <cell r="E37">
            <v>5</v>
          </cell>
        </row>
        <row r="38">
          <cell r="A38" t="str">
            <v>B074CW3HDD</v>
          </cell>
          <cell r="B38">
            <v>0</v>
          </cell>
          <cell r="C38">
            <v>2</v>
          </cell>
          <cell r="D38">
            <v>10</v>
          </cell>
          <cell r="E38">
            <v>8</v>
          </cell>
        </row>
        <row r="39">
          <cell r="A39" t="str">
            <v>B074CW3JWV</v>
          </cell>
          <cell r="B39">
            <v>1</v>
          </cell>
          <cell r="C39">
            <v>2</v>
          </cell>
          <cell r="D39">
            <v>5</v>
          </cell>
          <cell r="E39">
            <v>1</v>
          </cell>
        </row>
        <row r="40">
          <cell r="A40" t="str">
            <v>B074CW4J9M</v>
          </cell>
          <cell r="B40">
            <v>0</v>
          </cell>
          <cell r="C40">
            <v>0</v>
          </cell>
          <cell r="D40">
            <v>4</v>
          </cell>
          <cell r="E40">
            <v>2</v>
          </cell>
        </row>
        <row r="41">
          <cell r="A41" t="str">
            <v>B074CWBNL1</v>
          </cell>
          <cell r="B41">
            <v>5</v>
          </cell>
          <cell r="C41">
            <v>3</v>
          </cell>
          <cell r="D41">
            <v>4</v>
          </cell>
          <cell r="E41">
            <v>2</v>
          </cell>
        </row>
        <row r="42">
          <cell r="A42" t="str">
            <v>B074CWG2B2</v>
          </cell>
          <cell r="B42">
            <v>0</v>
          </cell>
          <cell r="C42">
            <v>0</v>
          </cell>
          <cell r="D42">
            <v>3</v>
          </cell>
          <cell r="E42">
            <v>1</v>
          </cell>
        </row>
        <row r="43">
          <cell r="A43" t="str">
            <v>B074CWG8L2</v>
          </cell>
          <cell r="B43">
            <v>2</v>
          </cell>
          <cell r="C43">
            <v>3</v>
          </cell>
          <cell r="D43">
            <v>1</v>
          </cell>
          <cell r="E43">
            <v>3</v>
          </cell>
        </row>
        <row r="44">
          <cell r="A44" t="str">
            <v>B074CWJNRX</v>
          </cell>
          <cell r="B44">
            <v>0</v>
          </cell>
          <cell r="C44">
            <v>0</v>
          </cell>
          <cell r="D44">
            <v>4</v>
          </cell>
          <cell r="E44">
            <v>1</v>
          </cell>
        </row>
        <row r="45">
          <cell r="A45" t="str">
            <v>B074CWLV9M</v>
          </cell>
          <cell r="B45">
            <v>2</v>
          </cell>
          <cell r="C45">
            <v>3</v>
          </cell>
          <cell r="D45">
            <v>4</v>
          </cell>
          <cell r="E45">
            <v>4</v>
          </cell>
        </row>
        <row r="46">
          <cell r="A46" t="str">
            <v>B074CWLZDG</v>
          </cell>
          <cell r="B46">
            <v>2</v>
          </cell>
          <cell r="C46">
            <v>3</v>
          </cell>
          <cell r="D46">
            <v>3</v>
          </cell>
          <cell r="E46">
            <v>3</v>
          </cell>
        </row>
        <row r="47">
          <cell r="A47" t="str">
            <v>B074CWMB5Z</v>
          </cell>
          <cell r="B47">
            <v>2</v>
          </cell>
          <cell r="C47">
            <v>4</v>
          </cell>
          <cell r="D47">
            <v>2</v>
          </cell>
          <cell r="E47">
            <v>3</v>
          </cell>
        </row>
        <row r="48">
          <cell r="A48" t="str">
            <v>B074CWMB62</v>
          </cell>
          <cell r="B48">
            <v>2</v>
          </cell>
          <cell r="C48">
            <v>5</v>
          </cell>
          <cell r="D48">
            <v>2</v>
          </cell>
          <cell r="E48">
            <v>1</v>
          </cell>
        </row>
        <row r="49">
          <cell r="A49" t="str">
            <v>B074CWN2HB</v>
          </cell>
          <cell r="B49">
            <v>3</v>
          </cell>
          <cell r="C49">
            <v>5</v>
          </cell>
          <cell r="D49">
            <v>3</v>
          </cell>
          <cell r="E49">
            <v>3</v>
          </cell>
        </row>
        <row r="50">
          <cell r="A50" t="str">
            <v>B074CWQJVH</v>
          </cell>
          <cell r="B50">
            <v>3</v>
          </cell>
          <cell r="C50">
            <v>9</v>
          </cell>
          <cell r="D50">
            <v>3</v>
          </cell>
          <cell r="E50">
            <v>0</v>
          </cell>
        </row>
        <row r="51">
          <cell r="A51" t="str">
            <v>B074CWQPZP</v>
          </cell>
          <cell r="B51">
            <v>3</v>
          </cell>
          <cell r="C51">
            <v>3</v>
          </cell>
          <cell r="D51">
            <v>2</v>
          </cell>
          <cell r="E51">
            <v>1</v>
          </cell>
        </row>
        <row r="52">
          <cell r="A52" t="str">
            <v>B074CWR4ZR</v>
          </cell>
          <cell r="B52">
            <v>2</v>
          </cell>
          <cell r="C52">
            <v>4</v>
          </cell>
          <cell r="D52">
            <v>1</v>
          </cell>
          <cell r="E52">
            <v>1</v>
          </cell>
        </row>
        <row r="53">
          <cell r="A53" t="str">
            <v>B074CWRDHL</v>
          </cell>
          <cell r="B53">
            <v>6</v>
          </cell>
          <cell r="C53">
            <v>4</v>
          </cell>
          <cell r="D53">
            <v>10</v>
          </cell>
          <cell r="E53">
            <v>7</v>
          </cell>
        </row>
        <row r="54">
          <cell r="A54" t="str">
            <v>B074CWSDCG</v>
          </cell>
          <cell r="B54">
            <v>1</v>
          </cell>
          <cell r="C54">
            <v>0</v>
          </cell>
          <cell r="D54">
            <v>2</v>
          </cell>
          <cell r="E54">
            <v>1</v>
          </cell>
        </row>
        <row r="55">
          <cell r="A55" t="str">
            <v>B074CWSQFG</v>
          </cell>
          <cell r="B55">
            <v>7</v>
          </cell>
          <cell r="C55">
            <v>5</v>
          </cell>
          <cell r="D55">
            <v>2</v>
          </cell>
          <cell r="E55">
            <v>2</v>
          </cell>
        </row>
        <row r="56">
          <cell r="A56" t="str">
            <v>B074CWTBK6</v>
          </cell>
          <cell r="B56">
            <v>0</v>
          </cell>
          <cell r="C56">
            <v>0</v>
          </cell>
          <cell r="D56">
            <v>7</v>
          </cell>
          <cell r="E56">
            <v>4</v>
          </cell>
        </row>
        <row r="57">
          <cell r="A57" t="str">
            <v>B074CWTQW9</v>
          </cell>
          <cell r="B57">
            <v>2</v>
          </cell>
          <cell r="C57">
            <v>5</v>
          </cell>
          <cell r="D57">
            <v>2</v>
          </cell>
          <cell r="E57">
            <v>2</v>
          </cell>
        </row>
        <row r="58">
          <cell r="A58" t="str">
            <v>B074CWWB41</v>
          </cell>
          <cell r="B58">
            <v>0</v>
          </cell>
          <cell r="C58">
            <v>0</v>
          </cell>
          <cell r="D58">
            <v>4</v>
          </cell>
          <cell r="E58">
            <v>1</v>
          </cell>
        </row>
        <row r="59">
          <cell r="A59" t="str">
            <v>B074CWYHQ7</v>
          </cell>
          <cell r="B59">
            <v>2</v>
          </cell>
          <cell r="C59">
            <v>2</v>
          </cell>
          <cell r="D59">
            <v>2</v>
          </cell>
          <cell r="E59">
            <v>1</v>
          </cell>
        </row>
        <row r="60">
          <cell r="A60" t="str">
            <v>B074CWZFK3</v>
          </cell>
          <cell r="B60">
            <v>0</v>
          </cell>
          <cell r="C60">
            <v>0</v>
          </cell>
          <cell r="D60">
            <v>4</v>
          </cell>
          <cell r="E60">
            <v>3</v>
          </cell>
        </row>
        <row r="61">
          <cell r="A61" t="str">
            <v>B074CWZG9L</v>
          </cell>
          <cell r="B61">
            <v>2</v>
          </cell>
          <cell r="C61">
            <v>3</v>
          </cell>
          <cell r="D61">
            <v>3</v>
          </cell>
          <cell r="E61">
            <v>3</v>
          </cell>
        </row>
        <row r="62">
          <cell r="A62" t="str">
            <v>B074CWZRZ9</v>
          </cell>
          <cell r="B62">
            <v>3</v>
          </cell>
          <cell r="C62">
            <v>2</v>
          </cell>
          <cell r="D62">
            <v>3</v>
          </cell>
          <cell r="E62">
            <v>4</v>
          </cell>
        </row>
        <row r="63">
          <cell r="A63" t="str">
            <v>B074CWZSVH</v>
          </cell>
          <cell r="B63">
            <v>2</v>
          </cell>
          <cell r="C63">
            <v>5</v>
          </cell>
          <cell r="D63">
            <v>3</v>
          </cell>
          <cell r="E63">
            <v>3</v>
          </cell>
        </row>
        <row r="64">
          <cell r="A64" t="str">
            <v>B074CX1PRD</v>
          </cell>
          <cell r="B64">
            <v>0</v>
          </cell>
          <cell r="C64">
            <v>2</v>
          </cell>
          <cell r="D64">
            <v>9</v>
          </cell>
          <cell r="E64">
            <v>6</v>
          </cell>
        </row>
        <row r="65">
          <cell r="A65" t="str">
            <v>B074CX22LX</v>
          </cell>
          <cell r="B65">
            <v>3</v>
          </cell>
          <cell r="C65">
            <v>4</v>
          </cell>
          <cell r="D65">
            <v>8</v>
          </cell>
          <cell r="E65">
            <v>4</v>
          </cell>
        </row>
        <row r="66">
          <cell r="A66" t="str">
            <v>B074CX2BPL</v>
          </cell>
          <cell r="B66">
            <v>0</v>
          </cell>
          <cell r="C66">
            <v>0</v>
          </cell>
          <cell r="D66">
            <v>7</v>
          </cell>
          <cell r="E66">
            <v>3</v>
          </cell>
        </row>
        <row r="67">
          <cell r="A67" t="str">
            <v>B074CX451K</v>
          </cell>
          <cell r="B67">
            <v>4</v>
          </cell>
          <cell r="C67">
            <v>3</v>
          </cell>
          <cell r="D67">
            <v>6</v>
          </cell>
          <cell r="E67">
            <v>4</v>
          </cell>
        </row>
        <row r="68">
          <cell r="A68" t="str">
            <v>B074CX4VVP</v>
          </cell>
          <cell r="B68">
            <v>4</v>
          </cell>
          <cell r="C68">
            <v>3</v>
          </cell>
          <cell r="D68">
            <v>5</v>
          </cell>
          <cell r="E68">
            <v>2</v>
          </cell>
        </row>
        <row r="69">
          <cell r="A69" t="str">
            <v>B074CX534Z</v>
          </cell>
          <cell r="B69">
            <v>9</v>
          </cell>
          <cell r="C69">
            <v>10</v>
          </cell>
          <cell r="D69">
            <v>13</v>
          </cell>
          <cell r="E69">
            <v>4</v>
          </cell>
        </row>
        <row r="70">
          <cell r="A70" t="str">
            <v>B074CX6ML1</v>
          </cell>
          <cell r="B70">
            <v>0</v>
          </cell>
          <cell r="C70">
            <v>0</v>
          </cell>
          <cell r="D70">
            <v>10</v>
          </cell>
          <cell r="E70">
            <v>4</v>
          </cell>
        </row>
        <row r="71">
          <cell r="A71" t="str">
            <v>B074CX7218</v>
          </cell>
          <cell r="B71">
            <v>0</v>
          </cell>
          <cell r="C71">
            <v>10</v>
          </cell>
          <cell r="D71">
            <v>46</v>
          </cell>
          <cell r="E71">
            <v>27</v>
          </cell>
        </row>
        <row r="72">
          <cell r="A72" t="str">
            <v>B074CX73CM</v>
          </cell>
          <cell r="B72">
            <v>2</v>
          </cell>
          <cell r="C72">
            <v>10</v>
          </cell>
          <cell r="D72">
            <v>15</v>
          </cell>
          <cell r="E72">
            <v>27</v>
          </cell>
        </row>
        <row r="73">
          <cell r="A73" t="str">
            <v>B074CX7NWQ</v>
          </cell>
          <cell r="B73">
            <v>11</v>
          </cell>
          <cell r="C73">
            <v>17</v>
          </cell>
          <cell r="D73">
            <v>9</v>
          </cell>
          <cell r="E73">
            <v>15</v>
          </cell>
        </row>
        <row r="74">
          <cell r="A74" t="str">
            <v>B074CX8YMH</v>
          </cell>
          <cell r="B74">
            <v>0</v>
          </cell>
          <cell r="C74">
            <v>0</v>
          </cell>
          <cell r="D74">
            <v>4</v>
          </cell>
          <cell r="E74">
            <v>2</v>
          </cell>
        </row>
        <row r="75">
          <cell r="A75" t="str">
            <v>B074CX9229</v>
          </cell>
          <cell r="B75">
            <v>8</v>
          </cell>
          <cell r="C75">
            <v>4</v>
          </cell>
          <cell r="D75">
            <v>11</v>
          </cell>
          <cell r="E75">
            <v>5</v>
          </cell>
        </row>
        <row r="76">
          <cell r="A76" t="str">
            <v>B074CX95R8</v>
          </cell>
          <cell r="B76">
            <v>5</v>
          </cell>
          <cell r="C76">
            <v>7</v>
          </cell>
          <cell r="D76">
            <v>7</v>
          </cell>
          <cell r="E76">
            <v>3</v>
          </cell>
        </row>
        <row r="77">
          <cell r="A77" t="str">
            <v>B074CXHT3T</v>
          </cell>
          <cell r="B77">
            <v>0</v>
          </cell>
          <cell r="C77">
            <v>0</v>
          </cell>
          <cell r="D77">
            <v>4</v>
          </cell>
          <cell r="E77">
            <v>3</v>
          </cell>
        </row>
        <row r="78">
          <cell r="A78" t="str">
            <v>B074CXK4TV</v>
          </cell>
          <cell r="B78">
            <v>0</v>
          </cell>
          <cell r="C78">
            <v>0</v>
          </cell>
          <cell r="D78">
            <v>5</v>
          </cell>
          <cell r="E78">
            <v>13</v>
          </cell>
        </row>
        <row r="79">
          <cell r="A79" t="str">
            <v>B074CXLQVY</v>
          </cell>
          <cell r="B79">
            <v>0</v>
          </cell>
          <cell r="C79">
            <v>0</v>
          </cell>
          <cell r="D79">
            <v>4</v>
          </cell>
          <cell r="E79">
            <v>9</v>
          </cell>
        </row>
        <row r="80">
          <cell r="A80" t="str">
            <v>B074CXNWMZ</v>
          </cell>
          <cell r="B80">
            <v>8</v>
          </cell>
          <cell r="C80">
            <v>7</v>
          </cell>
          <cell r="D80">
            <v>4</v>
          </cell>
          <cell r="E80">
            <v>16</v>
          </cell>
        </row>
        <row r="81">
          <cell r="A81" t="str">
            <v>B074CXP24Y</v>
          </cell>
          <cell r="B81">
            <v>0</v>
          </cell>
          <cell r="C81">
            <v>1</v>
          </cell>
          <cell r="D81">
            <v>3</v>
          </cell>
          <cell r="E81">
            <v>10</v>
          </cell>
        </row>
        <row r="82">
          <cell r="A82" t="str">
            <v>B074CXPPQM</v>
          </cell>
          <cell r="B82">
            <v>0</v>
          </cell>
          <cell r="C82">
            <v>1</v>
          </cell>
          <cell r="D82">
            <v>7</v>
          </cell>
          <cell r="E82">
            <v>8</v>
          </cell>
        </row>
        <row r="83">
          <cell r="A83" t="str">
            <v>B074CXQ86P</v>
          </cell>
          <cell r="B83">
            <v>16</v>
          </cell>
          <cell r="C83">
            <v>22</v>
          </cell>
          <cell r="D83">
            <v>32</v>
          </cell>
          <cell r="E83">
            <v>21</v>
          </cell>
        </row>
        <row r="84">
          <cell r="A84" t="str">
            <v>B074CXR8YG</v>
          </cell>
          <cell r="B84">
            <v>0</v>
          </cell>
          <cell r="C84">
            <v>1</v>
          </cell>
          <cell r="D84">
            <v>1</v>
          </cell>
          <cell r="E84">
            <v>5</v>
          </cell>
        </row>
        <row r="85">
          <cell r="A85" t="str">
            <v>B074CZ4S1V</v>
          </cell>
          <cell r="B85">
            <v>0</v>
          </cell>
          <cell r="C85">
            <v>2</v>
          </cell>
          <cell r="D85">
            <v>7</v>
          </cell>
          <cell r="E85">
            <v>10</v>
          </cell>
        </row>
        <row r="86">
          <cell r="A86" t="str">
            <v>B074DVCJDR</v>
          </cell>
          <cell r="B86">
            <v>4</v>
          </cell>
          <cell r="C86">
            <v>2</v>
          </cell>
          <cell r="D86">
            <v>1</v>
          </cell>
          <cell r="E86">
            <v>3</v>
          </cell>
        </row>
        <row r="87">
          <cell r="A87" t="str">
            <v>B074DVQP6Q</v>
          </cell>
          <cell r="B87">
            <v>6</v>
          </cell>
          <cell r="C87">
            <v>4</v>
          </cell>
          <cell r="D87">
            <v>1</v>
          </cell>
          <cell r="E87">
            <v>2</v>
          </cell>
        </row>
        <row r="88">
          <cell r="A88" t="str">
            <v>B074DVQR1S</v>
          </cell>
          <cell r="B88">
            <v>2</v>
          </cell>
          <cell r="C88">
            <v>0</v>
          </cell>
          <cell r="D88">
            <v>0</v>
          </cell>
          <cell r="E88">
            <v>1</v>
          </cell>
        </row>
        <row r="89">
          <cell r="A89" t="str">
            <v>B074DVVJND</v>
          </cell>
          <cell r="B89">
            <v>4</v>
          </cell>
          <cell r="C89">
            <v>3</v>
          </cell>
          <cell r="D89">
            <v>3</v>
          </cell>
          <cell r="E89">
            <v>2</v>
          </cell>
        </row>
        <row r="90">
          <cell r="A90" t="str">
            <v>B074DVVVVP</v>
          </cell>
          <cell r="B90">
            <v>4</v>
          </cell>
          <cell r="C90">
            <v>6</v>
          </cell>
          <cell r="D90">
            <v>2</v>
          </cell>
          <cell r="E90">
            <v>2</v>
          </cell>
        </row>
        <row r="91">
          <cell r="A91" t="str">
            <v>B074DVY5J8</v>
          </cell>
          <cell r="B91">
            <v>3</v>
          </cell>
          <cell r="C91">
            <v>3</v>
          </cell>
          <cell r="D91">
            <v>3</v>
          </cell>
          <cell r="E91">
            <v>1</v>
          </cell>
        </row>
        <row r="92">
          <cell r="A92" t="str">
            <v>B074DVY6FY</v>
          </cell>
          <cell r="B92">
            <v>3</v>
          </cell>
          <cell r="C92">
            <v>4</v>
          </cell>
          <cell r="D92">
            <v>4</v>
          </cell>
          <cell r="E92">
            <v>1</v>
          </cell>
        </row>
        <row r="93">
          <cell r="A93" t="str">
            <v>B074DVZ847</v>
          </cell>
          <cell r="B93">
            <v>11</v>
          </cell>
          <cell r="C93">
            <v>9</v>
          </cell>
          <cell r="D93">
            <v>8</v>
          </cell>
          <cell r="E93">
            <v>5</v>
          </cell>
        </row>
        <row r="94">
          <cell r="A94" t="str">
            <v>B074DVZPS8</v>
          </cell>
          <cell r="B94">
            <v>0</v>
          </cell>
          <cell r="C94">
            <v>0</v>
          </cell>
          <cell r="D94">
            <v>3</v>
          </cell>
          <cell r="E94">
            <v>2</v>
          </cell>
        </row>
        <row r="95">
          <cell r="A95" t="str">
            <v>B074DW168F</v>
          </cell>
          <cell r="B95">
            <v>0</v>
          </cell>
          <cell r="C95">
            <v>0</v>
          </cell>
          <cell r="D95">
            <v>4</v>
          </cell>
          <cell r="E95">
            <v>2</v>
          </cell>
        </row>
        <row r="96">
          <cell r="A96" t="str">
            <v>B074DW1MXR</v>
          </cell>
          <cell r="B96">
            <v>3</v>
          </cell>
          <cell r="C96">
            <v>2</v>
          </cell>
          <cell r="D96">
            <v>4</v>
          </cell>
          <cell r="E96">
            <v>2</v>
          </cell>
        </row>
        <row r="97">
          <cell r="A97" t="str">
            <v>B074DW274J</v>
          </cell>
          <cell r="B97">
            <v>2</v>
          </cell>
          <cell r="C97">
            <v>2</v>
          </cell>
          <cell r="D97">
            <v>3</v>
          </cell>
          <cell r="E97">
            <v>1</v>
          </cell>
        </row>
        <row r="98">
          <cell r="A98" t="str">
            <v>B074DW2BY6</v>
          </cell>
          <cell r="B98">
            <v>0</v>
          </cell>
          <cell r="C98">
            <v>0</v>
          </cell>
          <cell r="D98">
            <v>3</v>
          </cell>
          <cell r="E98">
            <v>1</v>
          </cell>
        </row>
        <row r="99">
          <cell r="A99" t="str">
            <v>B074DW2H3B</v>
          </cell>
          <cell r="B99">
            <v>1</v>
          </cell>
          <cell r="C99">
            <v>1</v>
          </cell>
          <cell r="D99">
            <v>3</v>
          </cell>
          <cell r="E99">
            <v>1</v>
          </cell>
        </row>
        <row r="100">
          <cell r="A100" t="str">
            <v>B074DW2MGG</v>
          </cell>
          <cell r="B100">
            <v>1</v>
          </cell>
          <cell r="C100">
            <v>3</v>
          </cell>
          <cell r="D100">
            <v>4</v>
          </cell>
          <cell r="E100">
            <v>2</v>
          </cell>
        </row>
        <row r="101">
          <cell r="A101" t="str">
            <v>B074DW5ZSD</v>
          </cell>
          <cell r="B101">
            <v>6</v>
          </cell>
          <cell r="C101">
            <v>2</v>
          </cell>
          <cell r="D101">
            <v>2</v>
          </cell>
          <cell r="E101">
            <v>2</v>
          </cell>
        </row>
        <row r="102">
          <cell r="A102" t="str">
            <v>B074DW762P</v>
          </cell>
          <cell r="B102">
            <v>2</v>
          </cell>
          <cell r="C102">
            <v>2</v>
          </cell>
          <cell r="D102">
            <v>3</v>
          </cell>
          <cell r="E102">
            <v>3</v>
          </cell>
        </row>
        <row r="103">
          <cell r="A103" t="str">
            <v>B074DWBXBD</v>
          </cell>
          <cell r="B103">
            <v>2</v>
          </cell>
          <cell r="C103">
            <v>5</v>
          </cell>
          <cell r="D103">
            <v>7</v>
          </cell>
          <cell r="E103">
            <v>3</v>
          </cell>
        </row>
        <row r="104">
          <cell r="A104" t="str">
            <v>B074DWD9YY</v>
          </cell>
          <cell r="B104">
            <v>2</v>
          </cell>
          <cell r="C104">
            <v>3</v>
          </cell>
          <cell r="D104">
            <v>0</v>
          </cell>
          <cell r="E104">
            <v>4</v>
          </cell>
        </row>
        <row r="105">
          <cell r="A105" t="str">
            <v>B074DWFV62</v>
          </cell>
          <cell r="B105">
            <v>0</v>
          </cell>
          <cell r="C105">
            <v>0</v>
          </cell>
          <cell r="D105">
            <v>5</v>
          </cell>
          <cell r="E105">
            <v>4</v>
          </cell>
        </row>
        <row r="106">
          <cell r="A106" t="str">
            <v>B074DWGDMH</v>
          </cell>
          <cell r="B106">
            <v>2</v>
          </cell>
          <cell r="C106">
            <v>4</v>
          </cell>
          <cell r="D106">
            <v>3</v>
          </cell>
          <cell r="E106">
            <v>4</v>
          </cell>
        </row>
        <row r="107">
          <cell r="A107" t="str">
            <v>B074DWLT99</v>
          </cell>
          <cell r="B107">
            <v>0</v>
          </cell>
          <cell r="C107">
            <v>0</v>
          </cell>
          <cell r="D107">
            <v>6</v>
          </cell>
          <cell r="E107">
            <v>4</v>
          </cell>
        </row>
        <row r="108">
          <cell r="A108" t="str">
            <v>B074FJ37K7</v>
          </cell>
          <cell r="B108">
            <v>2</v>
          </cell>
          <cell r="C108">
            <v>9</v>
          </cell>
          <cell r="D108">
            <v>3</v>
          </cell>
          <cell r="E108">
            <v>5</v>
          </cell>
        </row>
        <row r="109">
          <cell r="A109" t="str">
            <v>B074FP8NZF</v>
          </cell>
          <cell r="B109">
            <v>6</v>
          </cell>
          <cell r="C109">
            <v>3</v>
          </cell>
          <cell r="D109">
            <v>10</v>
          </cell>
          <cell r="E109">
            <v>13</v>
          </cell>
        </row>
        <row r="110">
          <cell r="A110" t="str">
            <v>B074FP8V7K</v>
          </cell>
          <cell r="B110">
            <v>9</v>
          </cell>
          <cell r="C110">
            <v>14</v>
          </cell>
          <cell r="D110">
            <v>19</v>
          </cell>
          <cell r="E110">
            <v>16</v>
          </cell>
        </row>
        <row r="111">
          <cell r="A111" t="str">
            <v>B074FPR99C</v>
          </cell>
          <cell r="B111">
            <v>0</v>
          </cell>
          <cell r="C111">
            <v>4</v>
          </cell>
          <cell r="D111">
            <v>15</v>
          </cell>
          <cell r="E111">
            <v>3</v>
          </cell>
        </row>
        <row r="112">
          <cell r="A112" t="str">
            <v>B074FPYB9N</v>
          </cell>
          <cell r="B112">
            <v>5</v>
          </cell>
          <cell r="C112">
            <v>5</v>
          </cell>
          <cell r="D112">
            <v>6</v>
          </cell>
          <cell r="E112">
            <v>9</v>
          </cell>
        </row>
        <row r="113">
          <cell r="A113" t="str">
            <v>B074FQ29ZR</v>
          </cell>
          <cell r="B113">
            <v>0</v>
          </cell>
          <cell r="C113">
            <v>1</v>
          </cell>
          <cell r="D113">
            <v>46</v>
          </cell>
          <cell r="E113">
            <v>1</v>
          </cell>
        </row>
        <row r="114">
          <cell r="A114" t="str">
            <v>B074FQ84QJ</v>
          </cell>
          <cell r="B114">
            <v>5</v>
          </cell>
          <cell r="C114">
            <v>3</v>
          </cell>
          <cell r="D114">
            <v>3</v>
          </cell>
          <cell r="E114">
            <v>1</v>
          </cell>
        </row>
        <row r="115">
          <cell r="A115" t="str">
            <v>B074FQSTJL</v>
          </cell>
          <cell r="B115">
            <v>8</v>
          </cell>
          <cell r="C115">
            <v>28</v>
          </cell>
          <cell r="D115">
            <v>57</v>
          </cell>
          <cell r="E115">
            <v>82</v>
          </cell>
        </row>
        <row r="116">
          <cell r="A116" t="str">
            <v>B074FQWCTK</v>
          </cell>
          <cell r="B116">
            <v>0</v>
          </cell>
          <cell r="C116">
            <v>1</v>
          </cell>
          <cell r="D116">
            <v>5</v>
          </cell>
          <cell r="E116">
            <v>3</v>
          </cell>
        </row>
        <row r="117">
          <cell r="A117" t="str">
            <v>B074FQZXDS</v>
          </cell>
          <cell r="B117">
            <v>4</v>
          </cell>
          <cell r="C117">
            <v>4</v>
          </cell>
          <cell r="D117">
            <v>3</v>
          </cell>
          <cell r="E117">
            <v>3</v>
          </cell>
        </row>
        <row r="118">
          <cell r="A118" t="str">
            <v>B074FRWKSK</v>
          </cell>
          <cell r="B118">
            <v>0</v>
          </cell>
          <cell r="C118">
            <v>1</v>
          </cell>
          <cell r="D118">
            <v>2</v>
          </cell>
          <cell r="E118">
            <v>2</v>
          </cell>
        </row>
        <row r="119">
          <cell r="A119" t="str">
            <v>B074FRX8XF</v>
          </cell>
          <cell r="B119">
            <v>0</v>
          </cell>
          <cell r="C119">
            <v>1</v>
          </cell>
          <cell r="D119">
            <v>2</v>
          </cell>
          <cell r="E119">
            <v>1</v>
          </cell>
        </row>
        <row r="120">
          <cell r="A120" t="str">
            <v>B074FS9DHG</v>
          </cell>
          <cell r="B120">
            <v>6</v>
          </cell>
          <cell r="C120">
            <v>2</v>
          </cell>
          <cell r="D120">
            <v>2</v>
          </cell>
          <cell r="E120">
            <v>2</v>
          </cell>
        </row>
        <row r="121">
          <cell r="A121" t="str">
            <v>B074FSCZT2</v>
          </cell>
          <cell r="B121">
            <v>0</v>
          </cell>
          <cell r="C121">
            <v>2</v>
          </cell>
          <cell r="D121">
            <v>6</v>
          </cell>
          <cell r="E121">
            <v>2</v>
          </cell>
        </row>
        <row r="122">
          <cell r="A122" t="str">
            <v>B074FSGM8N</v>
          </cell>
          <cell r="B122">
            <v>5</v>
          </cell>
          <cell r="C122">
            <v>3</v>
          </cell>
          <cell r="D122">
            <v>2</v>
          </cell>
          <cell r="E122">
            <v>2</v>
          </cell>
        </row>
        <row r="123">
          <cell r="A123" t="str">
            <v>B074FSHJB3</v>
          </cell>
          <cell r="B123">
            <v>8</v>
          </cell>
          <cell r="C123">
            <v>2</v>
          </cell>
          <cell r="D123">
            <v>6</v>
          </cell>
          <cell r="E123">
            <v>5</v>
          </cell>
        </row>
        <row r="124">
          <cell r="A124" t="str">
            <v>B074FSTDKH</v>
          </cell>
          <cell r="B124">
            <v>4</v>
          </cell>
          <cell r="C124">
            <v>3</v>
          </cell>
          <cell r="D124">
            <v>4</v>
          </cell>
          <cell r="E124">
            <v>1</v>
          </cell>
        </row>
        <row r="125">
          <cell r="A125" t="str">
            <v>B074FSVZ5H</v>
          </cell>
          <cell r="B125">
            <v>4</v>
          </cell>
          <cell r="C125">
            <v>4</v>
          </cell>
          <cell r="D125">
            <v>5</v>
          </cell>
          <cell r="E125">
            <v>4</v>
          </cell>
        </row>
        <row r="126">
          <cell r="A126" t="str">
            <v>B074FSW752</v>
          </cell>
          <cell r="B126">
            <v>6</v>
          </cell>
          <cell r="C126">
            <v>3</v>
          </cell>
          <cell r="D126">
            <v>5</v>
          </cell>
          <cell r="E126">
            <v>2</v>
          </cell>
        </row>
        <row r="127">
          <cell r="A127" t="str">
            <v>B074FSXB2H</v>
          </cell>
          <cell r="B127">
            <v>3</v>
          </cell>
          <cell r="C127">
            <v>3</v>
          </cell>
          <cell r="D127">
            <v>5</v>
          </cell>
          <cell r="E127">
            <v>3</v>
          </cell>
        </row>
        <row r="128">
          <cell r="A128" t="str">
            <v>B074FSYM6B</v>
          </cell>
          <cell r="B128">
            <v>4</v>
          </cell>
          <cell r="C128">
            <v>2</v>
          </cell>
          <cell r="D128">
            <v>5</v>
          </cell>
          <cell r="E128">
            <v>3</v>
          </cell>
        </row>
        <row r="129">
          <cell r="A129" t="str">
            <v>B074FT3DCL</v>
          </cell>
          <cell r="B129">
            <v>5</v>
          </cell>
          <cell r="C129">
            <v>2</v>
          </cell>
          <cell r="D129">
            <v>5</v>
          </cell>
          <cell r="E129">
            <v>1</v>
          </cell>
        </row>
        <row r="130">
          <cell r="A130" t="str">
            <v>B074FT665V</v>
          </cell>
          <cell r="B130">
            <v>5</v>
          </cell>
          <cell r="C130">
            <v>2</v>
          </cell>
          <cell r="D130">
            <v>1</v>
          </cell>
          <cell r="E130">
            <v>1</v>
          </cell>
        </row>
        <row r="131">
          <cell r="A131" t="str">
            <v>B074FTB99W</v>
          </cell>
          <cell r="B131">
            <v>5</v>
          </cell>
          <cell r="C131">
            <v>2</v>
          </cell>
          <cell r="D131">
            <v>0</v>
          </cell>
          <cell r="E131">
            <v>2</v>
          </cell>
        </row>
        <row r="132">
          <cell r="A132" t="str">
            <v>B074FTBSZV</v>
          </cell>
          <cell r="B132">
            <v>6</v>
          </cell>
          <cell r="C132">
            <v>1</v>
          </cell>
          <cell r="D132">
            <v>2</v>
          </cell>
          <cell r="E132">
            <v>1</v>
          </cell>
        </row>
        <row r="133">
          <cell r="A133" t="str">
            <v>B074FTCSNQ</v>
          </cell>
          <cell r="B133">
            <v>5</v>
          </cell>
          <cell r="C133">
            <v>2</v>
          </cell>
          <cell r="D133">
            <v>2</v>
          </cell>
          <cell r="E133">
            <v>2</v>
          </cell>
        </row>
        <row r="134">
          <cell r="A134" t="str">
            <v>B074FTCSP4</v>
          </cell>
          <cell r="B134">
            <v>5</v>
          </cell>
          <cell r="C134">
            <v>2</v>
          </cell>
          <cell r="D134">
            <v>2</v>
          </cell>
          <cell r="E134">
            <v>3</v>
          </cell>
        </row>
        <row r="135">
          <cell r="A135" t="str">
            <v>B074FTFWR7</v>
          </cell>
          <cell r="B135">
            <v>4</v>
          </cell>
          <cell r="C135">
            <v>2</v>
          </cell>
          <cell r="D135">
            <v>6</v>
          </cell>
          <cell r="E135">
            <v>4</v>
          </cell>
        </row>
        <row r="136">
          <cell r="A136" t="str">
            <v>B074FTPHX1</v>
          </cell>
          <cell r="B136">
            <v>0</v>
          </cell>
          <cell r="C136">
            <v>1</v>
          </cell>
          <cell r="D136">
            <v>1</v>
          </cell>
          <cell r="E136">
            <v>3</v>
          </cell>
        </row>
        <row r="137">
          <cell r="A137" t="str">
            <v>B074FTV42K</v>
          </cell>
          <cell r="B137">
            <v>4</v>
          </cell>
          <cell r="C137">
            <v>3</v>
          </cell>
          <cell r="D137">
            <v>1</v>
          </cell>
          <cell r="E137">
            <v>3</v>
          </cell>
        </row>
        <row r="138">
          <cell r="A138" t="str">
            <v>B074FTW5DS</v>
          </cell>
          <cell r="B138">
            <v>0</v>
          </cell>
          <cell r="C138">
            <v>1</v>
          </cell>
          <cell r="D138">
            <v>1</v>
          </cell>
          <cell r="E138">
            <v>1</v>
          </cell>
        </row>
        <row r="139">
          <cell r="A139" t="str">
            <v>B074FTXNPM</v>
          </cell>
          <cell r="B139">
            <v>5</v>
          </cell>
          <cell r="C139">
            <v>10</v>
          </cell>
          <cell r="D139">
            <v>0</v>
          </cell>
          <cell r="E139">
            <v>2</v>
          </cell>
        </row>
        <row r="140">
          <cell r="A140" t="str">
            <v>B074FTYZMD</v>
          </cell>
          <cell r="B140">
            <v>5</v>
          </cell>
          <cell r="C140">
            <v>3</v>
          </cell>
          <cell r="D140">
            <v>2</v>
          </cell>
          <cell r="E140">
            <v>3</v>
          </cell>
        </row>
        <row r="141">
          <cell r="A141" t="str">
            <v>B074FTZ9P4</v>
          </cell>
          <cell r="B141">
            <v>0</v>
          </cell>
          <cell r="C141">
            <v>1</v>
          </cell>
          <cell r="D141">
            <v>2</v>
          </cell>
          <cell r="E141">
            <v>2</v>
          </cell>
        </row>
        <row r="142">
          <cell r="A142" t="str">
            <v>B074FV2QSZ</v>
          </cell>
          <cell r="B142">
            <v>4</v>
          </cell>
          <cell r="C142">
            <v>3</v>
          </cell>
          <cell r="D142">
            <v>1</v>
          </cell>
          <cell r="E142">
            <v>4</v>
          </cell>
        </row>
        <row r="143">
          <cell r="A143" t="str">
            <v>B074FVCMHJ</v>
          </cell>
          <cell r="B143">
            <v>3</v>
          </cell>
          <cell r="C143">
            <v>4</v>
          </cell>
          <cell r="D143">
            <v>2</v>
          </cell>
          <cell r="E143">
            <v>2</v>
          </cell>
        </row>
        <row r="144">
          <cell r="A144" t="str">
            <v>B074FVGPRW</v>
          </cell>
          <cell r="B144">
            <v>3</v>
          </cell>
          <cell r="C144">
            <v>3</v>
          </cell>
          <cell r="D144">
            <v>2</v>
          </cell>
          <cell r="E144">
            <v>3</v>
          </cell>
        </row>
        <row r="145">
          <cell r="A145" t="str">
            <v>B074FVKNXW</v>
          </cell>
          <cell r="B145">
            <v>0</v>
          </cell>
          <cell r="C145">
            <v>0</v>
          </cell>
          <cell r="D145">
            <v>4</v>
          </cell>
          <cell r="E145">
            <v>4</v>
          </cell>
        </row>
        <row r="146">
          <cell r="A146" t="str">
            <v>B074FVPGVL</v>
          </cell>
          <cell r="B146">
            <v>3</v>
          </cell>
          <cell r="C146">
            <v>10</v>
          </cell>
          <cell r="D146">
            <v>7</v>
          </cell>
          <cell r="E146">
            <v>3</v>
          </cell>
        </row>
        <row r="147">
          <cell r="A147" t="str">
            <v>B074FVRK4X</v>
          </cell>
          <cell r="B147">
            <v>0</v>
          </cell>
          <cell r="C147">
            <v>1</v>
          </cell>
          <cell r="D147">
            <v>3</v>
          </cell>
          <cell r="E147">
            <v>3</v>
          </cell>
        </row>
        <row r="148">
          <cell r="A148" t="str">
            <v>B074FVVHPR</v>
          </cell>
          <cell r="B148">
            <v>3</v>
          </cell>
          <cell r="C148">
            <v>4</v>
          </cell>
          <cell r="D148">
            <v>3</v>
          </cell>
          <cell r="E148">
            <v>3</v>
          </cell>
        </row>
        <row r="149">
          <cell r="A149" t="str">
            <v>B074FVVYW2</v>
          </cell>
          <cell r="B149">
            <v>4</v>
          </cell>
          <cell r="C149">
            <v>3</v>
          </cell>
          <cell r="D149">
            <v>2</v>
          </cell>
          <cell r="E149">
            <v>3</v>
          </cell>
        </row>
        <row r="150">
          <cell r="A150" t="str">
            <v>B074FVYSML</v>
          </cell>
          <cell r="B150">
            <v>3</v>
          </cell>
          <cell r="C150">
            <v>3</v>
          </cell>
          <cell r="D150">
            <v>2</v>
          </cell>
          <cell r="E150">
            <v>2</v>
          </cell>
        </row>
        <row r="151">
          <cell r="A151" t="str">
            <v>B074FVZ2LG</v>
          </cell>
          <cell r="B151">
            <v>0</v>
          </cell>
          <cell r="C151">
            <v>0</v>
          </cell>
          <cell r="D151">
            <v>0</v>
          </cell>
          <cell r="E151">
            <v>2</v>
          </cell>
        </row>
        <row r="152">
          <cell r="A152" t="str">
            <v>B074FW1DYK</v>
          </cell>
          <cell r="B152">
            <v>3</v>
          </cell>
          <cell r="C152">
            <v>3</v>
          </cell>
          <cell r="D152">
            <v>2</v>
          </cell>
          <cell r="E152">
            <v>2</v>
          </cell>
        </row>
        <row r="153">
          <cell r="A153" t="str">
            <v>B074FW571Z</v>
          </cell>
          <cell r="B153">
            <v>3</v>
          </cell>
          <cell r="C153">
            <v>3</v>
          </cell>
          <cell r="D153">
            <v>4</v>
          </cell>
          <cell r="E153">
            <v>3</v>
          </cell>
        </row>
        <row r="154">
          <cell r="A154" t="str">
            <v>B074FW623M</v>
          </cell>
          <cell r="B154">
            <v>3</v>
          </cell>
          <cell r="C154">
            <v>5</v>
          </cell>
          <cell r="D154">
            <v>5</v>
          </cell>
          <cell r="E154">
            <v>3</v>
          </cell>
        </row>
        <row r="155">
          <cell r="A155" t="str">
            <v>B074FW6SKT</v>
          </cell>
          <cell r="B155">
            <v>0</v>
          </cell>
          <cell r="C155">
            <v>1</v>
          </cell>
          <cell r="D155">
            <v>4</v>
          </cell>
          <cell r="E155">
            <v>2</v>
          </cell>
        </row>
        <row r="156">
          <cell r="A156" t="str">
            <v>B074FW8FGF</v>
          </cell>
          <cell r="B156">
            <v>4</v>
          </cell>
          <cell r="C156">
            <v>3</v>
          </cell>
          <cell r="D156">
            <v>3</v>
          </cell>
          <cell r="E156">
            <v>4</v>
          </cell>
        </row>
        <row r="157">
          <cell r="A157" t="str">
            <v>B074FWGTNB</v>
          </cell>
          <cell r="B157">
            <v>3</v>
          </cell>
          <cell r="C157">
            <v>3</v>
          </cell>
          <cell r="D157">
            <v>3</v>
          </cell>
          <cell r="E157">
            <v>4</v>
          </cell>
        </row>
        <row r="158">
          <cell r="A158" t="str">
            <v>B074FWJYDS</v>
          </cell>
          <cell r="B158">
            <v>4</v>
          </cell>
          <cell r="C158">
            <v>4</v>
          </cell>
          <cell r="D158">
            <v>5</v>
          </cell>
          <cell r="E158">
            <v>4</v>
          </cell>
        </row>
        <row r="159">
          <cell r="A159" t="str">
            <v>B074FWRNDY</v>
          </cell>
          <cell r="B159">
            <v>3</v>
          </cell>
          <cell r="C159">
            <v>4</v>
          </cell>
          <cell r="D159">
            <v>4</v>
          </cell>
          <cell r="E159">
            <v>2</v>
          </cell>
        </row>
        <row r="160">
          <cell r="A160" t="str">
            <v>B074FWRY86</v>
          </cell>
          <cell r="B160">
            <v>3</v>
          </cell>
          <cell r="C160">
            <v>4</v>
          </cell>
          <cell r="D160">
            <v>2</v>
          </cell>
          <cell r="E160">
            <v>2</v>
          </cell>
        </row>
        <row r="161">
          <cell r="A161" t="str">
            <v>B074FWYPHZ</v>
          </cell>
          <cell r="B161">
            <v>5</v>
          </cell>
          <cell r="C161">
            <v>4</v>
          </cell>
          <cell r="D161">
            <v>3</v>
          </cell>
          <cell r="E161">
            <v>4</v>
          </cell>
        </row>
        <row r="162">
          <cell r="A162" t="str">
            <v>B074FX1CXN</v>
          </cell>
          <cell r="B162">
            <v>0</v>
          </cell>
          <cell r="C162">
            <v>1</v>
          </cell>
          <cell r="D162">
            <v>2</v>
          </cell>
          <cell r="E162">
            <v>2</v>
          </cell>
        </row>
        <row r="163">
          <cell r="A163" t="str">
            <v>B074FX3HCW</v>
          </cell>
          <cell r="B163">
            <v>4</v>
          </cell>
          <cell r="C163">
            <v>4</v>
          </cell>
          <cell r="D163">
            <v>2</v>
          </cell>
          <cell r="E163">
            <v>5</v>
          </cell>
        </row>
        <row r="164">
          <cell r="A164" t="str">
            <v>B074FX3ZFZ</v>
          </cell>
          <cell r="B164">
            <v>0</v>
          </cell>
          <cell r="C164">
            <v>3</v>
          </cell>
          <cell r="D164">
            <v>10</v>
          </cell>
          <cell r="E164">
            <v>3</v>
          </cell>
        </row>
        <row r="165">
          <cell r="A165" t="str">
            <v>B074FX6ZGT</v>
          </cell>
          <cell r="B165">
            <v>4</v>
          </cell>
          <cell r="C165">
            <v>4</v>
          </cell>
          <cell r="D165">
            <v>4</v>
          </cell>
          <cell r="E165">
            <v>1</v>
          </cell>
        </row>
        <row r="166">
          <cell r="A166" t="str">
            <v>B074FX94G1</v>
          </cell>
          <cell r="B166">
            <v>4</v>
          </cell>
          <cell r="C166">
            <v>3</v>
          </cell>
          <cell r="D166">
            <v>3</v>
          </cell>
          <cell r="E166">
            <v>2</v>
          </cell>
        </row>
        <row r="167">
          <cell r="A167" t="str">
            <v>B074FXCYQT</v>
          </cell>
          <cell r="B167">
            <v>0</v>
          </cell>
          <cell r="C167">
            <v>3</v>
          </cell>
          <cell r="D167">
            <v>13</v>
          </cell>
          <cell r="E167">
            <v>8</v>
          </cell>
        </row>
        <row r="168">
          <cell r="A168" t="str">
            <v>B074FXLL7J</v>
          </cell>
          <cell r="B168">
            <v>0</v>
          </cell>
          <cell r="C168">
            <v>3</v>
          </cell>
          <cell r="D168">
            <v>6</v>
          </cell>
          <cell r="E168">
            <v>3</v>
          </cell>
        </row>
        <row r="169">
          <cell r="A169" t="str">
            <v>B074FXLSHW</v>
          </cell>
          <cell r="B169">
            <v>4</v>
          </cell>
          <cell r="C169">
            <v>3</v>
          </cell>
          <cell r="D169">
            <v>2</v>
          </cell>
          <cell r="E169">
            <v>1</v>
          </cell>
        </row>
        <row r="170">
          <cell r="A170" t="str">
            <v>B074FXM33R</v>
          </cell>
          <cell r="B170">
            <v>4</v>
          </cell>
          <cell r="C170">
            <v>3</v>
          </cell>
          <cell r="D170">
            <v>3</v>
          </cell>
          <cell r="E170">
            <v>1</v>
          </cell>
        </row>
        <row r="171">
          <cell r="A171" t="str">
            <v>B074FXMP5R</v>
          </cell>
          <cell r="B171">
            <v>5</v>
          </cell>
          <cell r="C171">
            <v>4</v>
          </cell>
          <cell r="D171">
            <v>2</v>
          </cell>
          <cell r="E171">
            <v>1</v>
          </cell>
        </row>
        <row r="172">
          <cell r="A172" t="str">
            <v>B074FXTKQH</v>
          </cell>
          <cell r="B172">
            <v>6</v>
          </cell>
          <cell r="C172">
            <v>3</v>
          </cell>
          <cell r="D172">
            <v>2</v>
          </cell>
          <cell r="E172">
            <v>2</v>
          </cell>
        </row>
        <row r="173">
          <cell r="A173" t="str">
            <v>B074FXVQD5</v>
          </cell>
          <cell r="B173">
            <v>5</v>
          </cell>
          <cell r="C173">
            <v>3</v>
          </cell>
          <cell r="D173">
            <v>2</v>
          </cell>
          <cell r="E173">
            <v>1</v>
          </cell>
        </row>
        <row r="174">
          <cell r="A174" t="str">
            <v>B074FYGSKY</v>
          </cell>
          <cell r="B174">
            <v>6</v>
          </cell>
          <cell r="C174">
            <v>2</v>
          </cell>
          <cell r="D174">
            <v>1</v>
          </cell>
          <cell r="E174">
            <v>2</v>
          </cell>
        </row>
        <row r="175">
          <cell r="A175" t="str">
            <v>B074FYL2WF</v>
          </cell>
          <cell r="B175">
            <v>4</v>
          </cell>
          <cell r="C175">
            <v>2</v>
          </cell>
          <cell r="D175">
            <v>2</v>
          </cell>
          <cell r="E175">
            <v>1</v>
          </cell>
        </row>
        <row r="176">
          <cell r="A176" t="str">
            <v>B074JTR9T4</v>
          </cell>
          <cell r="B176">
            <v>0</v>
          </cell>
          <cell r="C176">
            <v>1</v>
          </cell>
          <cell r="D176">
            <v>2</v>
          </cell>
          <cell r="E176">
            <v>2</v>
          </cell>
        </row>
        <row r="177">
          <cell r="A177" t="str">
            <v>B074JTW9NR</v>
          </cell>
          <cell r="B177">
            <v>1</v>
          </cell>
          <cell r="C177">
            <v>3</v>
          </cell>
          <cell r="D177">
            <v>4</v>
          </cell>
          <cell r="E177">
            <v>1</v>
          </cell>
        </row>
        <row r="178">
          <cell r="A178" t="str">
            <v>B074JV1QKR</v>
          </cell>
          <cell r="B178">
            <v>0</v>
          </cell>
          <cell r="C178">
            <v>1</v>
          </cell>
          <cell r="D178">
            <v>4</v>
          </cell>
          <cell r="E178">
            <v>1</v>
          </cell>
        </row>
        <row r="179">
          <cell r="A179" t="str">
            <v>B074JV1QKT</v>
          </cell>
          <cell r="B179">
            <v>0</v>
          </cell>
          <cell r="C179">
            <v>3</v>
          </cell>
          <cell r="D179">
            <v>5</v>
          </cell>
          <cell r="E179">
            <v>7</v>
          </cell>
        </row>
        <row r="180">
          <cell r="A180" t="str">
            <v>B074JV7QWX</v>
          </cell>
          <cell r="B180">
            <v>0</v>
          </cell>
          <cell r="C180">
            <v>5</v>
          </cell>
          <cell r="D180">
            <v>24</v>
          </cell>
          <cell r="E180">
            <v>5</v>
          </cell>
        </row>
        <row r="181">
          <cell r="A181" t="str">
            <v>B074JVF4LK</v>
          </cell>
          <cell r="B181">
            <v>3</v>
          </cell>
          <cell r="C181">
            <v>2</v>
          </cell>
          <cell r="D181">
            <v>12</v>
          </cell>
          <cell r="E181">
            <v>1</v>
          </cell>
        </row>
        <row r="182">
          <cell r="A182" t="str">
            <v>B074JVMQRW</v>
          </cell>
          <cell r="B182">
            <v>0</v>
          </cell>
          <cell r="C182">
            <v>1</v>
          </cell>
          <cell r="D182">
            <v>6</v>
          </cell>
          <cell r="E182">
            <v>6</v>
          </cell>
        </row>
        <row r="183">
          <cell r="A183" t="str">
            <v>B074JW46DX</v>
          </cell>
          <cell r="B183">
            <v>0</v>
          </cell>
          <cell r="C183">
            <v>1</v>
          </cell>
          <cell r="D183">
            <v>2</v>
          </cell>
          <cell r="E183">
            <v>4</v>
          </cell>
        </row>
        <row r="184">
          <cell r="A184" t="str">
            <v>B074JW5XZ4</v>
          </cell>
          <cell r="B184">
            <v>6</v>
          </cell>
          <cell r="C184">
            <v>7</v>
          </cell>
          <cell r="D184">
            <v>8</v>
          </cell>
          <cell r="E184">
            <v>9</v>
          </cell>
        </row>
        <row r="185">
          <cell r="A185" t="str">
            <v>B074JW998T</v>
          </cell>
          <cell r="B185">
            <v>0</v>
          </cell>
          <cell r="C185">
            <v>1</v>
          </cell>
          <cell r="D185">
            <v>2</v>
          </cell>
          <cell r="E185">
            <v>4</v>
          </cell>
        </row>
        <row r="186">
          <cell r="A186" t="str">
            <v>B074JW9ZRS</v>
          </cell>
          <cell r="B186">
            <v>0</v>
          </cell>
          <cell r="C186">
            <v>3</v>
          </cell>
          <cell r="D186">
            <v>19</v>
          </cell>
          <cell r="E186">
            <v>5</v>
          </cell>
        </row>
        <row r="187">
          <cell r="A187" t="str">
            <v>B074JWL4F2</v>
          </cell>
          <cell r="B187">
            <v>6</v>
          </cell>
          <cell r="C187">
            <v>4</v>
          </cell>
          <cell r="D187">
            <v>10</v>
          </cell>
          <cell r="E187">
            <v>3</v>
          </cell>
        </row>
        <row r="188">
          <cell r="A188" t="str">
            <v>B074JWL6PF</v>
          </cell>
          <cell r="B188">
            <v>5</v>
          </cell>
          <cell r="C188">
            <v>6</v>
          </cell>
          <cell r="D188">
            <v>9</v>
          </cell>
          <cell r="E188">
            <v>5</v>
          </cell>
        </row>
        <row r="189">
          <cell r="A189" t="str">
            <v>B074JWQ644</v>
          </cell>
          <cell r="B189">
            <v>0</v>
          </cell>
          <cell r="C189">
            <v>3</v>
          </cell>
          <cell r="D189">
            <v>4</v>
          </cell>
          <cell r="E189">
            <v>6</v>
          </cell>
        </row>
        <row r="190">
          <cell r="A190" t="str">
            <v>B074JWS1CB</v>
          </cell>
          <cell r="B190">
            <v>0</v>
          </cell>
          <cell r="C190">
            <v>1</v>
          </cell>
          <cell r="D190">
            <v>5</v>
          </cell>
          <cell r="E190">
            <v>7</v>
          </cell>
        </row>
        <row r="191">
          <cell r="A191" t="str">
            <v>B074JX2YCN</v>
          </cell>
          <cell r="B191">
            <v>6</v>
          </cell>
          <cell r="C191">
            <v>4</v>
          </cell>
          <cell r="D191">
            <v>6</v>
          </cell>
          <cell r="E191">
            <v>8</v>
          </cell>
        </row>
        <row r="192">
          <cell r="A192" t="str">
            <v>B074JX2YCX</v>
          </cell>
          <cell r="B192">
            <v>0</v>
          </cell>
          <cell r="C192">
            <v>1</v>
          </cell>
          <cell r="D192">
            <v>5</v>
          </cell>
          <cell r="E192">
            <v>1</v>
          </cell>
        </row>
        <row r="193">
          <cell r="A193" t="str">
            <v>B074JXFM38</v>
          </cell>
          <cell r="B193">
            <v>0</v>
          </cell>
          <cell r="C193">
            <v>0</v>
          </cell>
          <cell r="D193">
            <v>3</v>
          </cell>
          <cell r="E193">
            <v>2</v>
          </cell>
        </row>
        <row r="194">
          <cell r="A194" t="str">
            <v>B074JXGVBD</v>
          </cell>
          <cell r="B194">
            <v>4</v>
          </cell>
          <cell r="C194">
            <v>4</v>
          </cell>
          <cell r="D194">
            <v>6</v>
          </cell>
          <cell r="E194">
            <v>3</v>
          </cell>
        </row>
        <row r="195">
          <cell r="A195" t="str">
            <v>B074JXHFTJ</v>
          </cell>
          <cell r="B195">
            <v>0</v>
          </cell>
          <cell r="C195">
            <v>0</v>
          </cell>
          <cell r="D195">
            <v>6</v>
          </cell>
          <cell r="E195">
            <v>4</v>
          </cell>
        </row>
        <row r="196">
          <cell r="A196" t="str">
            <v>B074JXQX4Z</v>
          </cell>
          <cell r="B196">
            <v>4</v>
          </cell>
          <cell r="C196">
            <v>4</v>
          </cell>
          <cell r="D196">
            <v>4</v>
          </cell>
          <cell r="E196">
            <v>2</v>
          </cell>
        </row>
        <row r="197">
          <cell r="A197" t="str">
            <v>B074JXZSJM</v>
          </cell>
          <cell r="B197">
            <v>0</v>
          </cell>
          <cell r="C197">
            <v>0</v>
          </cell>
          <cell r="D197">
            <v>5</v>
          </cell>
          <cell r="E197">
            <v>1</v>
          </cell>
        </row>
        <row r="198">
          <cell r="A198" t="str">
            <v>B074JXZYR5</v>
          </cell>
          <cell r="B198">
            <v>1</v>
          </cell>
          <cell r="C198">
            <v>0</v>
          </cell>
          <cell r="D198">
            <v>3</v>
          </cell>
          <cell r="E198">
            <v>2</v>
          </cell>
        </row>
        <row r="199">
          <cell r="A199" t="str">
            <v>B074JY1RXB</v>
          </cell>
          <cell r="B199">
            <v>3</v>
          </cell>
          <cell r="C199">
            <v>1</v>
          </cell>
          <cell r="D199">
            <v>5</v>
          </cell>
          <cell r="E199">
            <v>5</v>
          </cell>
        </row>
        <row r="200">
          <cell r="A200" t="str">
            <v>B074JY219R</v>
          </cell>
          <cell r="B200">
            <v>0</v>
          </cell>
          <cell r="C200">
            <v>0</v>
          </cell>
          <cell r="D200">
            <v>9</v>
          </cell>
          <cell r="E200">
            <v>3</v>
          </cell>
        </row>
        <row r="201">
          <cell r="A201" t="str">
            <v>B074JYD8F3</v>
          </cell>
          <cell r="B201">
            <v>2</v>
          </cell>
          <cell r="C201">
            <v>2</v>
          </cell>
          <cell r="D201">
            <v>13</v>
          </cell>
          <cell r="E201">
            <v>6</v>
          </cell>
        </row>
        <row r="202">
          <cell r="A202" t="str">
            <v>B074JYMHZL</v>
          </cell>
          <cell r="B202">
            <v>3</v>
          </cell>
          <cell r="C202">
            <v>1</v>
          </cell>
          <cell r="D202">
            <v>3</v>
          </cell>
          <cell r="E202">
            <v>5</v>
          </cell>
        </row>
        <row r="203">
          <cell r="A203" t="str">
            <v>B074JYYM5F</v>
          </cell>
          <cell r="B203">
            <v>0</v>
          </cell>
          <cell r="C203">
            <v>1</v>
          </cell>
          <cell r="D203">
            <v>4</v>
          </cell>
          <cell r="E203">
            <v>3</v>
          </cell>
        </row>
        <row r="204">
          <cell r="A204" t="str">
            <v>B074JZ1THP</v>
          </cell>
          <cell r="B204">
            <v>4</v>
          </cell>
          <cell r="C204">
            <v>4</v>
          </cell>
          <cell r="D204">
            <v>4</v>
          </cell>
          <cell r="E204">
            <v>5</v>
          </cell>
        </row>
        <row r="205">
          <cell r="A205" t="str">
            <v>B074JZ2HSX</v>
          </cell>
          <cell r="B205">
            <v>0</v>
          </cell>
          <cell r="C205">
            <v>0</v>
          </cell>
          <cell r="D205">
            <v>1</v>
          </cell>
          <cell r="E205">
            <v>1</v>
          </cell>
        </row>
        <row r="206">
          <cell r="A206" t="str">
            <v>B074JZ42X6</v>
          </cell>
          <cell r="B206">
            <v>0</v>
          </cell>
          <cell r="C206">
            <v>1</v>
          </cell>
          <cell r="D206">
            <v>5</v>
          </cell>
          <cell r="E206">
            <v>2</v>
          </cell>
        </row>
        <row r="207">
          <cell r="A207" t="str">
            <v>B074K1913X</v>
          </cell>
          <cell r="B207">
            <v>3</v>
          </cell>
          <cell r="C207">
            <v>3</v>
          </cell>
          <cell r="D207">
            <v>5</v>
          </cell>
          <cell r="E207">
            <v>1</v>
          </cell>
        </row>
        <row r="208">
          <cell r="A208" t="str">
            <v>B074K1JLQ3</v>
          </cell>
          <cell r="B208">
            <v>5</v>
          </cell>
          <cell r="C208">
            <v>4</v>
          </cell>
          <cell r="D208">
            <v>12</v>
          </cell>
          <cell r="E208">
            <v>6</v>
          </cell>
        </row>
        <row r="209">
          <cell r="A209" t="str">
            <v>B074K1L386</v>
          </cell>
          <cell r="B209">
            <v>0</v>
          </cell>
          <cell r="C209">
            <v>0</v>
          </cell>
          <cell r="D209">
            <v>6</v>
          </cell>
          <cell r="E209">
            <v>3</v>
          </cell>
        </row>
        <row r="210">
          <cell r="A210" t="str">
            <v>B074K24HL3</v>
          </cell>
          <cell r="B210">
            <v>0</v>
          </cell>
          <cell r="C210">
            <v>0</v>
          </cell>
          <cell r="D210">
            <v>4</v>
          </cell>
          <cell r="E210">
            <v>1</v>
          </cell>
        </row>
        <row r="211">
          <cell r="A211" t="str">
            <v>B074K26CND</v>
          </cell>
          <cell r="B211">
            <v>7</v>
          </cell>
          <cell r="C211">
            <v>3</v>
          </cell>
          <cell r="D211">
            <v>3</v>
          </cell>
          <cell r="E211">
            <v>3</v>
          </cell>
        </row>
        <row r="212">
          <cell r="A212" t="str">
            <v>B074K2GJCF</v>
          </cell>
          <cell r="B212">
            <v>0</v>
          </cell>
          <cell r="C212">
            <v>0</v>
          </cell>
          <cell r="D212">
            <v>1</v>
          </cell>
          <cell r="E212">
            <v>3</v>
          </cell>
        </row>
        <row r="213">
          <cell r="A213" t="str">
            <v>B074K2QJ5H</v>
          </cell>
          <cell r="B213">
            <v>0</v>
          </cell>
          <cell r="C213">
            <v>1</v>
          </cell>
          <cell r="D213">
            <v>12</v>
          </cell>
          <cell r="E213">
            <v>34</v>
          </cell>
        </row>
        <row r="214">
          <cell r="A214" t="str">
            <v>B074K2VQNZ</v>
          </cell>
          <cell r="B214">
            <v>0</v>
          </cell>
          <cell r="C214">
            <v>0</v>
          </cell>
          <cell r="D214">
            <v>2</v>
          </cell>
          <cell r="E214">
            <v>2</v>
          </cell>
        </row>
        <row r="215">
          <cell r="A215" t="str">
            <v>B074K3MSFD</v>
          </cell>
          <cell r="B215">
            <v>5</v>
          </cell>
          <cell r="C215">
            <v>4</v>
          </cell>
          <cell r="D215">
            <v>3</v>
          </cell>
          <cell r="E215">
            <v>4</v>
          </cell>
        </row>
        <row r="216">
          <cell r="A216" t="str">
            <v>B074K3VJ4G</v>
          </cell>
          <cell r="B216">
            <v>5</v>
          </cell>
          <cell r="C216">
            <v>7</v>
          </cell>
          <cell r="D216">
            <v>5</v>
          </cell>
          <cell r="E216">
            <v>11</v>
          </cell>
        </row>
        <row r="217">
          <cell r="A217" t="str">
            <v>B074K3YM47</v>
          </cell>
          <cell r="B217">
            <v>0</v>
          </cell>
          <cell r="C217">
            <v>0</v>
          </cell>
          <cell r="D217">
            <v>3</v>
          </cell>
          <cell r="E217">
            <v>3</v>
          </cell>
        </row>
        <row r="218">
          <cell r="A218" t="str">
            <v>B074K4DJJR</v>
          </cell>
          <cell r="B218">
            <v>0</v>
          </cell>
          <cell r="C218">
            <v>2</v>
          </cell>
          <cell r="D218">
            <v>15</v>
          </cell>
          <cell r="E218">
            <v>1</v>
          </cell>
        </row>
        <row r="219">
          <cell r="A219" t="str">
            <v>B074K4DJKF</v>
          </cell>
          <cell r="B219">
            <v>0</v>
          </cell>
          <cell r="C219">
            <v>0</v>
          </cell>
          <cell r="D219">
            <v>3</v>
          </cell>
          <cell r="E219">
            <v>1</v>
          </cell>
        </row>
        <row r="220">
          <cell r="A220" t="str">
            <v>B074K4GLGJ</v>
          </cell>
          <cell r="B220">
            <v>5</v>
          </cell>
          <cell r="C220">
            <v>4</v>
          </cell>
          <cell r="D220">
            <v>2</v>
          </cell>
          <cell r="E220">
            <v>2</v>
          </cell>
        </row>
        <row r="221">
          <cell r="A221" t="str">
            <v>B074K4K838</v>
          </cell>
          <cell r="B221">
            <v>0</v>
          </cell>
          <cell r="C221">
            <v>0</v>
          </cell>
          <cell r="D221">
            <v>2</v>
          </cell>
          <cell r="E221">
            <v>2</v>
          </cell>
        </row>
        <row r="222">
          <cell r="A222" t="str">
            <v>B074K4N247</v>
          </cell>
          <cell r="B222">
            <v>4</v>
          </cell>
          <cell r="C222">
            <v>2</v>
          </cell>
          <cell r="D222">
            <v>3</v>
          </cell>
          <cell r="E222">
            <v>4</v>
          </cell>
        </row>
        <row r="223">
          <cell r="A223" t="str">
            <v>B074K53FDK</v>
          </cell>
          <cell r="B223">
            <v>0</v>
          </cell>
          <cell r="C223">
            <v>0</v>
          </cell>
          <cell r="D223">
            <v>1</v>
          </cell>
          <cell r="E223">
            <v>2</v>
          </cell>
        </row>
        <row r="224">
          <cell r="A224" t="str">
            <v>B074K5FMRM</v>
          </cell>
          <cell r="B224">
            <v>0</v>
          </cell>
          <cell r="C224">
            <v>0</v>
          </cell>
          <cell r="D224">
            <v>1</v>
          </cell>
          <cell r="E224">
            <v>1</v>
          </cell>
        </row>
        <row r="225">
          <cell r="A225" t="str">
            <v>B074NNZXDV</v>
          </cell>
          <cell r="B225">
            <v>1</v>
          </cell>
          <cell r="C225">
            <v>1</v>
          </cell>
          <cell r="D225">
            <v>2</v>
          </cell>
          <cell r="E225">
            <v>2</v>
          </cell>
        </row>
        <row r="226">
          <cell r="A226" t="str">
            <v>B074NQW8FF</v>
          </cell>
          <cell r="B226">
            <v>1</v>
          </cell>
          <cell r="C226">
            <v>1</v>
          </cell>
          <cell r="D226">
            <v>2</v>
          </cell>
          <cell r="E226">
            <v>2</v>
          </cell>
        </row>
        <row r="227">
          <cell r="A227" t="str">
            <v>B074NWMYV7</v>
          </cell>
          <cell r="B227">
            <v>2</v>
          </cell>
          <cell r="C227">
            <v>2</v>
          </cell>
          <cell r="D227">
            <v>3</v>
          </cell>
          <cell r="E227">
            <v>1</v>
          </cell>
        </row>
        <row r="228">
          <cell r="A228" t="str">
            <v>B074NXL8BJ</v>
          </cell>
          <cell r="B228">
            <v>3</v>
          </cell>
          <cell r="C228">
            <v>4</v>
          </cell>
          <cell r="D228">
            <v>5</v>
          </cell>
          <cell r="E228">
            <v>3</v>
          </cell>
        </row>
        <row r="229">
          <cell r="A229" t="str">
            <v>B074NXZPYK</v>
          </cell>
          <cell r="B229">
            <v>1</v>
          </cell>
          <cell r="C229">
            <v>5</v>
          </cell>
          <cell r="D229">
            <v>4</v>
          </cell>
          <cell r="E229">
            <v>3</v>
          </cell>
        </row>
        <row r="230">
          <cell r="A230" t="str">
            <v>B074NY9YM1</v>
          </cell>
          <cell r="B230">
            <v>1</v>
          </cell>
          <cell r="C230">
            <v>4</v>
          </cell>
          <cell r="D230">
            <v>7</v>
          </cell>
          <cell r="E230">
            <v>5</v>
          </cell>
        </row>
        <row r="231">
          <cell r="A231" t="str">
            <v>B074P1H1SL</v>
          </cell>
          <cell r="B231">
            <v>1</v>
          </cell>
          <cell r="C231">
            <v>5</v>
          </cell>
          <cell r="D231">
            <v>6</v>
          </cell>
          <cell r="E231">
            <v>4</v>
          </cell>
        </row>
        <row r="232">
          <cell r="A232" t="str">
            <v>B074P2RFBZ</v>
          </cell>
          <cell r="B232">
            <v>1</v>
          </cell>
          <cell r="C232">
            <v>5</v>
          </cell>
          <cell r="D232">
            <v>7</v>
          </cell>
          <cell r="E232">
            <v>1</v>
          </cell>
        </row>
        <row r="233">
          <cell r="A233" t="str">
            <v>B074Q9CTNJ</v>
          </cell>
          <cell r="B233">
            <v>0</v>
          </cell>
          <cell r="C233">
            <v>0</v>
          </cell>
          <cell r="D233">
            <v>9</v>
          </cell>
          <cell r="E233">
            <v>2</v>
          </cell>
        </row>
        <row r="234">
          <cell r="A234" t="str">
            <v>B074Q9RQFH</v>
          </cell>
          <cell r="B234">
            <v>16</v>
          </cell>
          <cell r="C234">
            <v>6</v>
          </cell>
          <cell r="D234">
            <v>10</v>
          </cell>
          <cell r="E234">
            <v>9</v>
          </cell>
        </row>
        <row r="235">
          <cell r="A235" t="str">
            <v>B074QCGCJC</v>
          </cell>
          <cell r="B235">
            <v>7</v>
          </cell>
          <cell r="C235">
            <v>2</v>
          </cell>
          <cell r="D235">
            <v>8</v>
          </cell>
          <cell r="E235">
            <v>8</v>
          </cell>
        </row>
        <row r="236">
          <cell r="A236" t="str">
            <v>B074QCYQ9L</v>
          </cell>
          <cell r="B236">
            <v>2</v>
          </cell>
          <cell r="C236">
            <v>3</v>
          </cell>
          <cell r="D236">
            <v>9</v>
          </cell>
          <cell r="E236">
            <v>1</v>
          </cell>
        </row>
        <row r="237">
          <cell r="A237" t="str">
            <v>B074QDS9ZN</v>
          </cell>
          <cell r="B237">
            <v>5</v>
          </cell>
          <cell r="C237">
            <v>3</v>
          </cell>
          <cell r="D237">
            <v>10</v>
          </cell>
          <cell r="E237">
            <v>10</v>
          </cell>
        </row>
        <row r="238">
          <cell r="A238" t="str">
            <v>B074QDSYXY</v>
          </cell>
          <cell r="B238">
            <v>10</v>
          </cell>
          <cell r="C238">
            <v>13</v>
          </cell>
          <cell r="D238">
            <v>9</v>
          </cell>
          <cell r="E238">
            <v>11</v>
          </cell>
        </row>
        <row r="239">
          <cell r="A239" t="str">
            <v>B074QFDH8R</v>
          </cell>
          <cell r="B239">
            <v>5</v>
          </cell>
          <cell r="C239">
            <v>4</v>
          </cell>
          <cell r="D239">
            <v>6</v>
          </cell>
          <cell r="E239">
            <v>6</v>
          </cell>
        </row>
        <row r="240">
          <cell r="A240" t="str">
            <v>B074QG3P8G</v>
          </cell>
          <cell r="B240">
            <v>10</v>
          </cell>
          <cell r="C240">
            <v>2</v>
          </cell>
          <cell r="D240">
            <v>10</v>
          </cell>
          <cell r="E240">
            <v>15</v>
          </cell>
        </row>
        <row r="241">
          <cell r="A241" t="str">
            <v>B074QGD61W</v>
          </cell>
          <cell r="B241">
            <v>0</v>
          </cell>
          <cell r="C241">
            <v>2</v>
          </cell>
          <cell r="D241">
            <v>6</v>
          </cell>
          <cell r="E241">
            <v>4</v>
          </cell>
        </row>
        <row r="242">
          <cell r="A242" t="str">
            <v>B074QGLLQN</v>
          </cell>
          <cell r="B242">
            <v>8</v>
          </cell>
          <cell r="C242">
            <v>2</v>
          </cell>
          <cell r="D242">
            <v>10</v>
          </cell>
          <cell r="E242">
            <v>8</v>
          </cell>
        </row>
        <row r="243">
          <cell r="A243" t="str">
            <v>B074QJ923S</v>
          </cell>
          <cell r="B243">
            <v>0</v>
          </cell>
          <cell r="C243">
            <v>1</v>
          </cell>
          <cell r="D243">
            <v>7</v>
          </cell>
          <cell r="E243">
            <v>5</v>
          </cell>
        </row>
        <row r="244">
          <cell r="A244" t="str">
            <v>B074QQ5S79</v>
          </cell>
          <cell r="B244">
            <v>5</v>
          </cell>
          <cell r="C244">
            <v>2</v>
          </cell>
          <cell r="D244">
            <v>9</v>
          </cell>
          <cell r="E244">
            <v>4</v>
          </cell>
        </row>
        <row r="245">
          <cell r="A245" t="str">
            <v>B0761MLYTQ</v>
          </cell>
          <cell r="B245">
            <v>4</v>
          </cell>
          <cell r="C245">
            <v>2</v>
          </cell>
          <cell r="D245">
            <v>2</v>
          </cell>
          <cell r="E245">
            <v>4</v>
          </cell>
        </row>
        <row r="246">
          <cell r="A246" t="str">
            <v>B0761MXCJB</v>
          </cell>
          <cell r="B246">
            <v>0</v>
          </cell>
          <cell r="C246">
            <v>0</v>
          </cell>
          <cell r="D246">
            <v>5</v>
          </cell>
          <cell r="E246">
            <v>3</v>
          </cell>
        </row>
        <row r="247">
          <cell r="A247" t="str">
            <v>B0761N286T</v>
          </cell>
          <cell r="B247">
            <v>4</v>
          </cell>
          <cell r="C247">
            <v>3</v>
          </cell>
          <cell r="D247">
            <v>9</v>
          </cell>
          <cell r="E247">
            <v>2</v>
          </cell>
        </row>
        <row r="248">
          <cell r="A248" t="str">
            <v>B0761N3HJ3</v>
          </cell>
          <cell r="B248">
            <v>0</v>
          </cell>
          <cell r="C248">
            <v>0</v>
          </cell>
          <cell r="D248">
            <v>7</v>
          </cell>
          <cell r="E248">
            <v>2</v>
          </cell>
        </row>
        <row r="249">
          <cell r="A249" t="str">
            <v>B0761N46BN</v>
          </cell>
          <cell r="B249">
            <v>0</v>
          </cell>
          <cell r="C249">
            <v>0</v>
          </cell>
          <cell r="D249">
            <v>13</v>
          </cell>
          <cell r="E249">
            <v>3</v>
          </cell>
        </row>
        <row r="250">
          <cell r="A250" t="str">
            <v>B0761NFQMT</v>
          </cell>
          <cell r="B250">
            <v>5</v>
          </cell>
          <cell r="C250">
            <v>5</v>
          </cell>
          <cell r="D250">
            <v>1</v>
          </cell>
          <cell r="E250">
            <v>6</v>
          </cell>
        </row>
        <row r="251">
          <cell r="A251" t="str">
            <v>B0761NFTQC</v>
          </cell>
          <cell r="B251">
            <v>0</v>
          </cell>
          <cell r="C251">
            <v>0</v>
          </cell>
          <cell r="D251">
            <v>12</v>
          </cell>
          <cell r="E251">
            <v>4</v>
          </cell>
        </row>
        <row r="252">
          <cell r="A252" t="str">
            <v>B0761NGWJD</v>
          </cell>
          <cell r="B252">
            <v>9</v>
          </cell>
          <cell r="C252">
            <v>9</v>
          </cell>
          <cell r="D252">
            <v>10</v>
          </cell>
          <cell r="E252">
            <v>7</v>
          </cell>
        </row>
        <row r="253">
          <cell r="A253" t="str">
            <v>B0761NGYTK</v>
          </cell>
          <cell r="B253">
            <v>17</v>
          </cell>
          <cell r="C253">
            <v>6</v>
          </cell>
          <cell r="D253">
            <v>7</v>
          </cell>
          <cell r="E253">
            <v>3</v>
          </cell>
        </row>
        <row r="254">
          <cell r="A254" t="str">
            <v>B0761NHB1Y</v>
          </cell>
          <cell r="B254">
            <v>0</v>
          </cell>
          <cell r="C254">
            <v>0</v>
          </cell>
          <cell r="D254">
            <v>5</v>
          </cell>
          <cell r="E254">
            <v>4</v>
          </cell>
        </row>
        <row r="255">
          <cell r="A255" t="str">
            <v>B0761NJPNM</v>
          </cell>
          <cell r="B255">
            <v>0</v>
          </cell>
          <cell r="C255">
            <v>0</v>
          </cell>
          <cell r="D255">
            <v>7</v>
          </cell>
          <cell r="E255">
            <v>6</v>
          </cell>
        </row>
        <row r="256">
          <cell r="A256" t="str">
            <v>B0761NM1NH</v>
          </cell>
          <cell r="B256">
            <v>0</v>
          </cell>
          <cell r="C256">
            <v>1</v>
          </cell>
          <cell r="D256">
            <v>6</v>
          </cell>
          <cell r="E256">
            <v>2</v>
          </cell>
        </row>
        <row r="257">
          <cell r="A257" t="str">
            <v>B0761NM3BZ</v>
          </cell>
          <cell r="B257">
            <v>57</v>
          </cell>
          <cell r="C257">
            <v>27</v>
          </cell>
          <cell r="D257">
            <v>27</v>
          </cell>
          <cell r="E257">
            <v>30</v>
          </cell>
        </row>
        <row r="258">
          <cell r="A258" t="str">
            <v>B0761NM3SZ</v>
          </cell>
          <cell r="B258">
            <v>0</v>
          </cell>
          <cell r="C258">
            <v>0</v>
          </cell>
          <cell r="D258">
            <v>8</v>
          </cell>
          <cell r="E258">
            <v>4</v>
          </cell>
        </row>
        <row r="259">
          <cell r="A259" t="str">
            <v>B0761NNDWM</v>
          </cell>
          <cell r="B259">
            <v>12</v>
          </cell>
          <cell r="C259">
            <v>7</v>
          </cell>
          <cell r="D259">
            <v>6</v>
          </cell>
          <cell r="E259">
            <v>3</v>
          </cell>
        </row>
        <row r="260">
          <cell r="A260" t="str">
            <v>B0761NNM84</v>
          </cell>
          <cell r="B260">
            <v>5</v>
          </cell>
          <cell r="C260">
            <v>8</v>
          </cell>
          <cell r="D260">
            <v>8</v>
          </cell>
          <cell r="E260">
            <v>7</v>
          </cell>
        </row>
        <row r="261">
          <cell r="A261" t="str">
            <v>B0761P4LK2</v>
          </cell>
          <cell r="B261">
            <v>5</v>
          </cell>
          <cell r="C261">
            <v>4</v>
          </cell>
          <cell r="D261">
            <v>6</v>
          </cell>
          <cell r="E261">
            <v>7</v>
          </cell>
        </row>
        <row r="262">
          <cell r="A262" t="str">
            <v>B0761P4LKC</v>
          </cell>
          <cell r="B262">
            <v>0</v>
          </cell>
          <cell r="C262">
            <v>0</v>
          </cell>
          <cell r="D262">
            <v>8</v>
          </cell>
          <cell r="E262">
            <v>3</v>
          </cell>
        </row>
        <row r="263">
          <cell r="A263" t="str">
            <v>B0761PBXCV</v>
          </cell>
          <cell r="B263">
            <v>4</v>
          </cell>
          <cell r="C263">
            <v>5</v>
          </cell>
          <cell r="D263">
            <v>5</v>
          </cell>
          <cell r="E263">
            <v>8</v>
          </cell>
        </row>
        <row r="264">
          <cell r="A264" t="str">
            <v>B0761PDHV5</v>
          </cell>
          <cell r="B264">
            <v>5</v>
          </cell>
          <cell r="C264">
            <v>3</v>
          </cell>
          <cell r="D264">
            <v>7</v>
          </cell>
          <cell r="E264">
            <v>3</v>
          </cell>
        </row>
        <row r="265">
          <cell r="A265" t="str">
            <v>B0761PDMGN</v>
          </cell>
          <cell r="B265">
            <v>4</v>
          </cell>
          <cell r="C265">
            <v>5</v>
          </cell>
          <cell r="D265">
            <v>4</v>
          </cell>
          <cell r="E265">
            <v>5</v>
          </cell>
        </row>
        <row r="266">
          <cell r="A266" t="str">
            <v>B0761PL2N2</v>
          </cell>
          <cell r="B266">
            <v>0</v>
          </cell>
          <cell r="C266">
            <v>0</v>
          </cell>
          <cell r="D266">
            <v>4</v>
          </cell>
          <cell r="E266">
            <v>3</v>
          </cell>
        </row>
        <row r="267">
          <cell r="A267" t="str">
            <v>B0761PSPTJ</v>
          </cell>
          <cell r="B267">
            <v>0</v>
          </cell>
          <cell r="C267">
            <v>0</v>
          </cell>
          <cell r="D267">
            <v>9</v>
          </cell>
          <cell r="E267">
            <v>3</v>
          </cell>
        </row>
        <row r="268">
          <cell r="A268" t="str">
            <v>B0761PTZY2</v>
          </cell>
          <cell r="B268">
            <v>4</v>
          </cell>
          <cell r="C268">
            <v>6</v>
          </cell>
          <cell r="D268">
            <v>2</v>
          </cell>
          <cell r="E268">
            <v>5</v>
          </cell>
        </row>
        <row r="269">
          <cell r="A269" t="str">
            <v>B0761PV952</v>
          </cell>
          <cell r="B269">
            <v>4</v>
          </cell>
          <cell r="C269">
            <v>4</v>
          </cell>
          <cell r="D269">
            <v>3</v>
          </cell>
          <cell r="E269">
            <v>2</v>
          </cell>
        </row>
        <row r="270">
          <cell r="A270" t="str">
            <v>B0761PWB12</v>
          </cell>
          <cell r="B270">
            <v>0</v>
          </cell>
          <cell r="C270">
            <v>0</v>
          </cell>
          <cell r="D270">
            <v>4</v>
          </cell>
          <cell r="E270">
            <v>4</v>
          </cell>
        </row>
        <row r="271">
          <cell r="A271" t="str">
            <v>B0761PXTK8</v>
          </cell>
          <cell r="B271">
            <v>0</v>
          </cell>
          <cell r="C271">
            <v>0</v>
          </cell>
          <cell r="D271">
            <v>3</v>
          </cell>
          <cell r="E271">
            <v>6</v>
          </cell>
        </row>
        <row r="272">
          <cell r="A272" t="str">
            <v>B0761Q4YF6</v>
          </cell>
          <cell r="B272">
            <v>0</v>
          </cell>
          <cell r="C272">
            <v>0</v>
          </cell>
          <cell r="D272">
            <v>2</v>
          </cell>
          <cell r="E272">
            <v>4</v>
          </cell>
        </row>
        <row r="273">
          <cell r="A273" t="str">
            <v>B0761Q7KPX</v>
          </cell>
          <cell r="B273">
            <v>0</v>
          </cell>
          <cell r="C273">
            <v>0</v>
          </cell>
          <cell r="D273">
            <v>4</v>
          </cell>
          <cell r="E273">
            <v>3</v>
          </cell>
        </row>
        <row r="274">
          <cell r="A274" t="str">
            <v>B0761Q9VPH</v>
          </cell>
          <cell r="B274">
            <v>0</v>
          </cell>
          <cell r="C274">
            <v>0</v>
          </cell>
          <cell r="D274">
            <v>4</v>
          </cell>
          <cell r="E274">
            <v>10</v>
          </cell>
        </row>
        <row r="275">
          <cell r="A275" t="str">
            <v>B0761QBHM9</v>
          </cell>
          <cell r="B275">
            <v>0</v>
          </cell>
          <cell r="C275">
            <v>0</v>
          </cell>
          <cell r="D275">
            <v>5</v>
          </cell>
          <cell r="E275">
            <v>4</v>
          </cell>
        </row>
        <row r="276">
          <cell r="A276" t="str">
            <v>B0761QW2JK</v>
          </cell>
          <cell r="B276">
            <v>0</v>
          </cell>
          <cell r="C276">
            <v>0</v>
          </cell>
          <cell r="D276">
            <v>4</v>
          </cell>
          <cell r="E276">
            <v>9</v>
          </cell>
        </row>
        <row r="277">
          <cell r="A277" t="str">
            <v>B0761R6ZG2</v>
          </cell>
          <cell r="B277">
            <v>0</v>
          </cell>
          <cell r="C277">
            <v>0</v>
          </cell>
          <cell r="D277">
            <v>7</v>
          </cell>
          <cell r="E277">
            <v>7</v>
          </cell>
        </row>
        <row r="278">
          <cell r="A278" t="str">
            <v>B0761R93J2</v>
          </cell>
          <cell r="B278">
            <v>8</v>
          </cell>
          <cell r="C278">
            <v>2</v>
          </cell>
          <cell r="D278">
            <v>7</v>
          </cell>
          <cell r="E278">
            <v>6</v>
          </cell>
        </row>
        <row r="279">
          <cell r="A279" t="str">
            <v>B0761S2M63</v>
          </cell>
          <cell r="B279">
            <v>7</v>
          </cell>
          <cell r="C279">
            <v>7</v>
          </cell>
          <cell r="D279">
            <v>7</v>
          </cell>
          <cell r="E279">
            <v>5</v>
          </cell>
        </row>
        <row r="280">
          <cell r="A280" t="str">
            <v>B0761S8TXR</v>
          </cell>
          <cell r="B280">
            <v>4</v>
          </cell>
          <cell r="C280">
            <v>3</v>
          </cell>
          <cell r="D280">
            <v>7</v>
          </cell>
          <cell r="E280">
            <v>4</v>
          </cell>
        </row>
        <row r="281">
          <cell r="A281" t="str">
            <v>B0761SKR3P</v>
          </cell>
          <cell r="B281">
            <v>6</v>
          </cell>
          <cell r="C281">
            <v>5</v>
          </cell>
          <cell r="D281">
            <v>6</v>
          </cell>
          <cell r="E281">
            <v>3</v>
          </cell>
        </row>
        <row r="282">
          <cell r="A282" t="str">
            <v>B0761V7L2R</v>
          </cell>
          <cell r="B282">
            <v>5</v>
          </cell>
          <cell r="C282">
            <v>5</v>
          </cell>
          <cell r="D282">
            <v>7</v>
          </cell>
          <cell r="E282">
            <v>2</v>
          </cell>
        </row>
        <row r="283">
          <cell r="A283" t="str">
            <v>B078NGPQK3</v>
          </cell>
          <cell r="B283">
            <v>7</v>
          </cell>
          <cell r="C283">
            <v>5</v>
          </cell>
          <cell r="D283">
            <v>15</v>
          </cell>
          <cell r="E283">
            <v>9</v>
          </cell>
        </row>
        <row r="284">
          <cell r="A284" t="str">
            <v>B078NN9LW4</v>
          </cell>
          <cell r="B284">
            <v>7</v>
          </cell>
          <cell r="C284">
            <v>4</v>
          </cell>
          <cell r="D284">
            <v>6</v>
          </cell>
          <cell r="E284">
            <v>3</v>
          </cell>
        </row>
        <row r="285">
          <cell r="A285" t="str">
            <v>B078NN9RD2</v>
          </cell>
          <cell r="B285">
            <v>7</v>
          </cell>
          <cell r="C285">
            <v>3</v>
          </cell>
          <cell r="D285">
            <v>8</v>
          </cell>
          <cell r="E285">
            <v>4</v>
          </cell>
        </row>
        <row r="286">
          <cell r="A286" t="str">
            <v>B078NNB2PQ</v>
          </cell>
          <cell r="B286">
            <v>21</v>
          </cell>
          <cell r="C286">
            <v>16</v>
          </cell>
          <cell r="D286">
            <v>23</v>
          </cell>
          <cell r="E286">
            <v>15</v>
          </cell>
        </row>
        <row r="287">
          <cell r="A287" t="str">
            <v>B078NNLWT7</v>
          </cell>
          <cell r="B287">
            <v>7</v>
          </cell>
          <cell r="C287">
            <v>3</v>
          </cell>
          <cell r="D287">
            <v>15</v>
          </cell>
          <cell r="E287">
            <v>2</v>
          </cell>
        </row>
        <row r="288">
          <cell r="A288" t="str">
            <v>B078NNNW7X</v>
          </cell>
          <cell r="B288">
            <v>9</v>
          </cell>
          <cell r="C288">
            <v>7</v>
          </cell>
          <cell r="D288">
            <v>11</v>
          </cell>
          <cell r="E288">
            <v>6</v>
          </cell>
        </row>
        <row r="289">
          <cell r="A289" t="str">
            <v>B078NNWT42</v>
          </cell>
          <cell r="B289">
            <v>5</v>
          </cell>
          <cell r="C289">
            <v>5</v>
          </cell>
          <cell r="D289">
            <v>10</v>
          </cell>
          <cell r="E289">
            <v>1</v>
          </cell>
        </row>
        <row r="290">
          <cell r="A290" t="str">
            <v>B078NNYW4V</v>
          </cell>
          <cell r="B290">
            <v>11</v>
          </cell>
          <cell r="C290">
            <v>31</v>
          </cell>
          <cell r="D290">
            <v>37</v>
          </cell>
          <cell r="E290">
            <v>15</v>
          </cell>
        </row>
        <row r="291">
          <cell r="A291" t="str">
            <v>B078NNZ9M6</v>
          </cell>
          <cell r="B291">
            <v>10</v>
          </cell>
          <cell r="C291">
            <v>18</v>
          </cell>
          <cell r="D291">
            <v>15</v>
          </cell>
          <cell r="E291">
            <v>16</v>
          </cell>
        </row>
        <row r="292">
          <cell r="A292" t="str">
            <v>B078NNZQ5Y</v>
          </cell>
          <cell r="B292">
            <v>6</v>
          </cell>
          <cell r="C292">
            <v>10</v>
          </cell>
          <cell r="D292">
            <v>11</v>
          </cell>
          <cell r="E292">
            <v>4</v>
          </cell>
        </row>
        <row r="293">
          <cell r="A293" t="str">
            <v>B078NNZWD6</v>
          </cell>
          <cell r="B293">
            <v>16</v>
          </cell>
          <cell r="C293">
            <v>23</v>
          </cell>
          <cell r="D293">
            <v>28</v>
          </cell>
          <cell r="E293">
            <v>18</v>
          </cell>
        </row>
        <row r="294">
          <cell r="A294" t="str">
            <v>B078NPBXD2</v>
          </cell>
          <cell r="B294">
            <v>6</v>
          </cell>
          <cell r="C294">
            <v>13</v>
          </cell>
          <cell r="D294">
            <v>6</v>
          </cell>
          <cell r="E294">
            <v>7</v>
          </cell>
        </row>
        <row r="295">
          <cell r="A295" t="str">
            <v>B078NPVY5T</v>
          </cell>
          <cell r="B295">
            <v>6</v>
          </cell>
          <cell r="C295">
            <v>12</v>
          </cell>
          <cell r="D295">
            <v>9</v>
          </cell>
          <cell r="E295">
            <v>7</v>
          </cell>
        </row>
        <row r="296">
          <cell r="A296" t="str">
            <v>B078NQ2LH1</v>
          </cell>
          <cell r="B296">
            <v>5</v>
          </cell>
          <cell r="C296">
            <v>9</v>
          </cell>
          <cell r="D296">
            <v>6</v>
          </cell>
          <cell r="E296">
            <v>4</v>
          </cell>
        </row>
        <row r="297">
          <cell r="A297" t="str">
            <v>B078NQ6C6H</v>
          </cell>
          <cell r="B297">
            <v>6</v>
          </cell>
          <cell r="C297">
            <v>4</v>
          </cell>
          <cell r="D297">
            <v>13</v>
          </cell>
          <cell r="E297">
            <v>9</v>
          </cell>
        </row>
        <row r="298">
          <cell r="A298" t="str">
            <v>B078NQ7BCX</v>
          </cell>
          <cell r="B298">
            <v>0</v>
          </cell>
          <cell r="C298">
            <v>10</v>
          </cell>
          <cell r="D298">
            <v>14</v>
          </cell>
          <cell r="E298">
            <v>11</v>
          </cell>
        </row>
        <row r="299">
          <cell r="A299" t="str">
            <v>B078NQ98JD</v>
          </cell>
          <cell r="B299">
            <v>14</v>
          </cell>
          <cell r="C299">
            <v>14</v>
          </cell>
          <cell r="D299">
            <v>14</v>
          </cell>
          <cell r="E299">
            <v>8</v>
          </cell>
        </row>
        <row r="300">
          <cell r="A300" t="str">
            <v>B078NQ9D6V</v>
          </cell>
          <cell r="B300">
            <v>5</v>
          </cell>
          <cell r="C300">
            <v>6</v>
          </cell>
          <cell r="D300">
            <v>6</v>
          </cell>
          <cell r="E300">
            <v>3</v>
          </cell>
        </row>
        <row r="301">
          <cell r="A301" t="str">
            <v>B078NQW8Y6</v>
          </cell>
          <cell r="B301">
            <v>9</v>
          </cell>
          <cell r="C301">
            <v>15</v>
          </cell>
          <cell r="D301">
            <v>10</v>
          </cell>
          <cell r="E301">
            <v>2</v>
          </cell>
        </row>
        <row r="302">
          <cell r="A302" t="str">
            <v>B078NQWBSV</v>
          </cell>
          <cell r="B302">
            <v>29</v>
          </cell>
          <cell r="C302">
            <v>27</v>
          </cell>
          <cell r="D302">
            <v>36</v>
          </cell>
          <cell r="E302">
            <v>37</v>
          </cell>
        </row>
        <row r="303">
          <cell r="A303" t="str">
            <v>B078NQZYP7</v>
          </cell>
          <cell r="B303">
            <v>12</v>
          </cell>
          <cell r="C303">
            <v>13</v>
          </cell>
          <cell r="D303">
            <v>12</v>
          </cell>
          <cell r="E303">
            <v>4</v>
          </cell>
        </row>
        <row r="304">
          <cell r="A304" t="str">
            <v>B078WPW9YL</v>
          </cell>
          <cell r="B304">
            <v>0</v>
          </cell>
          <cell r="C304">
            <v>1</v>
          </cell>
          <cell r="D304">
            <v>5</v>
          </cell>
          <cell r="E304">
            <v>2</v>
          </cell>
        </row>
        <row r="305">
          <cell r="A305" t="str">
            <v>B078WPYL96</v>
          </cell>
          <cell r="B305">
            <v>1</v>
          </cell>
          <cell r="C305">
            <v>9</v>
          </cell>
          <cell r="D305">
            <v>41</v>
          </cell>
          <cell r="E305">
            <v>24</v>
          </cell>
        </row>
        <row r="306">
          <cell r="A306" t="str">
            <v>B078WQ3MJ9</v>
          </cell>
          <cell r="B306">
            <v>0</v>
          </cell>
          <cell r="C306">
            <v>1</v>
          </cell>
          <cell r="D306">
            <v>5</v>
          </cell>
          <cell r="E306">
            <v>2</v>
          </cell>
        </row>
        <row r="307">
          <cell r="A307" t="str">
            <v>B078WQCTTM</v>
          </cell>
          <cell r="B307">
            <v>0</v>
          </cell>
          <cell r="C307">
            <v>0</v>
          </cell>
          <cell r="D307">
            <v>4</v>
          </cell>
          <cell r="E307">
            <v>2</v>
          </cell>
        </row>
        <row r="308">
          <cell r="A308" t="str">
            <v>B078WQHD98</v>
          </cell>
          <cell r="B308">
            <v>0</v>
          </cell>
          <cell r="C308">
            <v>1</v>
          </cell>
          <cell r="D308">
            <v>5</v>
          </cell>
          <cell r="E308">
            <v>2</v>
          </cell>
        </row>
        <row r="309">
          <cell r="A309" t="str">
            <v>B078WQMW23</v>
          </cell>
          <cell r="B309">
            <v>0</v>
          </cell>
          <cell r="C309">
            <v>0</v>
          </cell>
          <cell r="D309">
            <v>3</v>
          </cell>
          <cell r="E309">
            <v>2</v>
          </cell>
        </row>
        <row r="310">
          <cell r="A310" t="str">
            <v>B078WQN4YQ</v>
          </cell>
          <cell r="B310">
            <v>0</v>
          </cell>
          <cell r="C310">
            <v>1</v>
          </cell>
          <cell r="D310">
            <v>2</v>
          </cell>
          <cell r="E310">
            <v>2</v>
          </cell>
        </row>
        <row r="311">
          <cell r="A311" t="str">
            <v>B078WQV8SF</v>
          </cell>
          <cell r="B311">
            <v>0</v>
          </cell>
          <cell r="C311">
            <v>1</v>
          </cell>
          <cell r="D311">
            <v>2</v>
          </cell>
          <cell r="E311">
            <v>2</v>
          </cell>
        </row>
        <row r="312">
          <cell r="A312" t="str">
            <v>B078WQVSNV</v>
          </cell>
          <cell r="B312">
            <v>0</v>
          </cell>
          <cell r="C312">
            <v>1</v>
          </cell>
          <cell r="D312">
            <v>4</v>
          </cell>
          <cell r="E312">
            <v>2</v>
          </cell>
        </row>
        <row r="313">
          <cell r="A313" t="str">
            <v>B078WQY3NM</v>
          </cell>
          <cell r="B313">
            <v>1</v>
          </cell>
          <cell r="C313">
            <v>3</v>
          </cell>
          <cell r="D313">
            <v>4</v>
          </cell>
          <cell r="E313">
            <v>2</v>
          </cell>
        </row>
        <row r="314">
          <cell r="A314" t="str">
            <v>B078WR3XZL</v>
          </cell>
          <cell r="B314">
            <v>0</v>
          </cell>
          <cell r="C314">
            <v>1</v>
          </cell>
          <cell r="D314">
            <v>4</v>
          </cell>
          <cell r="E314">
            <v>2</v>
          </cell>
        </row>
        <row r="315">
          <cell r="A315" t="str">
            <v>B078WR4F43</v>
          </cell>
          <cell r="B315">
            <v>0</v>
          </cell>
          <cell r="C315">
            <v>1</v>
          </cell>
          <cell r="D315">
            <v>5</v>
          </cell>
          <cell r="E315">
            <v>4</v>
          </cell>
        </row>
        <row r="316">
          <cell r="A316" t="str">
            <v>B078WRDL9P</v>
          </cell>
          <cell r="B316">
            <v>0</v>
          </cell>
          <cell r="C316">
            <v>1</v>
          </cell>
          <cell r="D316">
            <v>4</v>
          </cell>
          <cell r="E316">
            <v>2</v>
          </cell>
        </row>
        <row r="317">
          <cell r="A317" t="str">
            <v>B078WRLGFX</v>
          </cell>
          <cell r="B317">
            <v>0</v>
          </cell>
          <cell r="C317">
            <v>1</v>
          </cell>
          <cell r="D317">
            <v>5</v>
          </cell>
          <cell r="E317">
            <v>2</v>
          </cell>
        </row>
        <row r="318">
          <cell r="A318" t="str">
            <v>B078WRMSBV</v>
          </cell>
          <cell r="B318">
            <v>0</v>
          </cell>
          <cell r="C318">
            <v>1</v>
          </cell>
          <cell r="D318">
            <v>4</v>
          </cell>
          <cell r="E318">
            <v>2</v>
          </cell>
        </row>
        <row r="319">
          <cell r="A319" t="str">
            <v>B07B3TW6D2</v>
          </cell>
          <cell r="B319">
            <v>3</v>
          </cell>
          <cell r="C319">
            <v>12</v>
          </cell>
          <cell r="D319">
            <v>15</v>
          </cell>
          <cell r="E319">
            <v>4</v>
          </cell>
        </row>
        <row r="320">
          <cell r="A320" t="str">
            <v>B07B3TXJH7</v>
          </cell>
          <cell r="B320">
            <v>3</v>
          </cell>
          <cell r="C320">
            <v>14</v>
          </cell>
          <cell r="D320">
            <v>10</v>
          </cell>
          <cell r="E320">
            <v>5</v>
          </cell>
        </row>
        <row r="321">
          <cell r="A321" t="str">
            <v>B07B3V3BV5</v>
          </cell>
          <cell r="B321">
            <v>4</v>
          </cell>
          <cell r="C321">
            <v>4</v>
          </cell>
          <cell r="D321">
            <v>7</v>
          </cell>
          <cell r="E321">
            <v>1</v>
          </cell>
        </row>
        <row r="322">
          <cell r="A322" t="str">
            <v>B07B3V3G8H</v>
          </cell>
          <cell r="B322">
            <v>7</v>
          </cell>
          <cell r="C322">
            <v>11</v>
          </cell>
          <cell r="D322">
            <v>7</v>
          </cell>
          <cell r="E322">
            <v>3</v>
          </cell>
        </row>
        <row r="323">
          <cell r="A323" t="str">
            <v>B07BKNWPWQ</v>
          </cell>
          <cell r="B323">
            <v>5</v>
          </cell>
          <cell r="C323">
            <v>5</v>
          </cell>
          <cell r="D323">
            <v>7</v>
          </cell>
          <cell r="E323">
            <v>1</v>
          </cell>
        </row>
        <row r="324">
          <cell r="A324" t="str">
            <v>B07BKPX8X2</v>
          </cell>
          <cell r="B324">
            <v>12</v>
          </cell>
          <cell r="C324">
            <v>8</v>
          </cell>
          <cell r="D324">
            <v>9</v>
          </cell>
          <cell r="E324">
            <v>4</v>
          </cell>
        </row>
        <row r="325">
          <cell r="A325" t="str">
            <v>B07BKQDRB2</v>
          </cell>
          <cell r="B325">
            <v>11</v>
          </cell>
          <cell r="C325">
            <v>9</v>
          </cell>
          <cell r="D325">
            <v>16</v>
          </cell>
          <cell r="E325">
            <v>11</v>
          </cell>
        </row>
        <row r="326">
          <cell r="A326" t="str">
            <v>B07BKQLKBG</v>
          </cell>
          <cell r="B326">
            <v>9</v>
          </cell>
          <cell r="C326">
            <v>11</v>
          </cell>
          <cell r="D326">
            <v>9</v>
          </cell>
          <cell r="E326">
            <v>2</v>
          </cell>
        </row>
        <row r="327">
          <cell r="A327" t="str">
            <v>B07BKQTYFV</v>
          </cell>
          <cell r="B327">
            <v>10</v>
          </cell>
          <cell r="C327">
            <v>6</v>
          </cell>
          <cell r="D327">
            <v>7</v>
          </cell>
          <cell r="E327">
            <v>3</v>
          </cell>
        </row>
        <row r="328">
          <cell r="A328" t="str">
            <v>B07BKR7DCF</v>
          </cell>
          <cell r="B328">
            <v>16</v>
          </cell>
          <cell r="C328">
            <v>12</v>
          </cell>
          <cell r="D328">
            <v>8</v>
          </cell>
          <cell r="E328">
            <v>11</v>
          </cell>
        </row>
        <row r="329">
          <cell r="A329" t="str">
            <v>B07BKR7DCG</v>
          </cell>
          <cell r="B329">
            <v>27</v>
          </cell>
          <cell r="C329">
            <v>45</v>
          </cell>
          <cell r="D329">
            <v>34</v>
          </cell>
          <cell r="E329">
            <v>32</v>
          </cell>
        </row>
        <row r="330">
          <cell r="A330" t="str">
            <v>B07BKR8D8Z</v>
          </cell>
          <cell r="B330">
            <v>0</v>
          </cell>
          <cell r="C330">
            <v>0</v>
          </cell>
          <cell r="D330">
            <v>15</v>
          </cell>
          <cell r="E330">
            <v>14</v>
          </cell>
        </row>
        <row r="331">
          <cell r="A331" t="str">
            <v>B07BKRLXJK</v>
          </cell>
          <cell r="B331">
            <v>6</v>
          </cell>
          <cell r="C331">
            <v>5</v>
          </cell>
          <cell r="D331">
            <v>10</v>
          </cell>
          <cell r="E331">
            <v>5</v>
          </cell>
        </row>
        <row r="332">
          <cell r="A332" t="str">
            <v>B07BKRPH4T</v>
          </cell>
          <cell r="B332">
            <v>7</v>
          </cell>
          <cell r="C332">
            <v>6</v>
          </cell>
          <cell r="D332">
            <v>7</v>
          </cell>
          <cell r="E332">
            <v>3</v>
          </cell>
        </row>
        <row r="333">
          <cell r="A333" t="str">
            <v>B07BKS4NK1</v>
          </cell>
          <cell r="B333">
            <v>3</v>
          </cell>
          <cell r="C333">
            <v>7</v>
          </cell>
          <cell r="D333">
            <v>7</v>
          </cell>
          <cell r="E333">
            <v>7</v>
          </cell>
        </row>
        <row r="334">
          <cell r="A334" t="str">
            <v>B07BKSWCR3</v>
          </cell>
          <cell r="B334">
            <v>11</v>
          </cell>
          <cell r="C334">
            <v>8</v>
          </cell>
          <cell r="D334">
            <v>14</v>
          </cell>
          <cell r="E334">
            <v>12</v>
          </cell>
        </row>
        <row r="335">
          <cell r="A335" t="str">
            <v>B07BKSX1D6</v>
          </cell>
          <cell r="B335">
            <v>9</v>
          </cell>
          <cell r="C335">
            <v>2</v>
          </cell>
          <cell r="D335">
            <v>12</v>
          </cell>
          <cell r="E335">
            <v>5</v>
          </cell>
        </row>
        <row r="336">
          <cell r="A336" t="str">
            <v>B07BKT1Y4D</v>
          </cell>
          <cell r="B336">
            <v>9</v>
          </cell>
          <cell r="C336">
            <v>5</v>
          </cell>
          <cell r="D336">
            <v>11</v>
          </cell>
          <cell r="E336">
            <v>7</v>
          </cell>
        </row>
        <row r="337">
          <cell r="A337" t="str">
            <v>B07BKTCPPS</v>
          </cell>
          <cell r="B337">
            <v>11</v>
          </cell>
          <cell r="C337">
            <v>12</v>
          </cell>
          <cell r="D337">
            <v>13</v>
          </cell>
          <cell r="E337">
            <v>2</v>
          </cell>
        </row>
        <row r="338">
          <cell r="A338" t="str">
            <v>B07BKTKK7K</v>
          </cell>
          <cell r="B338">
            <v>7</v>
          </cell>
          <cell r="C338">
            <v>2</v>
          </cell>
          <cell r="D338">
            <v>6</v>
          </cell>
          <cell r="E338">
            <v>9</v>
          </cell>
        </row>
        <row r="339">
          <cell r="A339" t="str">
            <v>B07BKTLC85</v>
          </cell>
          <cell r="B339">
            <v>19</v>
          </cell>
          <cell r="C339">
            <v>19</v>
          </cell>
          <cell r="D339">
            <v>22</v>
          </cell>
          <cell r="E339">
            <v>4</v>
          </cell>
        </row>
        <row r="340">
          <cell r="A340" t="str">
            <v>B07BKTSQ1R</v>
          </cell>
          <cell r="B340">
            <v>8</v>
          </cell>
          <cell r="C340">
            <v>2</v>
          </cell>
          <cell r="D340">
            <v>11</v>
          </cell>
          <cell r="E340">
            <v>5</v>
          </cell>
        </row>
        <row r="341">
          <cell r="A341" t="str">
            <v>B07BKVPJ6Q</v>
          </cell>
          <cell r="B341">
            <v>16</v>
          </cell>
          <cell r="C341">
            <v>8</v>
          </cell>
          <cell r="D341">
            <v>4</v>
          </cell>
          <cell r="E341">
            <v>4</v>
          </cell>
        </row>
        <row r="342">
          <cell r="A342" t="str">
            <v>B07BKWBM9B</v>
          </cell>
          <cell r="B342">
            <v>0</v>
          </cell>
          <cell r="C342">
            <v>0</v>
          </cell>
          <cell r="D342">
            <v>3</v>
          </cell>
          <cell r="E342">
            <v>5</v>
          </cell>
        </row>
        <row r="343">
          <cell r="A343" t="str">
            <v>B07DC3CQDX</v>
          </cell>
          <cell r="B343">
            <v>16</v>
          </cell>
          <cell r="C343">
            <v>26</v>
          </cell>
          <cell r="D343">
            <v>9</v>
          </cell>
          <cell r="E343">
            <v>6</v>
          </cell>
        </row>
        <row r="344">
          <cell r="A344" t="str">
            <v>B07FMXMNLG</v>
          </cell>
          <cell r="B344">
            <v>2</v>
          </cell>
          <cell r="C344">
            <v>1</v>
          </cell>
          <cell r="D344">
            <v>3</v>
          </cell>
          <cell r="E344">
            <v>8</v>
          </cell>
        </row>
        <row r="345">
          <cell r="A345" t="str">
            <v>B07FP9DVQN</v>
          </cell>
          <cell r="B345">
            <v>108</v>
          </cell>
          <cell r="C345">
            <v>102</v>
          </cell>
          <cell r="D345">
            <v>103</v>
          </cell>
          <cell r="E345">
            <v>82</v>
          </cell>
        </row>
        <row r="346">
          <cell r="A346" t="str">
            <v>B071YQ9S6C</v>
          </cell>
          <cell r="B346">
            <v>10</v>
          </cell>
          <cell r="C346">
            <v>8</v>
          </cell>
          <cell r="D346">
            <v>2</v>
          </cell>
          <cell r="E346">
            <v>0</v>
          </cell>
        </row>
        <row r="347">
          <cell r="A347" t="str">
            <v>B073W5J3FN</v>
          </cell>
          <cell r="B347">
            <v>0</v>
          </cell>
          <cell r="C347">
            <v>4</v>
          </cell>
          <cell r="D347">
            <v>2</v>
          </cell>
          <cell r="E347">
            <v>0</v>
          </cell>
        </row>
        <row r="348">
          <cell r="A348" t="str">
            <v>B074CS9H1P</v>
          </cell>
          <cell r="B348">
            <v>1</v>
          </cell>
          <cell r="C348">
            <v>1</v>
          </cell>
          <cell r="D348">
            <v>3</v>
          </cell>
          <cell r="E348">
            <v>0</v>
          </cell>
        </row>
        <row r="349">
          <cell r="A349" t="str">
            <v>B074CWPQFT</v>
          </cell>
          <cell r="B349">
            <v>0</v>
          </cell>
          <cell r="C349">
            <v>0</v>
          </cell>
          <cell r="D349">
            <v>3</v>
          </cell>
          <cell r="E349">
            <v>0</v>
          </cell>
        </row>
        <row r="350">
          <cell r="A350" t="str">
            <v>B074CWR3FL</v>
          </cell>
          <cell r="B350">
            <v>2</v>
          </cell>
          <cell r="C350">
            <v>4</v>
          </cell>
          <cell r="D350">
            <v>1</v>
          </cell>
          <cell r="E350">
            <v>0</v>
          </cell>
        </row>
        <row r="351">
          <cell r="A351" t="str">
            <v>B074DVW5HC</v>
          </cell>
          <cell r="B351">
            <v>3</v>
          </cell>
          <cell r="C351">
            <v>2</v>
          </cell>
          <cell r="D351">
            <v>3</v>
          </cell>
          <cell r="E351">
            <v>0</v>
          </cell>
        </row>
        <row r="352">
          <cell r="A352" t="str">
            <v>B074FR8NL9</v>
          </cell>
          <cell r="B352">
            <v>5</v>
          </cell>
          <cell r="C352">
            <v>5</v>
          </cell>
          <cell r="D352">
            <v>3</v>
          </cell>
          <cell r="E352">
            <v>0</v>
          </cell>
        </row>
        <row r="353">
          <cell r="A353" t="str">
            <v>B074FRC3TW</v>
          </cell>
          <cell r="B353">
            <v>8</v>
          </cell>
          <cell r="C353">
            <v>7</v>
          </cell>
          <cell r="D353">
            <v>2</v>
          </cell>
          <cell r="E353">
            <v>0</v>
          </cell>
        </row>
        <row r="354">
          <cell r="A354" t="str">
            <v>B074FSV4LS</v>
          </cell>
          <cell r="B354">
            <v>4</v>
          </cell>
          <cell r="C354">
            <v>3</v>
          </cell>
          <cell r="D354">
            <v>4</v>
          </cell>
          <cell r="E354">
            <v>0</v>
          </cell>
        </row>
        <row r="355">
          <cell r="A355" t="str">
            <v>B074FSXVNK</v>
          </cell>
          <cell r="B355">
            <v>0</v>
          </cell>
          <cell r="C355">
            <v>2</v>
          </cell>
          <cell r="D355">
            <v>6</v>
          </cell>
          <cell r="E355">
            <v>0</v>
          </cell>
        </row>
        <row r="356">
          <cell r="A356" t="str">
            <v>B074FT1X4P</v>
          </cell>
          <cell r="B356">
            <v>3</v>
          </cell>
          <cell r="C356">
            <v>2</v>
          </cell>
          <cell r="D356">
            <v>6</v>
          </cell>
          <cell r="E356">
            <v>0</v>
          </cell>
        </row>
        <row r="357">
          <cell r="A357" t="str">
            <v>B074FT3T2H</v>
          </cell>
          <cell r="B357">
            <v>4</v>
          </cell>
          <cell r="C357">
            <v>2</v>
          </cell>
          <cell r="D357">
            <v>2</v>
          </cell>
          <cell r="E357">
            <v>0</v>
          </cell>
        </row>
        <row r="358">
          <cell r="A358" t="str">
            <v>B074FTCGDW</v>
          </cell>
          <cell r="B358">
            <v>6</v>
          </cell>
          <cell r="C358">
            <v>1</v>
          </cell>
          <cell r="D358">
            <v>2</v>
          </cell>
          <cell r="E358">
            <v>0</v>
          </cell>
        </row>
        <row r="359">
          <cell r="A359" t="str">
            <v>B074FXSQV1</v>
          </cell>
          <cell r="B359">
            <v>6</v>
          </cell>
          <cell r="C359">
            <v>3</v>
          </cell>
          <cell r="D359">
            <v>3</v>
          </cell>
          <cell r="E359">
            <v>0</v>
          </cell>
        </row>
        <row r="360">
          <cell r="A360" t="str">
            <v>B074FYMTFF</v>
          </cell>
          <cell r="B360">
            <v>4</v>
          </cell>
          <cell r="C360">
            <v>2</v>
          </cell>
          <cell r="D360">
            <v>2</v>
          </cell>
          <cell r="E360">
            <v>0</v>
          </cell>
        </row>
        <row r="361">
          <cell r="A361" t="str">
            <v>B074FZHXMJ</v>
          </cell>
          <cell r="B361">
            <v>4</v>
          </cell>
          <cell r="C361">
            <v>2</v>
          </cell>
          <cell r="D361">
            <v>2</v>
          </cell>
          <cell r="E361">
            <v>0</v>
          </cell>
        </row>
        <row r="362">
          <cell r="A362" t="str">
            <v>B074FZKWPJ</v>
          </cell>
          <cell r="B362">
            <v>0</v>
          </cell>
          <cell r="C362">
            <v>1</v>
          </cell>
          <cell r="D362">
            <v>4</v>
          </cell>
          <cell r="E362">
            <v>0</v>
          </cell>
        </row>
        <row r="363">
          <cell r="A363" t="str">
            <v>B074FZYNXK</v>
          </cell>
          <cell r="B363">
            <v>1</v>
          </cell>
          <cell r="C363">
            <v>2</v>
          </cell>
          <cell r="D363">
            <v>8</v>
          </cell>
          <cell r="E363">
            <v>0</v>
          </cell>
        </row>
        <row r="364">
          <cell r="A364" t="str">
            <v>B074NQW76F</v>
          </cell>
          <cell r="B364">
            <v>2</v>
          </cell>
          <cell r="C364">
            <v>3</v>
          </cell>
          <cell r="D364">
            <v>3</v>
          </cell>
          <cell r="E364">
            <v>0</v>
          </cell>
        </row>
        <row r="365">
          <cell r="A365" t="str">
            <v>B074NYX45B</v>
          </cell>
          <cell r="B365">
            <v>1</v>
          </cell>
          <cell r="C365">
            <v>4</v>
          </cell>
          <cell r="D365">
            <v>6</v>
          </cell>
          <cell r="E365">
            <v>0</v>
          </cell>
        </row>
        <row r="366">
          <cell r="A366" t="str">
            <v>B074NZSTV3</v>
          </cell>
          <cell r="B366">
            <v>1</v>
          </cell>
          <cell r="C366">
            <v>0</v>
          </cell>
          <cell r="D366">
            <v>15</v>
          </cell>
          <cell r="E366">
            <v>0</v>
          </cell>
        </row>
        <row r="367">
          <cell r="A367" t="str">
            <v>B071RNC571</v>
          </cell>
          <cell r="B367">
            <v>7</v>
          </cell>
          <cell r="C367">
            <v>1</v>
          </cell>
          <cell r="D367">
            <v>0</v>
          </cell>
          <cell r="E367">
            <v>0</v>
          </cell>
        </row>
        <row r="368">
          <cell r="A368" t="str">
            <v>B073F3JBY6</v>
          </cell>
          <cell r="B368">
            <v>0</v>
          </cell>
          <cell r="C368">
            <v>3</v>
          </cell>
          <cell r="D368">
            <v>0</v>
          </cell>
          <cell r="E368">
            <v>0</v>
          </cell>
        </row>
        <row r="369">
          <cell r="A369" t="str">
            <v>B074DW1685</v>
          </cell>
          <cell r="B369">
            <v>1</v>
          </cell>
          <cell r="C369">
            <v>1</v>
          </cell>
          <cell r="D369">
            <v>0</v>
          </cell>
          <cell r="E369">
            <v>0</v>
          </cell>
        </row>
        <row r="370">
          <cell r="A370" t="str">
            <v>B074DWC6PK</v>
          </cell>
          <cell r="B370">
            <v>0</v>
          </cell>
          <cell r="C370">
            <v>1</v>
          </cell>
          <cell r="D370">
            <v>0</v>
          </cell>
          <cell r="E370">
            <v>0</v>
          </cell>
        </row>
        <row r="371">
          <cell r="A371" t="str">
            <v>B074Q9S43R</v>
          </cell>
          <cell r="B371">
            <v>30</v>
          </cell>
          <cell r="C371">
            <v>17</v>
          </cell>
          <cell r="D371">
            <v>0</v>
          </cell>
          <cell r="E371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DD-BNY-W0</v>
          </cell>
          <cell r="B430" t="str">
            <v>DD-BNY</v>
          </cell>
        </row>
        <row r="431">
          <cell r="A431" t="str">
            <v>DD-BNY-W0</v>
          </cell>
          <cell r="B431" t="str">
            <v>DD-BNY</v>
          </cell>
        </row>
        <row r="432">
          <cell r="A432" t="str">
            <v>DDHNYK0</v>
          </cell>
          <cell r="B432" t="str">
            <v>DDHNY</v>
          </cell>
        </row>
        <row r="433">
          <cell r="A433" t="str">
            <v>DD-HNY-K0</v>
          </cell>
          <cell r="B433" t="str">
            <v>DD-HNY</v>
          </cell>
        </row>
        <row r="434">
          <cell r="A434" t="str">
            <v>DHBTSW0</v>
          </cell>
          <cell r="B434" t="str">
            <v>DHBTS</v>
          </cell>
        </row>
        <row r="435">
          <cell r="A435" t="str">
            <v>DKBDWZXYS</v>
          </cell>
          <cell r="B435" t="str">
            <v>DKBDWZ</v>
          </cell>
        </row>
        <row r="436">
          <cell r="A436" t="str">
            <v>DKDHWZW0</v>
          </cell>
          <cell r="B436" t="str">
            <v>DKDHWZ</v>
          </cell>
        </row>
        <row r="437">
          <cell r="A437" t="str">
            <v>DKDWSW0</v>
          </cell>
          <cell r="B437" t="str">
            <v>DKDWS</v>
          </cell>
        </row>
        <row r="438">
          <cell r="A438" t="str">
            <v>DKDZWZW0</v>
          </cell>
          <cell r="B438" t="str">
            <v>DKDZWZ</v>
          </cell>
        </row>
        <row r="439">
          <cell r="A439" t="str">
            <v>DKHDJMB</v>
          </cell>
          <cell r="B439" t="str">
            <v>DKHDJ</v>
          </cell>
        </row>
        <row r="440">
          <cell r="A440" t="str">
            <v>DKHDJR0</v>
          </cell>
          <cell r="B440" t="str">
            <v>DKHDJ</v>
          </cell>
        </row>
        <row r="441">
          <cell r="A441" t="str">
            <v>DKHDR0</v>
          </cell>
          <cell r="B441" t="str">
            <v>DKHD</v>
          </cell>
        </row>
        <row r="442">
          <cell r="A442" t="str">
            <v>DKHDWZW0</v>
          </cell>
          <cell r="B442" t="str">
            <v>DKHDWZ</v>
          </cell>
        </row>
        <row r="443">
          <cell r="A443" t="str">
            <v>DKLKWZMS</v>
          </cell>
          <cell r="B443" t="str">
            <v>DKLKWZ</v>
          </cell>
        </row>
        <row r="444">
          <cell r="A444" t="str">
            <v>DKLKWZR0</v>
          </cell>
          <cell r="B444" t="str">
            <v>DKLKWZ</v>
          </cell>
        </row>
        <row r="445">
          <cell r="A445" t="str">
            <v>DKLKWZW0</v>
          </cell>
          <cell r="B445" t="str">
            <v>DKLKWZ</v>
          </cell>
        </row>
        <row r="446">
          <cell r="A446" t="str">
            <v>DKLSBWZW0</v>
          </cell>
          <cell r="B446" t="str">
            <v>DKLSBWZ</v>
          </cell>
        </row>
        <row r="447">
          <cell r="A447" t="str">
            <v>DKLSW0</v>
          </cell>
          <cell r="B447" t="str">
            <v>DKLS</v>
          </cell>
        </row>
        <row r="448">
          <cell r="A448" t="str">
            <v>DKLZWZW0</v>
          </cell>
          <cell r="B448" t="str">
            <v>DKLZWZ</v>
          </cell>
        </row>
        <row r="449">
          <cell r="A449" t="str">
            <v>DKNZWZMB</v>
          </cell>
          <cell r="B449" t="str">
            <v>DKNZWZ</v>
          </cell>
        </row>
        <row r="450">
          <cell r="A450" t="str">
            <v>DKNZWZW0</v>
          </cell>
          <cell r="B450" t="str">
            <v>DKNZWZ</v>
          </cell>
        </row>
        <row r="451">
          <cell r="A451" t="str">
            <v>DKQLSW0</v>
          </cell>
          <cell r="B451" t="str">
            <v>DKQLS</v>
          </cell>
        </row>
        <row r="452">
          <cell r="A452" t="str">
            <v>DKSCW0</v>
          </cell>
          <cell r="B452" t="str">
            <v>DKSC</v>
          </cell>
        </row>
        <row r="453">
          <cell r="A453" t="str">
            <v>DKSZW0</v>
          </cell>
          <cell r="B453" t="str">
            <v>DKSZ</v>
          </cell>
        </row>
        <row r="454">
          <cell r="A454" t="str">
            <v>DKTHWZW0</v>
          </cell>
          <cell r="B454" t="str">
            <v>DKTHWZ</v>
          </cell>
        </row>
        <row r="455">
          <cell r="A455" t="str">
            <v>DKWLSW0</v>
          </cell>
          <cell r="B455" t="str">
            <v>DKWLS</v>
          </cell>
        </row>
        <row r="456">
          <cell r="A456" t="str">
            <v>DKWSHW0</v>
          </cell>
          <cell r="B456" t="str">
            <v>DKWSH</v>
          </cell>
        </row>
        <row r="457">
          <cell r="A457" t="str">
            <v>DKWSMB</v>
          </cell>
          <cell r="B457" t="str">
            <v>DKWS</v>
          </cell>
        </row>
        <row r="458">
          <cell r="A458" t="str">
            <v>DKWSW0</v>
          </cell>
          <cell r="B458" t="str">
            <v>DKWS</v>
          </cell>
        </row>
        <row r="459">
          <cell r="A459" t="str">
            <v>DKWSWZK0</v>
          </cell>
          <cell r="B459" t="str">
            <v>DKWSWZ</v>
          </cell>
        </row>
        <row r="460">
          <cell r="A460" t="str">
            <v>DKWSWZR0</v>
          </cell>
          <cell r="B460" t="str">
            <v>DKWSWZ</v>
          </cell>
        </row>
        <row r="461">
          <cell r="A461" t="str">
            <v>DKWSWZRB</v>
          </cell>
          <cell r="B461" t="str">
            <v>DKWSWZ</v>
          </cell>
        </row>
        <row r="462">
          <cell r="A462" t="str">
            <v>DKWSWZW0</v>
          </cell>
          <cell r="B462" t="str">
            <v>DKWSWZ</v>
          </cell>
        </row>
        <row r="463">
          <cell r="A463" t="str">
            <v>DKWSZW0</v>
          </cell>
          <cell r="B463" t="str">
            <v>DKWSZ</v>
          </cell>
        </row>
        <row r="464">
          <cell r="A464" t="str">
            <v>DKXJW0</v>
          </cell>
          <cell r="B464" t="str">
            <v>DKXJ</v>
          </cell>
        </row>
        <row r="465">
          <cell r="A465" t="str">
            <v>DKXSW0</v>
          </cell>
          <cell r="B465" t="str">
            <v>DKXS</v>
          </cell>
        </row>
        <row r="466">
          <cell r="A466" t="str">
            <v>DKYSTS1W0T6</v>
          </cell>
          <cell r="B466" t="str">
            <v>DKYSTS1</v>
          </cell>
        </row>
        <row r="467">
          <cell r="A467" t="str">
            <v>DKYSTS1W0T7</v>
          </cell>
          <cell r="B467" t="str">
            <v>DKYSTS1</v>
          </cell>
        </row>
        <row r="468">
          <cell r="A468" t="str">
            <v>DKYSTS1W0T8</v>
          </cell>
          <cell r="B468" t="str">
            <v>DKYSTS1</v>
          </cell>
        </row>
        <row r="469">
          <cell r="A469" t="str">
            <v>DKYSTS1W0T9</v>
          </cell>
          <cell r="B469" t="str">
            <v>DKYSTS1</v>
          </cell>
        </row>
        <row r="470">
          <cell r="A470" t="str">
            <v>DKYSTS2W0T10</v>
          </cell>
          <cell r="B470" t="str">
            <v>DKYSTS2</v>
          </cell>
        </row>
        <row r="471">
          <cell r="A471" t="str">
            <v>DKYSTS2W0T11</v>
          </cell>
          <cell r="B471" t="str">
            <v>DKYSTS2</v>
          </cell>
        </row>
        <row r="472">
          <cell r="A472" t="str">
            <v>DKYSTS2W0T12</v>
          </cell>
          <cell r="B472" t="str">
            <v>DKYSTS2</v>
          </cell>
        </row>
        <row r="473">
          <cell r="A473" t="str">
            <v>DKYSTSW0T1</v>
          </cell>
          <cell r="B473" t="str">
            <v>DKYSTS</v>
          </cell>
        </row>
        <row r="474">
          <cell r="A474" t="str">
            <v>DKYSTSW0T3</v>
          </cell>
          <cell r="B474" t="str">
            <v>DKYSTS</v>
          </cell>
        </row>
        <row r="475">
          <cell r="A475" t="str">
            <v>DKYSTSW0T4</v>
          </cell>
          <cell r="B475" t="str">
            <v>DKYSTS</v>
          </cell>
        </row>
        <row r="476">
          <cell r="A476" t="str">
            <v>DKYSTSW0T5</v>
          </cell>
          <cell r="B476" t="str">
            <v>DKYSTS</v>
          </cell>
        </row>
        <row r="477">
          <cell r="A477" t="str">
            <v>DKZZW0</v>
          </cell>
          <cell r="B477" t="str">
            <v>DKZZ</v>
          </cell>
        </row>
        <row r="478">
          <cell r="A478" t="str">
            <v>DMEFJSL</v>
          </cell>
          <cell r="B478" t="str">
            <v>DMEF</v>
          </cell>
        </row>
        <row r="479">
          <cell r="A479" t="str">
            <v>DMEFJSM</v>
          </cell>
          <cell r="B479" t="str">
            <v>DMEF</v>
          </cell>
        </row>
        <row r="480">
          <cell r="A480" t="str">
            <v>DMEFJSS</v>
          </cell>
          <cell r="B480" t="str">
            <v>DMEF</v>
          </cell>
        </row>
        <row r="481">
          <cell r="A481" t="str">
            <v>DMEFK0L</v>
          </cell>
          <cell r="B481" t="str">
            <v>DMEF</v>
          </cell>
        </row>
        <row r="482">
          <cell r="A482" t="str">
            <v>DMEFK0M</v>
          </cell>
          <cell r="B482" t="str">
            <v>DMEF</v>
          </cell>
        </row>
        <row r="483">
          <cell r="A483" t="str">
            <v>DMEFK0S</v>
          </cell>
          <cell r="B483" t="str">
            <v>DMEF</v>
          </cell>
        </row>
        <row r="484">
          <cell r="A484" t="str">
            <v>DMEFMHL</v>
          </cell>
          <cell r="B484" t="str">
            <v>DMEF</v>
          </cell>
        </row>
        <row r="485">
          <cell r="A485" t="str">
            <v>DMEFMHM</v>
          </cell>
          <cell r="B485" t="str">
            <v>DMEF</v>
          </cell>
        </row>
        <row r="486">
          <cell r="A486" t="str">
            <v>DMEFMHS</v>
          </cell>
          <cell r="B486" t="str">
            <v>DMEF</v>
          </cell>
        </row>
        <row r="487">
          <cell r="A487" t="str">
            <v>DMEFTLL</v>
          </cell>
          <cell r="B487" t="str">
            <v>DMEF</v>
          </cell>
        </row>
        <row r="488">
          <cell r="A488" t="str">
            <v>DMEFTLM</v>
          </cell>
          <cell r="B488" t="str">
            <v>DMEF</v>
          </cell>
        </row>
        <row r="489">
          <cell r="A489" t="str">
            <v>DMEFTLS</v>
          </cell>
          <cell r="B489" t="str">
            <v>DMEF</v>
          </cell>
        </row>
        <row r="490">
          <cell r="A490" t="str">
            <v>DYHDK0</v>
          </cell>
          <cell r="B490" t="str">
            <v>DYHD</v>
          </cell>
        </row>
        <row r="491">
          <cell r="A491" t="str">
            <v>FFWMYHB0L</v>
          </cell>
          <cell r="B491" t="str">
            <v>FFWMYH</v>
          </cell>
        </row>
        <row r="492">
          <cell r="A492" t="str">
            <v>FFWMYHB0M</v>
          </cell>
          <cell r="B492" t="str">
            <v>FFWMYH</v>
          </cell>
        </row>
        <row r="493">
          <cell r="A493" t="str">
            <v>FFWMYHB0S</v>
          </cell>
          <cell r="B493" t="str">
            <v>FFWMYH</v>
          </cell>
        </row>
        <row r="494">
          <cell r="A494" t="str">
            <v>FFWMYHB0XL</v>
          </cell>
          <cell r="B494" t="str">
            <v>FFWMYH</v>
          </cell>
        </row>
        <row r="495">
          <cell r="A495" t="str">
            <v>FFWMYHG0L</v>
          </cell>
          <cell r="B495" t="str">
            <v>FFWMYH</v>
          </cell>
        </row>
        <row r="496">
          <cell r="A496" t="str">
            <v>FFWMYHG0M</v>
          </cell>
          <cell r="B496" t="str">
            <v>FFWMYH</v>
          </cell>
        </row>
        <row r="497">
          <cell r="A497" t="str">
            <v>FFWMYHG0S</v>
          </cell>
          <cell r="B497" t="str">
            <v>FFWMYH</v>
          </cell>
        </row>
        <row r="498">
          <cell r="A498" t="str">
            <v>FFWMYHG0XL</v>
          </cell>
          <cell r="B498" t="str">
            <v>FFWMYH</v>
          </cell>
        </row>
        <row r="499">
          <cell r="A499" t="str">
            <v>FFWMYHJHL</v>
          </cell>
          <cell r="B499" t="str">
            <v>FFWMYH</v>
          </cell>
        </row>
        <row r="500">
          <cell r="A500" t="str">
            <v>FFWMYHJHM</v>
          </cell>
          <cell r="B500" t="str">
            <v>FFWMYH</v>
          </cell>
        </row>
        <row r="501">
          <cell r="A501" t="str">
            <v>FFWMYHJHS</v>
          </cell>
          <cell r="B501" t="str">
            <v>FFWMYH</v>
          </cell>
        </row>
        <row r="502">
          <cell r="A502" t="str">
            <v>FFWMYHJHSL</v>
          </cell>
          <cell r="B502" t="str">
            <v>FFWMYH</v>
          </cell>
        </row>
        <row r="503">
          <cell r="A503" t="str">
            <v>FFWMYHJHSM</v>
          </cell>
          <cell r="B503" t="str">
            <v>FFWMYH</v>
          </cell>
        </row>
        <row r="504">
          <cell r="A504" t="str">
            <v>FFWMYHJHSS</v>
          </cell>
          <cell r="B504" t="str">
            <v>FFWMYH</v>
          </cell>
        </row>
        <row r="505">
          <cell r="A505" t="str">
            <v>FFWMYHJHSXL</v>
          </cell>
          <cell r="B505" t="str">
            <v>FFWMYH</v>
          </cell>
        </row>
        <row r="506">
          <cell r="A506" t="str">
            <v>FFWMYHJHXL</v>
          </cell>
          <cell r="B506" t="str">
            <v>FFWMYH</v>
          </cell>
        </row>
        <row r="507">
          <cell r="A507" t="str">
            <v>FFWMYHK0L</v>
          </cell>
          <cell r="B507" t="str">
            <v>FFWMYH</v>
          </cell>
        </row>
        <row r="508">
          <cell r="A508" t="str">
            <v>FFWMYHK0M</v>
          </cell>
          <cell r="B508" t="str">
            <v>FFWMYH</v>
          </cell>
        </row>
        <row r="509">
          <cell r="A509" t="str">
            <v>FFWMYHK0S</v>
          </cell>
          <cell r="B509" t="str">
            <v>FFWMYH</v>
          </cell>
        </row>
        <row r="510">
          <cell r="A510" t="str">
            <v>FFWMYHK0XL</v>
          </cell>
          <cell r="B510" t="str">
            <v>FFWMYH</v>
          </cell>
        </row>
        <row r="511">
          <cell r="A511" t="str">
            <v>FFWMYHLJHL</v>
          </cell>
          <cell r="B511" t="str">
            <v>FFWMYH</v>
          </cell>
        </row>
        <row r="512">
          <cell r="A512" t="str">
            <v>FFWMYHLJHM</v>
          </cell>
          <cell r="B512" t="str">
            <v>FFWMYH</v>
          </cell>
        </row>
        <row r="513">
          <cell r="A513" t="str">
            <v>FFWMYHLJHS</v>
          </cell>
          <cell r="B513" t="str">
            <v>FFWMYH</v>
          </cell>
        </row>
        <row r="514">
          <cell r="A514" t="str">
            <v>FFWMYHLJHXL</v>
          </cell>
          <cell r="B514" t="str">
            <v>FFWMYH</v>
          </cell>
        </row>
        <row r="515">
          <cell r="A515" t="str">
            <v>FFWMYHZLSL</v>
          </cell>
          <cell r="B515" t="str">
            <v>FFWMYH</v>
          </cell>
        </row>
        <row r="516">
          <cell r="A516" t="str">
            <v>FFWMYHZLSM</v>
          </cell>
          <cell r="B516" t="str">
            <v>FFWMYH</v>
          </cell>
        </row>
        <row r="517">
          <cell r="A517" t="str">
            <v>FFWMYHZLSS</v>
          </cell>
          <cell r="B517" t="str">
            <v>FFWMYH</v>
          </cell>
        </row>
        <row r="518">
          <cell r="A518" t="str">
            <v>FFWMYHZLSXL</v>
          </cell>
          <cell r="B518" t="str">
            <v>FFWMYH</v>
          </cell>
        </row>
        <row r="519">
          <cell r="A519" t="str">
            <v>GJHNYK0</v>
          </cell>
          <cell r="B519" t="str">
            <v>GJHNY</v>
          </cell>
        </row>
        <row r="520">
          <cell r="A520" t="str">
            <v>GLYFK02XL</v>
          </cell>
          <cell r="B520" t="str">
            <v>GLYF</v>
          </cell>
        </row>
        <row r="521">
          <cell r="A521" t="str">
            <v>GLYFK03XL</v>
          </cell>
          <cell r="B521" t="str">
            <v>GLYF</v>
          </cell>
        </row>
        <row r="522">
          <cell r="A522" t="str">
            <v>GLYFK04XL</v>
          </cell>
          <cell r="B522" t="str">
            <v>GLYF</v>
          </cell>
        </row>
        <row r="523">
          <cell r="A523" t="str">
            <v>GLYFK05XL</v>
          </cell>
          <cell r="B523" t="str">
            <v>GLYF</v>
          </cell>
        </row>
        <row r="524">
          <cell r="A524" t="str">
            <v>GLYFK0L</v>
          </cell>
          <cell r="B524" t="str">
            <v>GLYF</v>
          </cell>
        </row>
        <row r="525">
          <cell r="A525" t="str">
            <v>GLYFK0M</v>
          </cell>
          <cell r="B525" t="str">
            <v>GLYF</v>
          </cell>
        </row>
        <row r="526">
          <cell r="A526" t="str">
            <v>GLYFK0XL</v>
          </cell>
          <cell r="B526" t="str">
            <v>GLYF</v>
          </cell>
        </row>
        <row r="527">
          <cell r="A527" t="str">
            <v>GLYFKQS2XL</v>
          </cell>
          <cell r="B527" t="str">
            <v>GLYF</v>
          </cell>
        </row>
        <row r="528">
          <cell r="A528" t="str">
            <v>GLYFKQS3XL</v>
          </cell>
          <cell r="B528" t="str">
            <v>GLYF</v>
          </cell>
        </row>
        <row r="529">
          <cell r="A529" t="str">
            <v>GLYFKQS4XL</v>
          </cell>
          <cell r="B529" t="str">
            <v>GLYF</v>
          </cell>
        </row>
        <row r="530">
          <cell r="A530" t="str">
            <v>GLYFKQS5XL</v>
          </cell>
          <cell r="B530" t="str">
            <v>GLYF</v>
          </cell>
        </row>
        <row r="531">
          <cell r="A531" t="str">
            <v>GLYFKQSL</v>
          </cell>
          <cell r="B531" t="str">
            <v>GLYF</v>
          </cell>
        </row>
        <row r="532">
          <cell r="A532" t="str">
            <v>GLYFKQSM</v>
          </cell>
          <cell r="B532" t="str">
            <v>GLYF</v>
          </cell>
        </row>
        <row r="533">
          <cell r="A533" t="str">
            <v>GLYFKQSXL</v>
          </cell>
          <cell r="B533" t="str">
            <v>GLYF</v>
          </cell>
        </row>
        <row r="534">
          <cell r="A534" t="str">
            <v>GLYFOR2XL</v>
          </cell>
          <cell r="B534" t="str">
            <v>GLYF</v>
          </cell>
        </row>
        <row r="535">
          <cell r="A535" t="str">
            <v>GLYFOR3XL</v>
          </cell>
          <cell r="B535" t="str">
            <v>GLYF</v>
          </cell>
        </row>
        <row r="536">
          <cell r="A536" t="str">
            <v>GLYFOR4XL</v>
          </cell>
          <cell r="B536" t="str">
            <v>GLYF</v>
          </cell>
        </row>
        <row r="537">
          <cell r="A537" t="str">
            <v>GLYFOR5XL</v>
          </cell>
          <cell r="B537" t="str">
            <v>GLYF</v>
          </cell>
        </row>
        <row r="538">
          <cell r="A538" t="str">
            <v>GLYFORL</v>
          </cell>
          <cell r="B538" t="str">
            <v>GLYF</v>
          </cell>
        </row>
        <row r="539">
          <cell r="A539" t="str">
            <v>GLYFORM</v>
          </cell>
          <cell r="B539" t="str">
            <v>GLYF</v>
          </cell>
        </row>
        <row r="540">
          <cell r="A540" t="str">
            <v>GLYFORXL</v>
          </cell>
          <cell r="B540" t="str">
            <v>GLYF</v>
          </cell>
        </row>
        <row r="541">
          <cell r="A541" t="str">
            <v>GLYFR02XL</v>
          </cell>
          <cell r="B541" t="str">
            <v>GLYF</v>
          </cell>
        </row>
        <row r="542">
          <cell r="A542" t="str">
            <v>GLYFR03XL</v>
          </cell>
          <cell r="B542" t="str">
            <v>GLYF</v>
          </cell>
        </row>
        <row r="543">
          <cell r="A543" t="str">
            <v>GLYFR04XL</v>
          </cell>
          <cell r="B543" t="str">
            <v>GLYF</v>
          </cell>
        </row>
        <row r="544">
          <cell r="A544" t="str">
            <v>GLYFR05XL</v>
          </cell>
          <cell r="B544" t="str">
            <v>GLYF</v>
          </cell>
        </row>
        <row r="545">
          <cell r="A545" t="str">
            <v>GLYFR0L</v>
          </cell>
          <cell r="B545" t="str">
            <v>GLYF</v>
          </cell>
        </row>
        <row r="546">
          <cell r="A546" t="str">
            <v>GLYFR0M</v>
          </cell>
          <cell r="B546" t="str">
            <v>GLYF</v>
          </cell>
        </row>
        <row r="547">
          <cell r="A547" t="str">
            <v>GLYFR0XL</v>
          </cell>
          <cell r="B547" t="str">
            <v>GLYF</v>
          </cell>
        </row>
        <row r="548">
          <cell r="A548" t="str">
            <v>GLYFSL2XL</v>
          </cell>
          <cell r="B548" t="str">
            <v>GLYF</v>
          </cell>
        </row>
        <row r="549">
          <cell r="A549" t="str">
            <v>GLYFSL3XL</v>
          </cell>
          <cell r="B549" t="str">
            <v>GLYF</v>
          </cell>
        </row>
        <row r="550">
          <cell r="A550" t="str">
            <v>GLYFSL4XL</v>
          </cell>
          <cell r="B550" t="str">
            <v>GLYF</v>
          </cell>
        </row>
        <row r="551">
          <cell r="A551" t="str">
            <v>GLYFSL5XL</v>
          </cell>
          <cell r="B551" t="str">
            <v>GLYF</v>
          </cell>
        </row>
        <row r="552">
          <cell r="A552" t="str">
            <v>GLYFSLL</v>
          </cell>
          <cell r="B552" t="str">
            <v>GLYF</v>
          </cell>
        </row>
        <row r="553">
          <cell r="A553" t="str">
            <v>GLYFSLM</v>
          </cell>
          <cell r="B553" t="str">
            <v>GLYF</v>
          </cell>
        </row>
        <row r="554">
          <cell r="A554" t="str">
            <v>GLYFSLXL</v>
          </cell>
          <cell r="B554" t="str">
            <v>GLYF</v>
          </cell>
        </row>
        <row r="555">
          <cell r="A555" t="str">
            <v>GLYFTL2XL</v>
          </cell>
          <cell r="B555" t="str">
            <v>GLYF</v>
          </cell>
        </row>
        <row r="556">
          <cell r="A556" t="str">
            <v>GLYFTL3XL</v>
          </cell>
          <cell r="B556" t="str">
            <v>GLYF</v>
          </cell>
        </row>
        <row r="557">
          <cell r="A557" t="str">
            <v>GLYFTL4XL</v>
          </cell>
          <cell r="B557" t="str">
            <v>GLYF</v>
          </cell>
        </row>
        <row r="558">
          <cell r="A558" t="str">
            <v>GLYFTL5XL</v>
          </cell>
          <cell r="B558" t="str">
            <v>GLYF</v>
          </cell>
        </row>
        <row r="559">
          <cell r="A559" t="str">
            <v>GLYFTLL</v>
          </cell>
          <cell r="B559" t="str">
            <v>GLYF</v>
          </cell>
        </row>
        <row r="560">
          <cell r="A560" t="str">
            <v>GLYFTLM</v>
          </cell>
          <cell r="B560" t="str">
            <v>GLYF</v>
          </cell>
        </row>
        <row r="561">
          <cell r="A561" t="str">
            <v>GLYFTLXL</v>
          </cell>
          <cell r="B561" t="str">
            <v>GLYF</v>
          </cell>
        </row>
        <row r="562">
          <cell r="A562" t="str">
            <v>GLYFW02XL</v>
          </cell>
          <cell r="B562" t="str">
            <v>GLYF</v>
          </cell>
        </row>
        <row r="563">
          <cell r="A563" t="str">
            <v>GLYFW03XL</v>
          </cell>
          <cell r="B563" t="str">
            <v>GLYF</v>
          </cell>
        </row>
        <row r="564">
          <cell r="A564" t="str">
            <v>GLYFW04XL</v>
          </cell>
          <cell r="B564" t="str">
            <v>GLYF</v>
          </cell>
        </row>
        <row r="565">
          <cell r="A565" t="str">
            <v>GLYFW05XL</v>
          </cell>
          <cell r="B565" t="str">
            <v>GLYF</v>
          </cell>
        </row>
        <row r="566">
          <cell r="A566" t="str">
            <v>GLYFW0L</v>
          </cell>
          <cell r="B566" t="str">
            <v>GLYF</v>
          </cell>
        </row>
        <row r="567">
          <cell r="A567" t="str">
            <v>GLYFW0M</v>
          </cell>
          <cell r="B567" t="str">
            <v>GLYF</v>
          </cell>
        </row>
        <row r="568">
          <cell r="A568" t="str">
            <v>GLYFW0XL</v>
          </cell>
          <cell r="B568" t="str">
            <v>GLYF</v>
          </cell>
        </row>
        <row r="569">
          <cell r="A569" t="str">
            <v>GRWLB0L</v>
          </cell>
          <cell r="B569" t="str">
            <v>GRWL</v>
          </cell>
        </row>
        <row r="570">
          <cell r="A570" t="str">
            <v>GRWLB0M</v>
          </cell>
          <cell r="B570" t="str">
            <v>GRWL</v>
          </cell>
        </row>
        <row r="571">
          <cell r="A571" t="str">
            <v>GRWLB0S</v>
          </cell>
          <cell r="B571" t="str">
            <v>GRWL</v>
          </cell>
        </row>
        <row r="572">
          <cell r="A572" t="str">
            <v>GRWLJSL</v>
          </cell>
          <cell r="B572" t="str">
            <v>GRWL</v>
          </cell>
        </row>
        <row r="573">
          <cell r="A573" t="str">
            <v>GRWLJSM</v>
          </cell>
          <cell r="B573" t="str">
            <v>GRWL</v>
          </cell>
        </row>
        <row r="574">
          <cell r="A574" t="str">
            <v>GRWLJSS</v>
          </cell>
          <cell r="B574" t="str">
            <v>GRWL</v>
          </cell>
        </row>
        <row r="575">
          <cell r="A575" t="str">
            <v>GRWLK0L</v>
          </cell>
          <cell r="B575" t="str">
            <v>GRWL</v>
          </cell>
        </row>
        <row r="576">
          <cell r="A576" t="str">
            <v>GRWLK0M</v>
          </cell>
          <cell r="B576" t="str">
            <v>GRWL</v>
          </cell>
        </row>
        <row r="577">
          <cell r="A577" t="str">
            <v>GRWLK0S</v>
          </cell>
          <cell r="B577" t="str">
            <v>GRWL</v>
          </cell>
        </row>
        <row r="578">
          <cell r="A578" t="str">
            <v>GRWLMHL</v>
          </cell>
          <cell r="B578" t="str">
            <v>GRWL</v>
          </cell>
        </row>
        <row r="579">
          <cell r="A579" t="str">
            <v>GRWLMHM</v>
          </cell>
          <cell r="B579" t="str">
            <v>GRWL</v>
          </cell>
        </row>
        <row r="580">
          <cell r="A580" t="str">
            <v>GRWLMHS</v>
          </cell>
          <cell r="B580" t="str">
            <v>GRWL</v>
          </cell>
        </row>
        <row r="581">
          <cell r="A581" t="str">
            <v>GRWLW0L</v>
          </cell>
          <cell r="B581" t="str">
            <v>GRWL</v>
          </cell>
        </row>
        <row r="582">
          <cell r="A582" t="str">
            <v>GRWLW0M</v>
          </cell>
          <cell r="B582" t="str">
            <v>GRWL</v>
          </cell>
        </row>
        <row r="583">
          <cell r="A583" t="str">
            <v>GRWLW0S</v>
          </cell>
          <cell r="B583" t="str">
            <v>GRWL</v>
          </cell>
        </row>
        <row r="584">
          <cell r="A584" t="str">
            <v>GSYKTKE02XL</v>
          </cell>
          <cell r="B584" t="str">
            <v>GSYKTK</v>
          </cell>
        </row>
        <row r="585">
          <cell r="A585" t="str">
            <v>GSYKTKE0L</v>
          </cell>
          <cell r="B585" t="str">
            <v>GSYKTK</v>
          </cell>
        </row>
        <row r="586">
          <cell r="A586" t="str">
            <v>GSYKTKE0M</v>
          </cell>
          <cell r="B586" t="str">
            <v>GSYKTK</v>
          </cell>
        </row>
        <row r="587">
          <cell r="A587" t="str">
            <v>GSYKTKE0XL</v>
          </cell>
          <cell r="B587" t="str">
            <v>GSYKTK</v>
          </cell>
        </row>
        <row r="588">
          <cell r="A588" t="str">
            <v>GSYKTKK02XL</v>
          </cell>
          <cell r="B588" t="str">
            <v>GSYKTK</v>
          </cell>
        </row>
        <row r="589">
          <cell r="A589" t="str">
            <v>GSYKTKK0L</v>
          </cell>
          <cell r="B589" t="str">
            <v>GSYKTK</v>
          </cell>
        </row>
        <row r="590">
          <cell r="A590" t="str">
            <v>GSYKTKK0M</v>
          </cell>
          <cell r="B590" t="str">
            <v>GSYKTK</v>
          </cell>
        </row>
        <row r="591">
          <cell r="A591" t="str">
            <v>GSYKTKK0XL</v>
          </cell>
          <cell r="B591" t="str">
            <v>GSYKTK</v>
          </cell>
        </row>
        <row r="592">
          <cell r="A592" t="str">
            <v>GWBKTKK0L</v>
          </cell>
          <cell r="B592" t="str">
            <v>GWBKTK</v>
          </cell>
        </row>
        <row r="593">
          <cell r="A593" t="str">
            <v>GWBKTKK0M</v>
          </cell>
          <cell r="B593" t="str">
            <v>GWBKTK</v>
          </cell>
        </row>
        <row r="594">
          <cell r="A594" t="str">
            <v>GWBKTKK0XL</v>
          </cell>
          <cell r="B594" t="str">
            <v>GWBKTK</v>
          </cell>
        </row>
        <row r="595">
          <cell r="A595" t="str">
            <v>GWBKTKK0XXL</v>
          </cell>
          <cell r="B595" t="str">
            <v>GWBKTK</v>
          </cell>
        </row>
        <row r="596">
          <cell r="A596" t="str">
            <v>GXNZW0</v>
          </cell>
          <cell r="B596" t="str">
            <v>GXNZ</v>
          </cell>
        </row>
        <row r="597">
          <cell r="A597" t="str">
            <v>HBBGZK0</v>
          </cell>
          <cell r="B597" t="str">
            <v>HBBGZ</v>
          </cell>
        </row>
        <row r="598">
          <cell r="A598" t="str">
            <v>HBTRK0</v>
          </cell>
          <cell r="B598" t="str">
            <v>HBTR</v>
          </cell>
        </row>
        <row r="599">
          <cell r="A599" t="str">
            <v>HBTSW0</v>
          </cell>
          <cell r="B599" t="str">
            <v>HBTS</v>
          </cell>
        </row>
        <row r="600">
          <cell r="A600" t="str">
            <v>HDLKR0</v>
          </cell>
          <cell r="B600" t="str">
            <v>HDLK</v>
          </cell>
        </row>
        <row r="601">
          <cell r="A601" t="str">
            <v>HDNZK0M</v>
          </cell>
          <cell r="B601" t="str">
            <v>HDNZ</v>
          </cell>
        </row>
        <row r="602">
          <cell r="A602" t="str">
            <v>HLSHSTW1</v>
          </cell>
          <cell r="B602" t="str">
            <v>HLSHSTW</v>
          </cell>
        </row>
        <row r="603">
          <cell r="A603" t="str">
            <v>HLSHSTW2</v>
          </cell>
          <cell r="B603" t="str">
            <v>HLSHSTW</v>
          </cell>
        </row>
        <row r="604">
          <cell r="A604" t="str">
            <v>HLSHSTW3</v>
          </cell>
          <cell r="B604" t="str">
            <v>HLSHSTW</v>
          </cell>
        </row>
        <row r="605">
          <cell r="A605" t="str">
            <v>HLSHSTWCXH1</v>
          </cell>
          <cell r="B605" t="str">
            <v>HLSHSTW</v>
          </cell>
        </row>
        <row r="606">
          <cell r="A606" t="str">
            <v>HLSHSTWCXH2</v>
          </cell>
          <cell r="B606" t="str">
            <v>TTYCMZFCXH</v>
          </cell>
        </row>
        <row r="607">
          <cell r="A607" t="str">
            <v>HLSHSTWCXH3</v>
          </cell>
          <cell r="B607" t="str">
            <v>HLSHSTW</v>
          </cell>
        </row>
        <row r="608">
          <cell r="A608" t="str">
            <v>HLYHMYSG</v>
          </cell>
          <cell r="B608" t="str">
            <v>TTYCMZFCXH</v>
          </cell>
        </row>
        <row r="609">
          <cell r="A609" t="str">
            <v>HMSFBL2XL</v>
          </cell>
          <cell r="B609" t="str">
            <v>HLSHSTW</v>
          </cell>
        </row>
        <row r="610">
          <cell r="A610" t="str">
            <v>HMSFBL3XL</v>
          </cell>
          <cell r="B610" t="str">
            <v>TTYCMZFCXH</v>
          </cell>
        </row>
        <row r="611">
          <cell r="A611" t="str">
            <v>HMSFBL4XL</v>
          </cell>
          <cell r="B611" t="str">
            <v>HLYHMY</v>
          </cell>
        </row>
        <row r="612">
          <cell r="A612" t="str">
            <v>HMSFBL5XL</v>
          </cell>
          <cell r="B612" t="str">
            <v>HMSF</v>
          </cell>
        </row>
        <row r="613">
          <cell r="A613" t="str">
            <v>HMSFBLL</v>
          </cell>
          <cell r="B613" t="str">
            <v>HMSF</v>
          </cell>
        </row>
        <row r="614">
          <cell r="A614" t="str">
            <v>HMSFBLM</v>
          </cell>
          <cell r="B614" t="str">
            <v>HMSF</v>
          </cell>
        </row>
        <row r="615">
          <cell r="A615" t="str">
            <v>HMSFBLXL</v>
          </cell>
          <cell r="B615" t="str">
            <v>HMSF</v>
          </cell>
        </row>
        <row r="616">
          <cell r="A616" t="str">
            <v>HMSFGL2XL</v>
          </cell>
          <cell r="B616" t="str">
            <v>HMSF</v>
          </cell>
        </row>
        <row r="617">
          <cell r="A617" t="str">
            <v>HMSFGL3XL</v>
          </cell>
          <cell r="B617" t="str">
            <v>HMSF</v>
          </cell>
        </row>
        <row r="618">
          <cell r="A618" t="str">
            <v>HMSFGL4XL</v>
          </cell>
          <cell r="B618" t="str">
            <v>HMSF</v>
          </cell>
        </row>
        <row r="619">
          <cell r="A619" t="str">
            <v>HMSFGL5XL</v>
          </cell>
          <cell r="B619" t="str">
            <v>HMSF</v>
          </cell>
        </row>
        <row r="620">
          <cell r="A620" t="str">
            <v>HMSFGLL</v>
          </cell>
          <cell r="B620" t="str">
            <v>HMSF</v>
          </cell>
        </row>
        <row r="621">
          <cell r="A621" t="str">
            <v>HMSFGLM</v>
          </cell>
          <cell r="B621" t="str">
            <v>HMSF</v>
          </cell>
        </row>
        <row r="622">
          <cell r="A622" t="str">
            <v>HMSFGLXL</v>
          </cell>
          <cell r="B622" t="str">
            <v>HMSF</v>
          </cell>
        </row>
        <row r="623">
          <cell r="A623" t="str">
            <v>HMSFK02XL</v>
          </cell>
          <cell r="B623" t="str">
            <v>HMSF</v>
          </cell>
        </row>
        <row r="624">
          <cell r="A624" t="str">
            <v>HMSFK03XL</v>
          </cell>
          <cell r="B624" t="str">
            <v>HMSF</v>
          </cell>
        </row>
        <row r="625">
          <cell r="A625" t="str">
            <v>HMSFK04XL</v>
          </cell>
          <cell r="B625" t="str">
            <v>HMSF</v>
          </cell>
        </row>
        <row r="626">
          <cell r="A626" t="str">
            <v>HMSFK05XL</v>
          </cell>
          <cell r="B626" t="str">
            <v>HMSF</v>
          </cell>
        </row>
        <row r="627">
          <cell r="A627" t="str">
            <v>HMSFK0L</v>
          </cell>
          <cell r="B627" t="str">
            <v>HMSF</v>
          </cell>
        </row>
        <row r="628">
          <cell r="A628" t="str">
            <v>HMSFK0M</v>
          </cell>
          <cell r="B628" t="str">
            <v>HMSF</v>
          </cell>
        </row>
        <row r="629">
          <cell r="A629" t="str">
            <v>HMSFK0XL</v>
          </cell>
          <cell r="B629" t="str">
            <v>HMSF</v>
          </cell>
        </row>
        <row r="630">
          <cell r="A630" t="str">
            <v>HMSFOR2XL</v>
          </cell>
          <cell r="B630" t="str">
            <v>HMSF</v>
          </cell>
        </row>
        <row r="631">
          <cell r="A631" t="str">
            <v>HMSFOR3XL</v>
          </cell>
          <cell r="B631" t="str">
            <v>HMSF</v>
          </cell>
        </row>
        <row r="632">
          <cell r="A632" t="str">
            <v>HMSFOR4XL</v>
          </cell>
          <cell r="B632" t="str">
            <v>HMSF</v>
          </cell>
        </row>
        <row r="633">
          <cell r="A633" t="str">
            <v>HMSFOR5XL</v>
          </cell>
          <cell r="B633" t="str">
            <v>HMSF</v>
          </cell>
        </row>
        <row r="634">
          <cell r="A634" t="str">
            <v>HMSFORL</v>
          </cell>
          <cell r="B634" t="str">
            <v>HMSF</v>
          </cell>
        </row>
        <row r="635">
          <cell r="A635" t="str">
            <v>HMSFORM</v>
          </cell>
          <cell r="B635" t="str">
            <v>HMSF</v>
          </cell>
        </row>
        <row r="636">
          <cell r="A636" t="str">
            <v>HMSFORXL</v>
          </cell>
          <cell r="B636" t="str">
            <v>HMSF</v>
          </cell>
        </row>
        <row r="637">
          <cell r="A637" t="str">
            <v>HMSFQHS2XL</v>
          </cell>
          <cell r="B637" t="str">
            <v>HMSF</v>
          </cell>
        </row>
        <row r="638">
          <cell r="A638" t="str">
            <v>HMSFQHS3XL</v>
          </cell>
          <cell r="B638" t="str">
            <v>HMSF</v>
          </cell>
        </row>
        <row r="639">
          <cell r="A639" t="str">
            <v>HMSFQHS4XL</v>
          </cell>
          <cell r="B639" t="str">
            <v>HMSF</v>
          </cell>
        </row>
        <row r="640">
          <cell r="A640" t="str">
            <v>HMSFQHS5XL</v>
          </cell>
          <cell r="B640" t="str">
            <v>HMSF</v>
          </cell>
        </row>
        <row r="641">
          <cell r="A641" t="str">
            <v>HMSFQHSL</v>
          </cell>
          <cell r="B641" t="str">
            <v>HMSF</v>
          </cell>
        </row>
        <row r="642">
          <cell r="A642" t="str">
            <v>HMSFQHSM</v>
          </cell>
          <cell r="B642" t="str">
            <v>HMSF</v>
          </cell>
        </row>
        <row r="643">
          <cell r="A643" t="str">
            <v>HMSFQHSXL</v>
          </cell>
          <cell r="B643" t="str">
            <v>HMSF</v>
          </cell>
        </row>
        <row r="644">
          <cell r="A644" t="str">
            <v>HMSFTL2XL</v>
          </cell>
          <cell r="B644" t="str">
            <v>HMSF</v>
          </cell>
        </row>
        <row r="645">
          <cell r="A645" t="str">
            <v>HMSFTL3XL</v>
          </cell>
          <cell r="B645" t="str">
            <v>HMSF</v>
          </cell>
        </row>
        <row r="646">
          <cell r="A646" t="str">
            <v>HMSFTL4XL</v>
          </cell>
          <cell r="B646" t="str">
            <v>HMSF</v>
          </cell>
        </row>
        <row r="647">
          <cell r="A647" t="str">
            <v>HMSFTL5XL</v>
          </cell>
          <cell r="B647" t="str">
            <v>HMSF</v>
          </cell>
        </row>
        <row r="648">
          <cell r="A648" t="str">
            <v>HMSFTLL</v>
          </cell>
          <cell r="B648" t="str">
            <v>HMSF</v>
          </cell>
        </row>
        <row r="649">
          <cell r="A649" t="str">
            <v>HMSFTLM</v>
          </cell>
          <cell r="B649" t="str">
            <v>HMSF</v>
          </cell>
        </row>
        <row r="650">
          <cell r="A650" t="str">
            <v>HMSFTLXL</v>
          </cell>
          <cell r="B650" t="str">
            <v>HMSF</v>
          </cell>
        </row>
        <row r="651">
          <cell r="A651" t="str">
            <v>HMSFW02XL</v>
          </cell>
          <cell r="B651" t="str">
            <v>HMSF</v>
          </cell>
        </row>
        <row r="652">
          <cell r="A652" t="str">
            <v>HMSFW03XL</v>
          </cell>
          <cell r="B652" t="str">
            <v>HMSF</v>
          </cell>
        </row>
        <row r="653">
          <cell r="A653" t="str">
            <v>HMSFW04XL</v>
          </cell>
          <cell r="B653" t="str">
            <v>HMSF</v>
          </cell>
        </row>
        <row r="654">
          <cell r="A654" t="str">
            <v>HMSFW05XL</v>
          </cell>
          <cell r="B654" t="str">
            <v>HMSF</v>
          </cell>
        </row>
        <row r="655">
          <cell r="A655" t="str">
            <v>HMSFW0L</v>
          </cell>
          <cell r="B655" t="str">
            <v>HMSF</v>
          </cell>
        </row>
        <row r="656">
          <cell r="A656" t="str">
            <v>HMSFW0M</v>
          </cell>
          <cell r="B656" t="str">
            <v>HMSF</v>
          </cell>
        </row>
        <row r="657">
          <cell r="A657" t="str">
            <v>HMSFW0XL</v>
          </cell>
          <cell r="B657" t="str">
            <v>HMSF</v>
          </cell>
        </row>
        <row r="658">
          <cell r="A658" t="str">
            <v>HMSFZQ2XL</v>
          </cell>
          <cell r="B658" t="str">
            <v>HMSF</v>
          </cell>
        </row>
        <row r="659">
          <cell r="A659" t="str">
            <v>HMSFZQ3XL</v>
          </cell>
          <cell r="B659" t="str">
            <v>HMSF</v>
          </cell>
        </row>
        <row r="660">
          <cell r="A660" t="str">
            <v>HMSFZQ4XL</v>
          </cell>
          <cell r="B660" t="str">
            <v>HMSF</v>
          </cell>
        </row>
        <row r="661">
          <cell r="A661" t="str">
            <v>HMSFZQ5XL</v>
          </cell>
          <cell r="B661" t="str">
            <v>HMSF</v>
          </cell>
        </row>
        <row r="662">
          <cell r="A662" t="str">
            <v>HMSFZQL</v>
          </cell>
          <cell r="B662" t="str">
            <v>HMSF</v>
          </cell>
        </row>
        <row r="663">
          <cell r="A663" t="str">
            <v>HMSFZQM</v>
          </cell>
          <cell r="B663" t="str">
            <v>HMSF</v>
          </cell>
        </row>
        <row r="664">
          <cell r="A664" t="str">
            <v>HMSFZQXL</v>
          </cell>
          <cell r="B664" t="str">
            <v>HMSF</v>
          </cell>
        </row>
        <row r="665">
          <cell r="A665" t="str">
            <v>HPTSMS</v>
          </cell>
          <cell r="B665" t="str">
            <v>HMSF</v>
          </cell>
        </row>
        <row r="666">
          <cell r="A666" t="str">
            <v>HSTSW0</v>
          </cell>
          <cell r="B666" t="str">
            <v>HMSF</v>
          </cell>
        </row>
        <row r="667">
          <cell r="A667" t="str">
            <v>HTLBDG2XL</v>
          </cell>
          <cell r="B667" t="str">
            <v>HMSF</v>
          </cell>
        </row>
        <row r="668">
          <cell r="A668" t="str">
            <v>HTLBDG3XL</v>
          </cell>
          <cell r="B668" t="str">
            <v>HPTS</v>
          </cell>
        </row>
        <row r="669">
          <cell r="A669" t="str">
            <v>HTLBDGL</v>
          </cell>
          <cell r="B669" t="str">
            <v>HSTS</v>
          </cell>
        </row>
        <row r="670">
          <cell r="A670" t="str">
            <v>HTLBDGM</v>
          </cell>
          <cell r="B670" t="str">
            <v>HTLB</v>
          </cell>
        </row>
        <row r="671">
          <cell r="A671" t="str">
            <v>HTLBDGXL</v>
          </cell>
          <cell r="B671" t="str">
            <v>HTLB</v>
          </cell>
        </row>
        <row r="672">
          <cell r="A672" t="str">
            <v>HTLBE02XL</v>
          </cell>
          <cell r="B672" t="str">
            <v>HTLB</v>
          </cell>
        </row>
        <row r="673">
          <cell r="A673" t="str">
            <v>HTLBE03XL</v>
          </cell>
          <cell r="B673" t="str">
            <v>HTLB</v>
          </cell>
        </row>
        <row r="674">
          <cell r="A674" t="str">
            <v>HTLBE0L</v>
          </cell>
          <cell r="B674" t="str">
            <v>HTLB</v>
          </cell>
        </row>
        <row r="675">
          <cell r="A675" t="str">
            <v>HTLBE0M</v>
          </cell>
          <cell r="B675" t="str">
            <v>HTLB</v>
          </cell>
        </row>
        <row r="676">
          <cell r="A676" t="str">
            <v>HTLBE0XL</v>
          </cell>
          <cell r="B676" t="str">
            <v>HTLB</v>
          </cell>
        </row>
        <row r="677">
          <cell r="A677" t="str">
            <v>HTLBK02XL</v>
          </cell>
          <cell r="B677" t="str">
            <v>HTLB</v>
          </cell>
        </row>
        <row r="678">
          <cell r="A678" t="str">
            <v>HTLBK03XL</v>
          </cell>
          <cell r="B678" t="str">
            <v>HTLB</v>
          </cell>
        </row>
        <row r="679">
          <cell r="A679" t="str">
            <v>HTLBK0L</v>
          </cell>
          <cell r="B679" t="str">
            <v>HTLB</v>
          </cell>
        </row>
        <row r="680">
          <cell r="A680" t="str">
            <v>HTLBK0M</v>
          </cell>
          <cell r="B680" t="str">
            <v>HTLB</v>
          </cell>
        </row>
        <row r="681">
          <cell r="A681" t="str">
            <v>HTLBK0XL</v>
          </cell>
          <cell r="B681" t="str">
            <v>HTLB</v>
          </cell>
        </row>
        <row r="682">
          <cell r="A682" t="str">
            <v>HTLBSL2XL</v>
          </cell>
          <cell r="B682" t="str">
            <v>HTLB</v>
          </cell>
        </row>
        <row r="683">
          <cell r="A683" t="str">
            <v>HTLBSL3XL</v>
          </cell>
          <cell r="B683" t="str">
            <v>HTLB</v>
          </cell>
        </row>
        <row r="684">
          <cell r="A684" t="str">
            <v>HTLBSLL</v>
          </cell>
          <cell r="B684" t="str">
            <v>HTLB</v>
          </cell>
        </row>
        <row r="685">
          <cell r="A685" t="str">
            <v>HTLBSLM</v>
          </cell>
          <cell r="B685" t="str">
            <v>HTLB</v>
          </cell>
        </row>
        <row r="686">
          <cell r="A686" t="str">
            <v>HTLBSLXL</v>
          </cell>
          <cell r="B686" t="str">
            <v>HTLB</v>
          </cell>
        </row>
        <row r="687">
          <cell r="A687" t="str">
            <v>HYSCE02XL</v>
          </cell>
          <cell r="B687" t="str">
            <v>HTLB</v>
          </cell>
        </row>
        <row r="688">
          <cell r="A688" t="str">
            <v>HYSCE03XL</v>
          </cell>
          <cell r="B688" t="str">
            <v>HTLB</v>
          </cell>
        </row>
        <row r="689">
          <cell r="A689" t="str">
            <v>HYSCE04XL</v>
          </cell>
          <cell r="B689" t="str">
            <v>HTLB</v>
          </cell>
        </row>
        <row r="690">
          <cell r="A690" t="str">
            <v>HYSCE0L</v>
          </cell>
          <cell r="B690" t="str">
            <v>HYSC</v>
          </cell>
        </row>
        <row r="691">
          <cell r="A691" t="str">
            <v>HYSCE0M</v>
          </cell>
          <cell r="B691" t="str">
            <v>HYSC</v>
          </cell>
        </row>
        <row r="692">
          <cell r="A692" t="str">
            <v>HYSCE0XL</v>
          </cell>
          <cell r="B692" t="str">
            <v>HYSC</v>
          </cell>
        </row>
        <row r="693">
          <cell r="A693" t="str">
            <v>HYSCGL2XL</v>
          </cell>
          <cell r="B693" t="str">
            <v>HYSC</v>
          </cell>
        </row>
        <row r="694">
          <cell r="A694" t="str">
            <v>HYSCGL3XL</v>
          </cell>
          <cell r="B694" t="str">
            <v>HYSC</v>
          </cell>
        </row>
        <row r="695">
          <cell r="A695" t="str">
            <v>HYSCGL4XL</v>
          </cell>
          <cell r="B695" t="str">
            <v>HYSC</v>
          </cell>
        </row>
        <row r="696">
          <cell r="A696" t="str">
            <v>HYSCGLL</v>
          </cell>
          <cell r="B696" t="str">
            <v>HYSC</v>
          </cell>
        </row>
        <row r="697">
          <cell r="A697" t="str">
            <v>HYSCGLM</v>
          </cell>
          <cell r="B697" t="str">
            <v>HYSC</v>
          </cell>
        </row>
        <row r="698">
          <cell r="A698" t="str">
            <v>HYSCGLXL</v>
          </cell>
          <cell r="B698" t="str">
            <v>HYSC</v>
          </cell>
        </row>
        <row r="699">
          <cell r="A699" t="str">
            <v>HYSCK02XL</v>
          </cell>
          <cell r="B699" t="str">
            <v>HYSC</v>
          </cell>
        </row>
        <row r="700">
          <cell r="A700" t="str">
            <v>HYSCK03XL</v>
          </cell>
          <cell r="B700" t="str">
            <v>HYSC</v>
          </cell>
        </row>
        <row r="701">
          <cell r="A701" t="str">
            <v>HYSCK04XL</v>
          </cell>
          <cell r="B701" t="str">
            <v>HYSC</v>
          </cell>
        </row>
        <row r="702">
          <cell r="A702" t="str">
            <v>HYSCK0L</v>
          </cell>
          <cell r="B702" t="str">
            <v>HYSC</v>
          </cell>
        </row>
        <row r="703">
          <cell r="A703" t="str">
            <v>HYSCK0M</v>
          </cell>
          <cell r="B703" t="str">
            <v>HYSC</v>
          </cell>
        </row>
        <row r="704">
          <cell r="A704" t="str">
            <v>HYSCK0XL</v>
          </cell>
          <cell r="B704" t="str">
            <v>HYSC</v>
          </cell>
        </row>
        <row r="705">
          <cell r="A705" t="str">
            <v>HYSCKQS2XL</v>
          </cell>
          <cell r="B705" t="str">
            <v>HYSC</v>
          </cell>
        </row>
        <row r="706">
          <cell r="A706" t="str">
            <v>HYSCKQS3XL</v>
          </cell>
          <cell r="B706" t="str">
            <v>HYSC</v>
          </cell>
        </row>
        <row r="707">
          <cell r="A707" t="str">
            <v>HYSCKQS4XL</v>
          </cell>
          <cell r="B707" t="str">
            <v>HYSC</v>
          </cell>
        </row>
        <row r="708">
          <cell r="A708" t="str">
            <v>HYSCKQSL</v>
          </cell>
          <cell r="B708" t="str">
            <v>HYSC</v>
          </cell>
        </row>
        <row r="709">
          <cell r="A709" t="str">
            <v>HYSCKQSM</v>
          </cell>
          <cell r="B709" t="str">
            <v>HYSC</v>
          </cell>
        </row>
        <row r="710">
          <cell r="A710" t="str">
            <v>HYSCKQSXL</v>
          </cell>
          <cell r="B710" t="str">
            <v>HYSC</v>
          </cell>
        </row>
        <row r="711">
          <cell r="A711" t="str">
            <v>HYSCMLS2XL</v>
          </cell>
          <cell r="B711" t="str">
            <v>HYSC</v>
          </cell>
        </row>
        <row r="712">
          <cell r="A712" t="str">
            <v>HYSCMLS3XL</v>
          </cell>
          <cell r="B712" t="str">
            <v>HYSC</v>
          </cell>
        </row>
        <row r="713">
          <cell r="A713" t="str">
            <v>HYSCMLS4XL</v>
          </cell>
          <cell r="B713" t="str">
            <v>HYSC</v>
          </cell>
        </row>
        <row r="714">
          <cell r="A714" t="str">
            <v>HYSCMLSL</v>
          </cell>
          <cell r="B714" t="str">
            <v>HYSC</v>
          </cell>
        </row>
        <row r="715">
          <cell r="A715" t="str">
            <v>HYSCMLSM</v>
          </cell>
          <cell r="B715" t="str">
            <v>HYSC</v>
          </cell>
        </row>
        <row r="716">
          <cell r="A716" t="str">
            <v>HYSCMLSXL</v>
          </cell>
          <cell r="B716" t="str">
            <v>HYSC</v>
          </cell>
        </row>
        <row r="717">
          <cell r="A717" t="str">
            <v>HYSCOR2XL</v>
          </cell>
          <cell r="B717" t="str">
            <v>HYSC</v>
          </cell>
        </row>
        <row r="718">
          <cell r="A718" t="str">
            <v>HYSCOR3XL</v>
          </cell>
          <cell r="B718" t="str">
            <v>HYSC</v>
          </cell>
        </row>
        <row r="719">
          <cell r="A719" t="str">
            <v>HYSCOR4XL</v>
          </cell>
          <cell r="B719" t="str">
            <v>HYSC</v>
          </cell>
        </row>
        <row r="720">
          <cell r="A720" t="str">
            <v>HYSCORL</v>
          </cell>
          <cell r="B720" t="str">
            <v>HYSC</v>
          </cell>
        </row>
        <row r="721">
          <cell r="A721" t="str">
            <v>HYSCORM</v>
          </cell>
          <cell r="B721" t="str">
            <v>HYSC</v>
          </cell>
        </row>
        <row r="722">
          <cell r="A722" t="str">
            <v>HYSCORXL</v>
          </cell>
          <cell r="B722" t="str">
            <v>HYSC</v>
          </cell>
        </row>
        <row r="723">
          <cell r="A723" t="str">
            <v>HYSCSL2XL</v>
          </cell>
          <cell r="B723" t="str">
            <v>HYSC</v>
          </cell>
        </row>
        <row r="724">
          <cell r="A724" t="str">
            <v>HYSCSL3XL</v>
          </cell>
          <cell r="B724" t="str">
            <v>HYSC</v>
          </cell>
        </row>
        <row r="725">
          <cell r="A725" t="str">
            <v>HYSCSL4XL</v>
          </cell>
          <cell r="B725" t="str">
            <v>HYSC</v>
          </cell>
        </row>
        <row r="726">
          <cell r="A726" t="str">
            <v>HYSCSLL</v>
          </cell>
          <cell r="B726" t="str">
            <v>HYSC</v>
          </cell>
        </row>
        <row r="727">
          <cell r="A727" t="str">
            <v>HYSCSLM</v>
          </cell>
          <cell r="B727" t="str">
            <v>HYSC</v>
          </cell>
        </row>
        <row r="728">
          <cell r="A728" t="str">
            <v>HYSCSLXL</v>
          </cell>
          <cell r="B728" t="str">
            <v>HYSC</v>
          </cell>
        </row>
        <row r="729">
          <cell r="A729" t="str">
            <v>HYSCW02XL</v>
          </cell>
          <cell r="B729" t="str">
            <v>HYSC</v>
          </cell>
        </row>
        <row r="730">
          <cell r="A730" t="str">
            <v>HYSCW03XL</v>
          </cell>
          <cell r="B730" t="str">
            <v>HYSC</v>
          </cell>
        </row>
        <row r="731">
          <cell r="A731" t="str">
            <v>HYSCW04XL</v>
          </cell>
          <cell r="B731" t="str">
            <v>HYSC</v>
          </cell>
        </row>
        <row r="732">
          <cell r="A732" t="str">
            <v>HYSCW0L</v>
          </cell>
          <cell r="B732" t="str">
            <v>HYSC</v>
          </cell>
        </row>
        <row r="733">
          <cell r="A733" t="str">
            <v>HYSCW0M</v>
          </cell>
          <cell r="B733" t="str">
            <v>HYSC</v>
          </cell>
        </row>
        <row r="734">
          <cell r="A734" t="str">
            <v>HYSCW0XL</v>
          </cell>
          <cell r="B734" t="str">
            <v>HYSC</v>
          </cell>
        </row>
        <row r="735">
          <cell r="A735" t="str">
            <v>HYSCYGL2XL</v>
          </cell>
          <cell r="B735" t="str">
            <v>HYSC</v>
          </cell>
        </row>
        <row r="736">
          <cell r="A736" t="str">
            <v>HYSCYGL3XL</v>
          </cell>
          <cell r="B736" t="str">
            <v>HYSC</v>
          </cell>
        </row>
        <row r="737">
          <cell r="A737" t="str">
            <v>HYSCYGL4XL</v>
          </cell>
          <cell r="B737" t="str">
            <v>HYSC</v>
          </cell>
        </row>
        <row r="738">
          <cell r="A738" t="str">
            <v>HYSCYGLL</v>
          </cell>
          <cell r="B738" t="str">
            <v>HYSC</v>
          </cell>
        </row>
        <row r="739">
          <cell r="A739" t="str">
            <v>HYSCYGLM</v>
          </cell>
          <cell r="B739" t="str">
            <v>HYSC</v>
          </cell>
        </row>
        <row r="740">
          <cell r="A740" t="str">
            <v>HYSCYGLXL</v>
          </cell>
          <cell r="B740" t="str">
            <v>HYSC</v>
          </cell>
        </row>
        <row r="741">
          <cell r="A741" t="str">
            <v>HZIMUYH0</v>
          </cell>
          <cell r="B741" t="str">
            <v>HYSC</v>
          </cell>
        </row>
        <row r="742">
          <cell r="A742" t="str">
            <v>HZIMUYH1</v>
          </cell>
          <cell r="B742" t="str">
            <v>HYSC</v>
          </cell>
        </row>
        <row r="743">
          <cell r="A743" t="str">
            <v>HZIMUYH2</v>
          </cell>
          <cell r="B743" t="str">
            <v>HYSC</v>
          </cell>
        </row>
        <row r="744">
          <cell r="A744" t="str">
            <v>HZIMUYH3</v>
          </cell>
          <cell r="B744" t="str">
            <v>HZIMUYH</v>
          </cell>
        </row>
        <row r="745">
          <cell r="A745" t="str">
            <v>HZIMUYH4</v>
          </cell>
          <cell r="B745" t="str">
            <v>HZIMUYH</v>
          </cell>
        </row>
        <row r="746">
          <cell r="A746" t="str">
            <v>HZIMUYH5</v>
          </cell>
          <cell r="B746" t="str">
            <v>HZIMUYH</v>
          </cell>
        </row>
        <row r="747">
          <cell r="A747" t="str">
            <v>HZIMUYH6</v>
          </cell>
          <cell r="B747" t="str">
            <v>HZIMUYH</v>
          </cell>
        </row>
        <row r="748">
          <cell r="A748" t="str">
            <v>HZIMUYH7</v>
          </cell>
          <cell r="B748" t="str">
            <v>HZIMUYH</v>
          </cell>
        </row>
        <row r="749">
          <cell r="A749" t="str">
            <v>HZIMUYH8</v>
          </cell>
          <cell r="B749" t="str">
            <v>HZIMUYH</v>
          </cell>
        </row>
        <row r="750">
          <cell r="A750" t="str">
            <v>HZIMUYH9</v>
          </cell>
          <cell r="B750" t="str">
            <v>HZIMUYH</v>
          </cell>
        </row>
        <row r="751">
          <cell r="A751" t="str">
            <v>HZQZB0L</v>
          </cell>
          <cell r="B751" t="str">
            <v>HZIMUYH</v>
          </cell>
        </row>
        <row r="752">
          <cell r="A752" t="str">
            <v>HZQZB0M</v>
          </cell>
          <cell r="B752" t="str">
            <v>HZIMUYH</v>
          </cell>
        </row>
        <row r="753">
          <cell r="A753" t="str">
            <v>HZQZB0XL</v>
          </cell>
          <cell r="B753" t="str">
            <v>HZIMUYH</v>
          </cell>
        </row>
        <row r="754">
          <cell r="A754" t="str">
            <v>HZQZCSL</v>
          </cell>
          <cell r="B754" t="str">
            <v>HZQZ</v>
          </cell>
        </row>
        <row r="755">
          <cell r="A755" t="str">
            <v>HZQZCSM</v>
          </cell>
          <cell r="B755" t="str">
            <v>HZQZ</v>
          </cell>
        </row>
        <row r="756">
          <cell r="A756" t="str">
            <v>HZQZCSXL</v>
          </cell>
          <cell r="B756" t="str">
            <v>HZQZ</v>
          </cell>
        </row>
        <row r="757">
          <cell r="A757" t="str">
            <v>HZQZG0L</v>
          </cell>
          <cell r="B757" t="str">
            <v>HZQZ</v>
          </cell>
        </row>
        <row r="758">
          <cell r="A758" t="str">
            <v>HZQZG0M</v>
          </cell>
          <cell r="B758" t="str">
            <v>HZQZ</v>
          </cell>
        </row>
        <row r="759">
          <cell r="A759" t="str">
            <v>HZQZG0XL</v>
          </cell>
          <cell r="B759" t="str">
            <v>HZQZ</v>
          </cell>
        </row>
        <row r="760">
          <cell r="A760" t="str">
            <v>HZQZJHSL</v>
          </cell>
          <cell r="B760" t="str">
            <v>HZQZ</v>
          </cell>
        </row>
        <row r="761">
          <cell r="A761" t="str">
            <v>HZQZJHSM</v>
          </cell>
          <cell r="B761" t="str">
            <v>HZQZ</v>
          </cell>
        </row>
        <row r="762">
          <cell r="A762" t="str">
            <v>HZQZJHSXL</v>
          </cell>
          <cell r="B762" t="str">
            <v>HZQZ</v>
          </cell>
        </row>
        <row r="763">
          <cell r="A763" t="str">
            <v>HZQZMHL</v>
          </cell>
          <cell r="B763" t="str">
            <v>HZQZ</v>
          </cell>
        </row>
        <row r="764">
          <cell r="A764" t="str">
            <v>HZQZMHM</v>
          </cell>
          <cell r="B764" t="str">
            <v>HZQZ</v>
          </cell>
        </row>
        <row r="765">
          <cell r="A765" t="str">
            <v>HZQZMHXL</v>
          </cell>
          <cell r="B765" t="str">
            <v>HZQZ</v>
          </cell>
        </row>
        <row r="766">
          <cell r="A766" t="str">
            <v>JBL-CTCSCSL</v>
          </cell>
          <cell r="B766" t="str">
            <v>HZQZ</v>
          </cell>
        </row>
        <row r="767">
          <cell r="A767" t="str">
            <v>JBL-CTCSCSM</v>
          </cell>
          <cell r="B767" t="str">
            <v>HZQZ</v>
          </cell>
        </row>
        <row r="768">
          <cell r="A768" t="str">
            <v>JBL-CTCSCSS</v>
          </cell>
          <cell r="B768" t="str">
            <v>HZQZ</v>
          </cell>
        </row>
        <row r="769">
          <cell r="A769" t="str">
            <v>JBL-CTCSCSXL</v>
          </cell>
          <cell r="B769" t="str">
            <v>JBL-CTCS</v>
          </cell>
        </row>
        <row r="770">
          <cell r="A770" t="str">
            <v>JBL-CTCSCSXS</v>
          </cell>
          <cell r="B770" t="str">
            <v>JBL-CTCS</v>
          </cell>
        </row>
        <row r="771">
          <cell r="A771" t="str">
            <v>JBL-CTFHSHLL</v>
          </cell>
          <cell r="B771" t="str">
            <v>JBL-CTCS</v>
          </cell>
        </row>
        <row r="772">
          <cell r="A772" t="str">
            <v>JBL-CTFHSHLM</v>
          </cell>
          <cell r="B772" t="str">
            <v>JBL-CTCS</v>
          </cell>
        </row>
        <row r="773">
          <cell r="A773" t="str">
            <v>JBL-CTFHSHLS</v>
          </cell>
          <cell r="B773" t="str">
            <v>JBL-CTCS</v>
          </cell>
        </row>
        <row r="774">
          <cell r="A774" t="str">
            <v>JBL-CTFHSHLXL</v>
          </cell>
          <cell r="B774" t="str">
            <v>JBL-CTFHS</v>
          </cell>
        </row>
        <row r="775">
          <cell r="A775" t="str">
            <v>JBL-CTFHSHLXS</v>
          </cell>
          <cell r="B775" t="str">
            <v>JBL-CTFHS</v>
          </cell>
        </row>
        <row r="776">
          <cell r="A776" t="str">
            <v>JBL-CTFHSR5L</v>
          </cell>
          <cell r="B776" t="str">
            <v>JBL-CTFHS</v>
          </cell>
        </row>
        <row r="777">
          <cell r="A777" t="str">
            <v>JBL-CTFHSR5M</v>
          </cell>
          <cell r="B777" t="str">
            <v>JBL-CTFHS</v>
          </cell>
        </row>
        <row r="778">
          <cell r="A778" t="str">
            <v>JBL-CTFHSR5S</v>
          </cell>
          <cell r="B778" t="str">
            <v>JBL-CTFHS</v>
          </cell>
        </row>
        <row r="779">
          <cell r="A779" t="str">
            <v>JBL-CTFHSR5XL</v>
          </cell>
          <cell r="B779" t="str">
            <v>JBL-CTFHS</v>
          </cell>
        </row>
        <row r="780">
          <cell r="A780" t="str">
            <v>JBL-CTFHSR5XS</v>
          </cell>
          <cell r="B780" t="str">
            <v>JBL-CTFHS</v>
          </cell>
        </row>
        <row r="781">
          <cell r="A781" t="str">
            <v>JBL-CTHHSE0L</v>
          </cell>
          <cell r="B781" t="str">
            <v>JBL-CTFHS</v>
          </cell>
        </row>
        <row r="782">
          <cell r="A782" t="str">
            <v>JBL-CTHHSE0M</v>
          </cell>
          <cell r="B782" t="str">
            <v>JBL-CTFHS</v>
          </cell>
        </row>
        <row r="783">
          <cell r="A783" t="str">
            <v>JBL-CTHHSE0S</v>
          </cell>
          <cell r="B783" t="str">
            <v>JBL-CTFHS</v>
          </cell>
        </row>
        <row r="784">
          <cell r="A784" t="str">
            <v>JBL-CTHHSE0XL</v>
          </cell>
          <cell r="B784" t="str">
            <v>JBL-CTHHS</v>
          </cell>
        </row>
        <row r="785">
          <cell r="A785" t="str">
            <v>JBL-CTHHSE0XS</v>
          </cell>
          <cell r="B785" t="str">
            <v>JBL-CTHHS</v>
          </cell>
        </row>
        <row r="786">
          <cell r="A786" t="str">
            <v>JBL-CTHHSR0L</v>
          </cell>
          <cell r="B786" t="str">
            <v>JBL-CTHHS</v>
          </cell>
        </row>
        <row r="787">
          <cell r="A787" t="str">
            <v>JBL-CTHHSR0M</v>
          </cell>
          <cell r="B787" t="str">
            <v>JBL-CTHHS</v>
          </cell>
        </row>
        <row r="788">
          <cell r="A788" t="str">
            <v>JBL-CTHHSR0S</v>
          </cell>
          <cell r="B788" t="str">
            <v>JBL-CTHHS</v>
          </cell>
        </row>
        <row r="789">
          <cell r="A789" t="str">
            <v>JBL-CTHHSR0XL</v>
          </cell>
          <cell r="B789" t="str">
            <v>JBL-CTHHS</v>
          </cell>
        </row>
        <row r="790">
          <cell r="A790" t="str">
            <v>JBL-CTHHSR0XS</v>
          </cell>
          <cell r="B790" t="str">
            <v>JBL-CTHHS</v>
          </cell>
        </row>
        <row r="791">
          <cell r="A791" t="str">
            <v>JBL-CTHLSB0L</v>
          </cell>
          <cell r="B791" t="str">
            <v>JBL-CTHHS</v>
          </cell>
        </row>
        <row r="792">
          <cell r="A792" t="str">
            <v>JBL-CTHLSB0M</v>
          </cell>
          <cell r="B792" t="str">
            <v>JBL-CTHHS</v>
          </cell>
        </row>
        <row r="793">
          <cell r="A793" t="str">
            <v>JBL-CTHLSB0S</v>
          </cell>
          <cell r="B793" t="str">
            <v>JBL-CTHHS</v>
          </cell>
        </row>
        <row r="794">
          <cell r="A794" t="str">
            <v>JBL-CTHLSB0XL</v>
          </cell>
          <cell r="B794" t="str">
            <v>JBL-CTHLS</v>
          </cell>
        </row>
        <row r="795">
          <cell r="A795" t="str">
            <v>JBL-CTHLSB0XS</v>
          </cell>
          <cell r="B795" t="str">
            <v>JBL-CTHLS</v>
          </cell>
        </row>
        <row r="796">
          <cell r="A796" t="str">
            <v>JBL-CTHLSK0L</v>
          </cell>
          <cell r="B796" t="str">
            <v>JBL-CTHLS</v>
          </cell>
        </row>
        <row r="797">
          <cell r="A797" t="str">
            <v>JBL-CTHLSK0M</v>
          </cell>
          <cell r="B797" t="str">
            <v>JBL-CTHLS</v>
          </cell>
        </row>
        <row r="798">
          <cell r="A798" t="str">
            <v>JBL-CTHLSK0S</v>
          </cell>
          <cell r="B798" t="str">
            <v>JBL-CTHLS</v>
          </cell>
        </row>
        <row r="799">
          <cell r="A799" t="str">
            <v>JBL-CTHLSK0XL</v>
          </cell>
          <cell r="B799" t="str">
            <v>JBL-CTHLS</v>
          </cell>
        </row>
        <row r="800">
          <cell r="A800" t="str">
            <v>JBL-CTHLSK0XS</v>
          </cell>
          <cell r="B800" t="str">
            <v>JBL-CTHLS</v>
          </cell>
        </row>
        <row r="801">
          <cell r="A801" t="str">
            <v>JBLKTK1</v>
          </cell>
          <cell r="B801" t="str">
            <v>JBL-CTHLS</v>
          </cell>
        </row>
        <row r="802">
          <cell r="A802" t="str">
            <v>JBLKTK10</v>
          </cell>
          <cell r="B802" t="str">
            <v>JBL-CTHLS</v>
          </cell>
        </row>
        <row r="803">
          <cell r="A803" t="str">
            <v>JBLKTK11</v>
          </cell>
          <cell r="B803" t="str">
            <v>JBL-CTHLS</v>
          </cell>
        </row>
        <row r="804">
          <cell r="A804" t="str">
            <v>JBLKTK12</v>
          </cell>
          <cell r="B804" t="str">
            <v>JBLKTK</v>
          </cell>
        </row>
        <row r="805">
          <cell r="A805" t="str">
            <v>JBLKTK13</v>
          </cell>
          <cell r="B805" t="str">
            <v>JBLKTK</v>
          </cell>
        </row>
        <row r="806">
          <cell r="A806" t="str">
            <v>JBLKTK14</v>
          </cell>
          <cell r="B806" t="str">
            <v>JBLKTK</v>
          </cell>
        </row>
        <row r="807">
          <cell r="A807" t="str">
            <v>JBLKTK15</v>
          </cell>
          <cell r="B807" t="str">
            <v>JBLKTK</v>
          </cell>
        </row>
        <row r="808">
          <cell r="A808" t="str">
            <v>JBLKTK16</v>
          </cell>
          <cell r="B808" t="str">
            <v>JBLKTK</v>
          </cell>
        </row>
        <row r="809">
          <cell r="A809" t="str">
            <v>JBLKTK17</v>
          </cell>
          <cell r="B809" t="str">
            <v>JBLKTK</v>
          </cell>
        </row>
        <row r="810">
          <cell r="A810" t="str">
            <v>JBLKTK18</v>
          </cell>
          <cell r="B810" t="str">
            <v>JBLKTK</v>
          </cell>
        </row>
        <row r="811">
          <cell r="A811" t="str">
            <v>JBLKTK19</v>
          </cell>
          <cell r="B811" t="str">
            <v>JBLKTK</v>
          </cell>
        </row>
        <row r="812">
          <cell r="A812" t="str">
            <v>JBLKTK2</v>
          </cell>
          <cell r="B812" t="str">
            <v>JBLKTK</v>
          </cell>
        </row>
        <row r="813">
          <cell r="A813" t="str">
            <v>JBLKTK20</v>
          </cell>
          <cell r="B813" t="str">
            <v>JBLKTK</v>
          </cell>
        </row>
        <row r="814">
          <cell r="A814" t="str">
            <v>JBLKTK21</v>
          </cell>
          <cell r="B814" t="str">
            <v>JBLKTK</v>
          </cell>
        </row>
        <row r="815">
          <cell r="A815" t="str">
            <v>JBLKTK22</v>
          </cell>
          <cell r="B815" t="str">
            <v>JBLKTK</v>
          </cell>
        </row>
        <row r="816">
          <cell r="A816" t="str">
            <v>JBLKTK23</v>
          </cell>
          <cell r="B816" t="str">
            <v>JBLKTK</v>
          </cell>
        </row>
        <row r="817">
          <cell r="A817" t="str">
            <v>JBLKTK24</v>
          </cell>
          <cell r="B817" t="str">
            <v>JBLKTK</v>
          </cell>
        </row>
        <row r="818">
          <cell r="A818" t="str">
            <v>JBLKTK25</v>
          </cell>
          <cell r="B818" t="str">
            <v>JBLKTK</v>
          </cell>
        </row>
        <row r="819">
          <cell r="A819" t="str">
            <v>JBLKTK26</v>
          </cell>
          <cell r="B819" t="str">
            <v>JBLKTK</v>
          </cell>
        </row>
        <row r="820">
          <cell r="A820" t="str">
            <v>JBLKTK27</v>
          </cell>
          <cell r="B820" t="str">
            <v>JBLKTK</v>
          </cell>
        </row>
        <row r="821">
          <cell r="A821" t="str">
            <v>JBLKTK28</v>
          </cell>
          <cell r="B821" t="str">
            <v>JBLKTK</v>
          </cell>
        </row>
        <row r="822">
          <cell r="A822" t="str">
            <v>JBLKTK29</v>
          </cell>
          <cell r="B822" t="str">
            <v>JBLKTK</v>
          </cell>
        </row>
        <row r="823">
          <cell r="A823" t="str">
            <v>JBLKTK3</v>
          </cell>
          <cell r="B823" t="str">
            <v>JBLKTK</v>
          </cell>
        </row>
        <row r="824">
          <cell r="A824" t="str">
            <v>JBLKTK30</v>
          </cell>
          <cell r="B824" t="str">
            <v>JBLKTK</v>
          </cell>
        </row>
        <row r="825">
          <cell r="A825" t="str">
            <v>JBLKTK31</v>
          </cell>
          <cell r="B825" t="str">
            <v>JBLKTK</v>
          </cell>
        </row>
        <row r="826">
          <cell r="A826" t="str">
            <v>JBLKTK32</v>
          </cell>
          <cell r="B826" t="str">
            <v>JBLKTK</v>
          </cell>
        </row>
        <row r="827">
          <cell r="A827" t="str">
            <v>JBLKTK33</v>
          </cell>
          <cell r="B827" t="str">
            <v>JBLKTK</v>
          </cell>
        </row>
        <row r="828">
          <cell r="A828" t="str">
            <v>JBLKTK34</v>
          </cell>
          <cell r="B828" t="str">
            <v>JBLKTK</v>
          </cell>
        </row>
        <row r="829">
          <cell r="A829" t="str">
            <v>JBLKTK35</v>
          </cell>
          <cell r="B829" t="str">
            <v>JBLKTK</v>
          </cell>
        </row>
        <row r="830">
          <cell r="A830" t="str">
            <v>JBLKTK36</v>
          </cell>
          <cell r="B830" t="str">
            <v>JBLKTK</v>
          </cell>
        </row>
        <row r="831">
          <cell r="A831" t="str">
            <v>JBLKTK37</v>
          </cell>
          <cell r="B831" t="str">
            <v>JBLKTK</v>
          </cell>
        </row>
        <row r="832">
          <cell r="A832" t="str">
            <v>JBLKTK38</v>
          </cell>
          <cell r="B832" t="str">
            <v>JBLKTK</v>
          </cell>
        </row>
        <row r="833">
          <cell r="A833" t="str">
            <v>JBLKTK39</v>
          </cell>
          <cell r="B833" t="str">
            <v>JBLKTK</v>
          </cell>
        </row>
        <row r="834">
          <cell r="A834" t="str">
            <v>JBLKTK4</v>
          </cell>
          <cell r="B834" t="str">
            <v>JBLKTK</v>
          </cell>
        </row>
        <row r="835">
          <cell r="A835" t="str">
            <v>JBLKTK40</v>
          </cell>
          <cell r="B835" t="str">
            <v>JBLKTK</v>
          </cell>
        </row>
        <row r="836">
          <cell r="A836" t="str">
            <v>JBLKTK41</v>
          </cell>
          <cell r="B836" t="str">
            <v>JBLKTK</v>
          </cell>
        </row>
        <row r="837">
          <cell r="A837" t="str">
            <v>JBLKTK42</v>
          </cell>
          <cell r="B837" t="str">
            <v>JBLKTK</v>
          </cell>
        </row>
        <row r="838">
          <cell r="A838" t="str">
            <v>JBLKTK43</v>
          </cell>
          <cell r="B838" t="str">
            <v>JBLKTK</v>
          </cell>
        </row>
        <row r="839">
          <cell r="A839" t="str">
            <v>JBLKTK44</v>
          </cell>
          <cell r="B839" t="str">
            <v>JBLKTK</v>
          </cell>
        </row>
        <row r="840">
          <cell r="A840" t="str">
            <v>JBLKTK45</v>
          </cell>
          <cell r="B840" t="str">
            <v>JBLKTK</v>
          </cell>
        </row>
        <row r="841">
          <cell r="A841" t="str">
            <v>JBLKTK46</v>
          </cell>
          <cell r="B841" t="str">
            <v>JBLKTK</v>
          </cell>
        </row>
        <row r="842">
          <cell r="A842" t="str">
            <v>JBLKTK47</v>
          </cell>
          <cell r="B842" t="str">
            <v>JBLKTK</v>
          </cell>
        </row>
        <row r="843">
          <cell r="A843" t="str">
            <v>JBLKTK48</v>
          </cell>
          <cell r="B843" t="str">
            <v>JBLKTK</v>
          </cell>
        </row>
        <row r="844">
          <cell r="A844" t="str">
            <v>JBLKTK49</v>
          </cell>
          <cell r="B844" t="str">
            <v>JBLKTK</v>
          </cell>
        </row>
        <row r="845">
          <cell r="A845" t="str">
            <v>JBLKTK5</v>
          </cell>
          <cell r="B845" t="str">
            <v>JBLKTK</v>
          </cell>
        </row>
        <row r="846">
          <cell r="A846" t="str">
            <v>JBLKTK50</v>
          </cell>
          <cell r="B846" t="str">
            <v>JBLKTK</v>
          </cell>
        </row>
        <row r="847">
          <cell r="A847" t="str">
            <v>JBLKTK51</v>
          </cell>
          <cell r="B847" t="str">
            <v>JBLKTK</v>
          </cell>
        </row>
        <row r="848">
          <cell r="A848" t="str">
            <v>JBLKTK52</v>
          </cell>
          <cell r="B848" t="str">
            <v>JBLKTK</v>
          </cell>
        </row>
        <row r="849">
          <cell r="A849" t="str">
            <v>JBLKTK53</v>
          </cell>
          <cell r="B849" t="str">
            <v>JBLKTK</v>
          </cell>
        </row>
        <row r="850">
          <cell r="A850" t="str">
            <v>JBLKTK54</v>
          </cell>
          <cell r="B850" t="str">
            <v>JBLKTK</v>
          </cell>
        </row>
        <row r="851">
          <cell r="A851" t="str">
            <v>JBLKTK55</v>
          </cell>
          <cell r="B851" t="str">
            <v>JBLKTK</v>
          </cell>
        </row>
        <row r="852">
          <cell r="A852" t="str">
            <v>JBLKTK56</v>
          </cell>
          <cell r="B852" t="str">
            <v>JBLKTK</v>
          </cell>
        </row>
        <row r="853">
          <cell r="A853" t="str">
            <v>JBLKTK57</v>
          </cell>
          <cell r="B853" t="str">
            <v>JBLKTK</v>
          </cell>
        </row>
        <row r="854">
          <cell r="A854" t="str">
            <v>JBLKTK58</v>
          </cell>
          <cell r="B854" t="str">
            <v>JBLKTK</v>
          </cell>
        </row>
        <row r="855">
          <cell r="A855" t="str">
            <v>JBLKTK59</v>
          </cell>
          <cell r="B855" t="str">
            <v>JBLKTK</v>
          </cell>
        </row>
        <row r="856">
          <cell r="A856" t="str">
            <v>JBLKTK6</v>
          </cell>
          <cell r="B856" t="str">
            <v>JBLKTK</v>
          </cell>
        </row>
        <row r="857">
          <cell r="A857" t="str">
            <v>JBLKTK60</v>
          </cell>
          <cell r="B857" t="str">
            <v>JBLKTK</v>
          </cell>
        </row>
        <row r="858">
          <cell r="A858" t="str">
            <v>JBLKTK61</v>
          </cell>
          <cell r="B858" t="str">
            <v>JBLKTK</v>
          </cell>
        </row>
        <row r="859">
          <cell r="A859" t="str">
            <v>JBLKTK62</v>
          </cell>
          <cell r="B859" t="str">
            <v>JBLKTK</v>
          </cell>
        </row>
        <row r="860">
          <cell r="A860" t="str">
            <v>JBLKTK63</v>
          </cell>
          <cell r="B860" t="str">
            <v>JBLKTK</v>
          </cell>
        </row>
        <row r="861">
          <cell r="A861" t="str">
            <v>JBLKTK64</v>
          </cell>
          <cell r="B861" t="str">
            <v>JBLKTK</v>
          </cell>
        </row>
        <row r="862">
          <cell r="A862" t="str">
            <v>JBLKTK65</v>
          </cell>
          <cell r="B862" t="str">
            <v>JBLKTK</v>
          </cell>
        </row>
        <row r="863">
          <cell r="A863" t="str">
            <v>JBLKTK66</v>
          </cell>
          <cell r="B863" t="str">
            <v>JBLKTK</v>
          </cell>
        </row>
        <row r="864">
          <cell r="A864" t="str">
            <v>JBLKTK67</v>
          </cell>
          <cell r="B864" t="str">
            <v>JBLKTK</v>
          </cell>
        </row>
        <row r="865">
          <cell r="A865" t="str">
            <v>JBLKTK68</v>
          </cell>
          <cell r="B865" t="str">
            <v>JBLKTK</v>
          </cell>
        </row>
        <row r="866">
          <cell r="A866" t="str">
            <v>JBLKTK69</v>
          </cell>
          <cell r="B866" t="str">
            <v>JBLKTK</v>
          </cell>
        </row>
        <row r="867">
          <cell r="A867" t="str">
            <v>JBLKTK7</v>
          </cell>
          <cell r="B867" t="str">
            <v>JBLKTK</v>
          </cell>
        </row>
        <row r="868">
          <cell r="A868" t="str">
            <v>JBLKTK70</v>
          </cell>
          <cell r="B868" t="str">
            <v>JBLKTK</v>
          </cell>
        </row>
        <row r="869">
          <cell r="A869" t="str">
            <v>JBLKTK71</v>
          </cell>
          <cell r="B869" t="str">
            <v>JBLKTK</v>
          </cell>
        </row>
        <row r="870">
          <cell r="A870" t="str">
            <v>JBLKTK72</v>
          </cell>
          <cell r="B870" t="str">
            <v>JBLKTK</v>
          </cell>
        </row>
        <row r="871">
          <cell r="A871" t="str">
            <v>JBLKTK73</v>
          </cell>
          <cell r="B871" t="str">
            <v>JBLKTK</v>
          </cell>
        </row>
        <row r="872">
          <cell r="A872" t="str">
            <v>JBLKTK74</v>
          </cell>
          <cell r="B872" t="str">
            <v>JBLKTK</v>
          </cell>
        </row>
        <row r="873">
          <cell r="A873" t="str">
            <v>JBLKTK75</v>
          </cell>
          <cell r="B873" t="str">
            <v>JBLKTK</v>
          </cell>
        </row>
        <row r="874">
          <cell r="A874" t="str">
            <v>JBLKTK76</v>
          </cell>
          <cell r="B874" t="str">
            <v>JBLKTK</v>
          </cell>
        </row>
        <row r="875">
          <cell r="A875" t="str">
            <v>JBLKTK77</v>
          </cell>
          <cell r="B875" t="str">
            <v>JBLKTK</v>
          </cell>
        </row>
        <row r="876">
          <cell r="A876" t="str">
            <v>JBLKTK78</v>
          </cell>
          <cell r="B876" t="str">
            <v>JBLKTK</v>
          </cell>
        </row>
        <row r="877">
          <cell r="A877" t="str">
            <v>JBLKTK79</v>
          </cell>
          <cell r="B877" t="str">
            <v>JBLKTK</v>
          </cell>
        </row>
        <row r="878">
          <cell r="A878" t="str">
            <v>JBLKTK8</v>
          </cell>
          <cell r="B878" t="str">
            <v>JBLKTK</v>
          </cell>
        </row>
        <row r="879">
          <cell r="A879" t="str">
            <v>JBLKTK80</v>
          </cell>
          <cell r="B879" t="str">
            <v>JBLKTK</v>
          </cell>
        </row>
        <row r="880">
          <cell r="A880" t="str">
            <v>JBLKTK81</v>
          </cell>
          <cell r="B880" t="str">
            <v>JBLKTK</v>
          </cell>
        </row>
        <row r="881">
          <cell r="A881" t="str">
            <v>JBLKTK82</v>
          </cell>
          <cell r="B881" t="str">
            <v>JBLKTK</v>
          </cell>
        </row>
        <row r="882">
          <cell r="A882" t="str">
            <v>JBLKTK83</v>
          </cell>
          <cell r="B882" t="str">
            <v>JBLKTK</v>
          </cell>
        </row>
        <row r="883">
          <cell r="A883" t="str">
            <v>JBLKTK84</v>
          </cell>
          <cell r="B883" t="str">
            <v>JBLKTK</v>
          </cell>
        </row>
        <row r="884">
          <cell r="A884" t="str">
            <v>JBLKTK85</v>
          </cell>
          <cell r="B884" t="str">
            <v>JBLKTK</v>
          </cell>
        </row>
        <row r="885">
          <cell r="A885" t="str">
            <v>JBLKTK86</v>
          </cell>
          <cell r="B885" t="str">
            <v>JBLKTK</v>
          </cell>
        </row>
        <row r="886">
          <cell r="A886" t="str">
            <v>JBLKTK87</v>
          </cell>
          <cell r="B886" t="str">
            <v>JBLKTK</v>
          </cell>
        </row>
        <row r="887">
          <cell r="A887" t="str">
            <v>JBLKTK88</v>
          </cell>
          <cell r="B887" t="str">
            <v>JBLKTK</v>
          </cell>
        </row>
        <row r="888">
          <cell r="A888" t="str">
            <v>JBLKTK89</v>
          </cell>
          <cell r="B888" t="str">
            <v>JBLKTK</v>
          </cell>
        </row>
        <row r="889">
          <cell r="A889" t="str">
            <v>JBLKTK9</v>
          </cell>
          <cell r="B889" t="str">
            <v>JBLKTK</v>
          </cell>
        </row>
        <row r="890">
          <cell r="A890" t="str">
            <v>JBLKTK90</v>
          </cell>
          <cell r="B890" t="str">
            <v>JBLKTK</v>
          </cell>
        </row>
        <row r="891">
          <cell r="A891" t="str">
            <v>JBL-QFFMMHL</v>
          </cell>
          <cell r="B891" t="str">
            <v>JBLKTK</v>
          </cell>
        </row>
        <row r="892">
          <cell r="A892" t="str">
            <v>JBL-QFFMMHM</v>
          </cell>
          <cell r="B892" t="str">
            <v>JBLKTK</v>
          </cell>
        </row>
        <row r="893">
          <cell r="A893" t="str">
            <v>JBL-QFFMMHS</v>
          </cell>
          <cell r="B893" t="str">
            <v>JBLKTK</v>
          </cell>
        </row>
        <row r="894">
          <cell r="A894" t="str">
            <v>JBL-QFFMMHXL</v>
          </cell>
          <cell r="B894" t="str">
            <v>JBL-QFFM</v>
          </cell>
        </row>
        <row r="895">
          <cell r="A895" t="str">
            <v>JBL-QFFMMHXS</v>
          </cell>
          <cell r="B895" t="str">
            <v>JBL-QFFM</v>
          </cell>
        </row>
        <row r="896">
          <cell r="A896" t="str">
            <v>JBL-QFFMMHXXL</v>
          </cell>
          <cell r="B896" t="str">
            <v>JBL-QFFM</v>
          </cell>
        </row>
        <row r="897">
          <cell r="A897" t="str">
            <v>JBL-QFFMR5L</v>
          </cell>
          <cell r="B897" t="str">
            <v>JBL-QFFM</v>
          </cell>
        </row>
        <row r="898">
          <cell r="A898" t="str">
            <v>JBL-QFFMR5M</v>
          </cell>
          <cell r="B898" t="str">
            <v>JBL-QFFM</v>
          </cell>
        </row>
        <row r="899">
          <cell r="A899" t="str">
            <v>JBL-QFFMR5S</v>
          </cell>
          <cell r="B899" t="str">
            <v>JBL-QFFM</v>
          </cell>
        </row>
        <row r="900">
          <cell r="A900" t="str">
            <v>JBL-QFFMR5XL</v>
          </cell>
          <cell r="B900" t="str">
            <v>JBL-QFFM</v>
          </cell>
        </row>
        <row r="901">
          <cell r="A901" t="str">
            <v>JBL-QFFMR5XS</v>
          </cell>
          <cell r="B901" t="str">
            <v>JBL-QFFM</v>
          </cell>
        </row>
        <row r="902">
          <cell r="A902" t="str">
            <v>JBL-QFFMR5XXL</v>
          </cell>
          <cell r="B902" t="str">
            <v>JBL-QFFM</v>
          </cell>
        </row>
        <row r="903">
          <cell r="A903" t="str">
            <v>JBL-QFHHE0L</v>
          </cell>
          <cell r="B903" t="str">
            <v>JBL-QFFM</v>
          </cell>
        </row>
        <row r="904">
          <cell r="A904" t="str">
            <v>JBL-QFHHE0M</v>
          </cell>
          <cell r="B904" t="str">
            <v>JBL-QFFM</v>
          </cell>
        </row>
        <row r="905">
          <cell r="A905" t="str">
            <v>JBL-QFHHE0S</v>
          </cell>
          <cell r="B905" t="str">
            <v>JBL-QFFM</v>
          </cell>
        </row>
        <row r="906">
          <cell r="A906" t="str">
            <v>JBL-QFHHE0XL</v>
          </cell>
          <cell r="B906" t="str">
            <v>JBL-QFHH</v>
          </cell>
        </row>
        <row r="907">
          <cell r="A907" t="str">
            <v>JBL-QFHHE0XS</v>
          </cell>
          <cell r="B907" t="str">
            <v>JBL-QFHH</v>
          </cell>
        </row>
        <row r="908">
          <cell r="A908" t="str">
            <v>JBL-QFHHE0XXL</v>
          </cell>
          <cell r="B908" t="str">
            <v>JBL-QFHH</v>
          </cell>
        </row>
        <row r="909">
          <cell r="A909" t="str">
            <v>JBL-QFHHHLL</v>
          </cell>
          <cell r="B909" t="str">
            <v>JBL-QFHH</v>
          </cell>
        </row>
        <row r="910">
          <cell r="A910" t="str">
            <v>JBL-QFHHHLM</v>
          </cell>
          <cell r="B910" t="str">
            <v>JBL-QFHH</v>
          </cell>
        </row>
        <row r="911">
          <cell r="A911" t="str">
            <v>JBL-QFHHHLS</v>
          </cell>
          <cell r="B911" t="str">
            <v>JBL-QFHH</v>
          </cell>
        </row>
        <row r="912">
          <cell r="A912" t="str">
            <v>JBL-QFHHHLXL</v>
          </cell>
          <cell r="B912" t="str">
            <v>JBL-QFHL</v>
          </cell>
        </row>
        <row r="913">
          <cell r="A913" t="str">
            <v>JBL-QFHHHLXS</v>
          </cell>
          <cell r="B913" t="str">
            <v>JBL-QFHL</v>
          </cell>
        </row>
        <row r="914">
          <cell r="A914" t="str">
            <v>JBL-QFHHHLXXL</v>
          </cell>
          <cell r="B914" t="str">
            <v>JBL-QFHL</v>
          </cell>
        </row>
        <row r="915">
          <cell r="A915" t="str">
            <v>JBL-QFHHK0L</v>
          </cell>
          <cell r="B915" t="str">
            <v>JBL-QFHL</v>
          </cell>
        </row>
        <row r="916">
          <cell r="A916" t="str">
            <v>JBL-QFHHK0M</v>
          </cell>
          <cell r="B916" t="str">
            <v>JBL-QFHL</v>
          </cell>
        </row>
        <row r="917">
          <cell r="A917" t="str">
            <v>JBL-QFHHK0S</v>
          </cell>
          <cell r="B917" t="str">
            <v>JBL-QFHL</v>
          </cell>
        </row>
        <row r="918">
          <cell r="A918" t="str">
            <v>JBL-QFHHK0XL</v>
          </cell>
          <cell r="B918" t="str">
            <v>JBL-QFHH</v>
          </cell>
        </row>
        <row r="919">
          <cell r="A919" t="str">
            <v>JBL-QFHHK0XS</v>
          </cell>
          <cell r="B919" t="str">
            <v>JBL-QFHH</v>
          </cell>
        </row>
        <row r="920">
          <cell r="A920" t="str">
            <v>JBL-QFHHK0XXL</v>
          </cell>
          <cell r="B920" t="str">
            <v>JBL-QFHH</v>
          </cell>
        </row>
        <row r="921">
          <cell r="A921" t="str">
            <v>JBL-QFHHR0L</v>
          </cell>
          <cell r="B921" t="str">
            <v>JBL-QFHH</v>
          </cell>
        </row>
        <row r="922">
          <cell r="A922" t="str">
            <v>JBL-QFHHR0M</v>
          </cell>
          <cell r="B922" t="str">
            <v>JBL-QFHH</v>
          </cell>
        </row>
        <row r="923">
          <cell r="A923" t="str">
            <v>JBL-QFHHR0S</v>
          </cell>
          <cell r="B923" t="str">
            <v>JBL-QFHH</v>
          </cell>
        </row>
        <row r="924">
          <cell r="A924" t="str">
            <v>JBL-QFHHR0XL</v>
          </cell>
          <cell r="B924" t="str">
            <v>JBL-QFHL</v>
          </cell>
        </row>
        <row r="925">
          <cell r="A925" t="str">
            <v>JBL-QFHHR0XS</v>
          </cell>
          <cell r="B925" t="str">
            <v>JBL-QFHL</v>
          </cell>
        </row>
        <row r="926">
          <cell r="A926" t="str">
            <v>JBL-QFHHR0XXL</v>
          </cell>
          <cell r="B926" t="str">
            <v>JBL-QFHL</v>
          </cell>
        </row>
        <row r="927">
          <cell r="A927" t="str">
            <v>JBL-QFLJB0L</v>
          </cell>
          <cell r="B927" t="str">
            <v>JBL-QFHL</v>
          </cell>
        </row>
        <row r="928">
          <cell r="A928" t="str">
            <v>JBL-QFLJB0M</v>
          </cell>
          <cell r="B928" t="str">
            <v>JBL-QFHL</v>
          </cell>
        </row>
        <row r="929">
          <cell r="A929" t="str">
            <v>JBL-QFLJB0S</v>
          </cell>
          <cell r="B929" t="str">
            <v>JBL-QFHL</v>
          </cell>
        </row>
        <row r="930">
          <cell r="A930" t="str">
            <v>JBL-QFLJB0XL</v>
          </cell>
          <cell r="B930" t="str">
            <v>JBL-QFLJ</v>
          </cell>
        </row>
        <row r="931">
          <cell r="A931" t="str">
            <v>JBL-QFLJB0XS</v>
          </cell>
          <cell r="B931" t="str">
            <v>JBL-QFLJ</v>
          </cell>
        </row>
        <row r="932">
          <cell r="A932" t="str">
            <v>JBL-QFLJB0XXL</v>
          </cell>
          <cell r="B932" t="str">
            <v>JBL-QFLJ</v>
          </cell>
        </row>
        <row r="933">
          <cell r="A933" t="str">
            <v>JBL-QFLJJHL</v>
          </cell>
          <cell r="B933" t="str">
            <v>JBL-QFLJ</v>
          </cell>
        </row>
        <row r="934">
          <cell r="A934" t="str">
            <v>JBL-QFLJJHM</v>
          </cell>
          <cell r="B934" t="str">
            <v>JBL-QFLJ</v>
          </cell>
        </row>
        <row r="935">
          <cell r="A935" t="str">
            <v>JBL-QFLJJHS</v>
          </cell>
          <cell r="B935" t="str">
            <v>JBL-QFLJ</v>
          </cell>
        </row>
        <row r="936">
          <cell r="A936" t="str">
            <v>JBL-QFLJJHXL</v>
          </cell>
          <cell r="B936" t="str">
            <v>JBL-QFLJ</v>
          </cell>
        </row>
        <row r="937">
          <cell r="A937" t="str">
            <v>JBL-QFLJJHXS</v>
          </cell>
          <cell r="B937" t="str">
            <v>JBL-QFLJ</v>
          </cell>
        </row>
        <row r="938">
          <cell r="A938" t="str">
            <v>JBL-QFLJJHXXL</v>
          </cell>
          <cell r="B938" t="str">
            <v>JBL-QFLJ</v>
          </cell>
        </row>
        <row r="939">
          <cell r="A939" t="str">
            <v>JBLYH0</v>
          </cell>
          <cell r="B939" t="str">
            <v>JBL-QFLJ</v>
          </cell>
        </row>
        <row r="940">
          <cell r="A940" t="str">
            <v>JBLYH1</v>
          </cell>
          <cell r="B940" t="str">
            <v>JBL-QFLJ</v>
          </cell>
        </row>
        <row r="941">
          <cell r="A941" t="str">
            <v>JBLYH2</v>
          </cell>
          <cell r="B941" t="str">
            <v>JBL-QFLJ</v>
          </cell>
        </row>
        <row r="942">
          <cell r="A942" t="str">
            <v>JBLYH3</v>
          </cell>
          <cell r="B942" t="str">
            <v>JBLYH</v>
          </cell>
        </row>
        <row r="943">
          <cell r="A943" t="str">
            <v>JBLYH4</v>
          </cell>
          <cell r="B943" t="str">
            <v>JBLYH</v>
          </cell>
        </row>
        <row r="944">
          <cell r="A944" t="str">
            <v>JBLYH5</v>
          </cell>
          <cell r="B944" t="str">
            <v>JBLYH</v>
          </cell>
        </row>
        <row r="945">
          <cell r="A945" t="str">
            <v>JBLYH6</v>
          </cell>
          <cell r="B945" t="str">
            <v>JBLYH</v>
          </cell>
        </row>
        <row r="946">
          <cell r="A946" t="str">
            <v>JBLYH7</v>
          </cell>
          <cell r="B946" t="str">
            <v>JBLYH</v>
          </cell>
        </row>
        <row r="947">
          <cell r="A947" t="str">
            <v>JBLYH8</v>
          </cell>
          <cell r="B947" t="str">
            <v>JBLYH</v>
          </cell>
        </row>
        <row r="948">
          <cell r="A948" t="str">
            <v>JBLYH9</v>
          </cell>
          <cell r="B948" t="str">
            <v>JBLYH</v>
          </cell>
        </row>
        <row r="949">
          <cell r="A949" t="str">
            <v>JBL-YJBKQKQSL</v>
          </cell>
          <cell r="B949" t="str">
            <v>JBLYH</v>
          </cell>
        </row>
        <row r="950">
          <cell r="A950" t="str">
            <v>JBL-YJBKQKQSM</v>
          </cell>
          <cell r="B950" t="str">
            <v>JBLYH</v>
          </cell>
        </row>
        <row r="951">
          <cell r="A951" t="str">
            <v>JBL-YJBKQKQSS</v>
          </cell>
          <cell r="B951" t="str">
            <v>JBLYH</v>
          </cell>
        </row>
        <row r="952">
          <cell r="A952" t="str">
            <v>JBL-YJBKQKQSXL</v>
          </cell>
          <cell r="B952" t="str">
            <v>JBL-YJBKQ</v>
          </cell>
        </row>
        <row r="953">
          <cell r="A953" t="str">
            <v>JBL-YJBKQKQSXXL</v>
          </cell>
          <cell r="B953" t="str">
            <v>JBL-YJBKQ</v>
          </cell>
        </row>
        <row r="954">
          <cell r="A954" t="str">
            <v>JBL-YJBKQW0L</v>
          </cell>
          <cell r="B954" t="str">
            <v>JBL-YJBKQ</v>
          </cell>
        </row>
        <row r="955">
          <cell r="A955" t="str">
            <v>JBL-YJBKQW0M</v>
          </cell>
          <cell r="B955" t="str">
            <v>JBL-YJBKQ</v>
          </cell>
        </row>
        <row r="956">
          <cell r="A956" t="str">
            <v>JBL-YJBKQW0S</v>
          </cell>
          <cell r="B956" t="str">
            <v>JBL-YJBKQ</v>
          </cell>
        </row>
        <row r="957">
          <cell r="A957" t="str">
            <v>JBL-YJBKQW0XL</v>
          </cell>
          <cell r="B957" t="str">
            <v>JBL-YJBKQ</v>
          </cell>
        </row>
        <row r="958">
          <cell r="A958" t="str">
            <v>JBL-YJBKQW0XXL</v>
          </cell>
          <cell r="B958" t="str">
            <v>JBL-YJBKQ</v>
          </cell>
        </row>
        <row r="959">
          <cell r="A959" t="str">
            <v>JBL-YJFJHJHL</v>
          </cell>
          <cell r="B959" t="str">
            <v>JBL-YJBKQ</v>
          </cell>
        </row>
        <row r="960">
          <cell r="A960" t="str">
            <v>JBL-YJFJHJHM</v>
          </cell>
          <cell r="B960" t="str">
            <v>JBL-YJBKQ</v>
          </cell>
        </row>
        <row r="961">
          <cell r="A961" t="str">
            <v>JBL-YJFJHJHS</v>
          </cell>
          <cell r="B961" t="str">
            <v>JBL-YJBKQ</v>
          </cell>
        </row>
        <row r="962">
          <cell r="A962" t="str">
            <v>JBL-YJFJHJHXL</v>
          </cell>
          <cell r="B962" t="str">
            <v>JBL-YJFJH</v>
          </cell>
        </row>
        <row r="963">
          <cell r="A963" t="str">
            <v>JBL-YJFJHJHXXL</v>
          </cell>
          <cell r="B963" t="str">
            <v>JBL-YJFJH</v>
          </cell>
        </row>
        <row r="964">
          <cell r="A964" t="str">
            <v>JBL-YJFJHR5L</v>
          </cell>
          <cell r="B964" t="str">
            <v>JBL-YJFJH</v>
          </cell>
        </row>
        <row r="965">
          <cell r="A965" t="str">
            <v>JBL-YJFJHR5M</v>
          </cell>
          <cell r="B965" t="str">
            <v>JBL-YJFJH</v>
          </cell>
        </row>
        <row r="966">
          <cell r="A966" t="str">
            <v>JBL-YJFJHR5S</v>
          </cell>
          <cell r="B966" t="str">
            <v>JBL-YJFJH</v>
          </cell>
        </row>
        <row r="967">
          <cell r="A967" t="str">
            <v>JBL-YJFJHR5XL</v>
          </cell>
          <cell r="B967" t="str">
            <v>JBL-YJFJH</v>
          </cell>
        </row>
        <row r="968">
          <cell r="A968" t="str">
            <v>JBL-YJFJHR5XXL</v>
          </cell>
          <cell r="B968" t="str">
            <v>JBL-YJFJH</v>
          </cell>
        </row>
        <row r="969">
          <cell r="A969" t="str">
            <v>JBL-YJHHSE0L</v>
          </cell>
          <cell r="B969" t="str">
            <v>JBL-YJFJH</v>
          </cell>
        </row>
        <row r="970">
          <cell r="A970" t="str">
            <v>JBL-YJHHSE0M</v>
          </cell>
          <cell r="B970" t="str">
            <v>JBL-YJFJH</v>
          </cell>
        </row>
        <row r="971">
          <cell r="A971" t="str">
            <v>JBL-YJHHSE0S</v>
          </cell>
          <cell r="B971" t="str">
            <v>JBL-YJFJH</v>
          </cell>
        </row>
        <row r="972">
          <cell r="A972" t="str">
            <v>JBL-YJHHSE0XL</v>
          </cell>
          <cell r="B972" t="str">
            <v>JBL-YJHHS</v>
          </cell>
        </row>
        <row r="973">
          <cell r="A973" t="str">
            <v>JBL-YJHHSE0XXL</v>
          </cell>
          <cell r="B973" t="str">
            <v>JBL-YJHHS</v>
          </cell>
        </row>
        <row r="974">
          <cell r="A974" t="str">
            <v>JBL-YJHHSR0L</v>
          </cell>
          <cell r="B974" t="str">
            <v>JBL-YJHHS</v>
          </cell>
        </row>
        <row r="975">
          <cell r="A975" t="str">
            <v>JBL-YJHHSR0M</v>
          </cell>
          <cell r="B975" t="str">
            <v>JBL-YJHHS</v>
          </cell>
        </row>
        <row r="976">
          <cell r="A976" t="str">
            <v>JBL-YJHHSR0S</v>
          </cell>
          <cell r="B976" t="str">
            <v>JBL-YJHHS</v>
          </cell>
        </row>
        <row r="977">
          <cell r="A977" t="str">
            <v>JBL-YJHHSR0XL</v>
          </cell>
          <cell r="B977" t="str">
            <v>JBL-YJHHS</v>
          </cell>
        </row>
        <row r="978">
          <cell r="A978" t="str">
            <v>JBL-YJHHSR0XXL</v>
          </cell>
          <cell r="B978" t="str">
            <v>JBL-YJHHS</v>
          </cell>
        </row>
        <row r="979">
          <cell r="A979" t="str">
            <v>JBL-YJLHSG0L</v>
          </cell>
          <cell r="B979" t="str">
            <v>JBL-YJHHS</v>
          </cell>
        </row>
        <row r="980">
          <cell r="A980" t="str">
            <v>JBL-YJLHSG0M</v>
          </cell>
          <cell r="B980" t="str">
            <v>JBL-YJHHS</v>
          </cell>
        </row>
        <row r="981">
          <cell r="A981" t="str">
            <v>JBL-YJLHSG0S</v>
          </cell>
          <cell r="B981" t="str">
            <v>JBL-YJHHS</v>
          </cell>
        </row>
        <row r="982">
          <cell r="A982" t="str">
            <v>JBL-YJLHSG0XL</v>
          </cell>
          <cell r="B982" t="str">
            <v>JBL-YJLHS</v>
          </cell>
        </row>
        <row r="983">
          <cell r="A983" t="str">
            <v>JBL-YJLHSG0XXL</v>
          </cell>
          <cell r="B983" t="str">
            <v>JBL-YJLHS</v>
          </cell>
        </row>
        <row r="984">
          <cell r="A984" t="str">
            <v>JBL-YJLHSK0L</v>
          </cell>
          <cell r="B984" t="str">
            <v>JBL-YJLHS</v>
          </cell>
        </row>
        <row r="985">
          <cell r="A985" t="str">
            <v>JBL-YJLHSK0M</v>
          </cell>
          <cell r="B985" t="str">
            <v>JBL-YJLHS</v>
          </cell>
        </row>
        <row r="986">
          <cell r="A986" t="str">
            <v>JBL-YJLHSK0S</v>
          </cell>
          <cell r="B986" t="str">
            <v>JBL-YJLHS</v>
          </cell>
        </row>
        <row r="987">
          <cell r="A987" t="str">
            <v>JBL-YJLHSK0XL</v>
          </cell>
          <cell r="B987" t="str">
            <v>JBL-YJLHS</v>
          </cell>
        </row>
        <row r="988">
          <cell r="A988" t="str">
            <v>JBL-YJLHSK0XXL</v>
          </cell>
          <cell r="B988" t="str">
            <v>JBL-YJLHS</v>
          </cell>
        </row>
        <row r="989">
          <cell r="A989" t="str">
            <v>JBL-YJMHLHLL</v>
          </cell>
          <cell r="B989" t="str">
            <v>JBL-YJLHS</v>
          </cell>
        </row>
        <row r="990">
          <cell r="A990" t="str">
            <v>JBL-YJMHLHLM</v>
          </cell>
          <cell r="B990" t="str">
            <v>JBL-YJLHS</v>
          </cell>
        </row>
        <row r="991">
          <cell r="A991" t="str">
            <v>JBL-YJMHLHLS</v>
          </cell>
          <cell r="B991" t="str">
            <v>JBL-YJLHS</v>
          </cell>
        </row>
        <row r="992">
          <cell r="A992" t="str">
            <v>JBL-YJMHLHLXL</v>
          </cell>
          <cell r="B992" t="str">
            <v>JBL-YJMHL</v>
          </cell>
        </row>
        <row r="993">
          <cell r="A993" t="str">
            <v>JBL-YJMHLHLXXL</v>
          </cell>
          <cell r="B993" t="str">
            <v>JBL-YJMHL</v>
          </cell>
        </row>
        <row r="994">
          <cell r="A994" t="str">
            <v>JBL-YJMHLMHL</v>
          </cell>
          <cell r="B994" t="str">
            <v>JBL-YJMHL</v>
          </cell>
        </row>
        <row r="995">
          <cell r="A995" t="str">
            <v>JBL-YJMHLMHM</v>
          </cell>
          <cell r="B995" t="str">
            <v>JBL-YJMHL</v>
          </cell>
        </row>
        <row r="996">
          <cell r="A996" t="str">
            <v>JBL-YJMHLMHS</v>
          </cell>
          <cell r="B996" t="str">
            <v>JBL-YJMHL</v>
          </cell>
        </row>
        <row r="997">
          <cell r="A997" t="str">
            <v>JBL-YJMHLMHXL</v>
          </cell>
          <cell r="B997" t="str">
            <v>JBL-YJMHL</v>
          </cell>
        </row>
        <row r="998">
          <cell r="A998" t="str">
            <v>JBL-YJMHLMHXXL</v>
          </cell>
          <cell r="B998" t="str">
            <v>JBL-YJMHL</v>
          </cell>
        </row>
        <row r="999">
          <cell r="A999" t="str">
            <v>JBL-YJZLSB0L</v>
          </cell>
          <cell r="B999" t="str">
            <v>JBL-YJMHL</v>
          </cell>
        </row>
        <row r="1000">
          <cell r="A1000" t="str">
            <v>JBL-YJZLSB0M</v>
          </cell>
          <cell r="B1000" t="str">
            <v>JBL-YJMHL</v>
          </cell>
        </row>
        <row r="1001">
          <cell r="A1001" t="str">
            <v>JBL-YJZLSB0S</v>
          </cell>
          <cell r="B1001" t="str">
            <v>JBL-YJMHL</v>
          </cell>
        </row>
        <row r="1002">
          <cell r="A1002" t="str">
            <v>JBL-YJZLSB0XL</v>
          </cell>
          <cell r="B1002" t="str">
            <v>JBL-YJZLS</v>
          </cell>
        </row>
        <row r="1003">
          <cell r="A1003" t="str">
            <v>JBL-YJZLSB0XXL</v>
          </cell>
          <cell r="B1003" t="str">
            <v>JBL-YJZLS</v>
          </cell>
        </row>
        <row r="1004">
          <cell r="A1004" t="str">
            <v>JBL-YJZLSP0L</v>
          </cell>
          <cell r="B1004" t="str">
            <v>JBL-YJZLS</v>
          </cell>
        </row>
        <row r="1005">
          <cell r="A1005" t="str">
            <v>JBL-YJZLSP0M</v>
          </cell>
          <cell r="B1005" t="str">
            <v>JBL-YJZLS</v>
          </cell>
        </row>
        <row r="1006">
          <cell r="A1006" t="str">
            <v>JBL-YJZLSP0S</v>
          </cell>
          <cell r="B1006" t="str">
            <v>JBL-YJZLS</v>
          </cell>
        </row>
        <row r="1007">
          <cell r="A1007" t="str">
            <v>JBL-YJZLSP0XL</v>
          </cell>
          <cell r="B1007" t="str">
            <v>JBL-YJZLS</v>
          </cell>
        </row>
        <row r="1008">
          <cell r="A1008" t="str">
            <v>JBL-YJZLSP0XXL</v>
          </cell>
          <cell r="B1008" t="str">
            <v>JBL-YJZLS</v>
          </cell>
        </row>
        <row r="1009">
          <cell r="A1009" t="str">
            <v>JMXFLLL</v>
          </cell>
          <cell r="B1009" t="str">
            <v>JBL-YJZLS</v>
          </cell>
        </row>
        <row r="1010">
          <cell r="A1010" t="str">
            <v>JMXFLLM</v>
          </cell>
          <cell r="B1010" t="str">
            <v>JBL-YJZLS</v>
          </cell>
        </row>
        <row r="1011">
          <cell r="A1011" t="str">
            <v>JMXFLLS</v>
          </cell>
          <cell r="B1011" t="str">
            <v>JBL-YJZLS</v>
          </cell>
        </row>
        <row r="1012">
          <cell r="A1012" t="str">
            <v>JMXFMFSL</v>
          </cell>
          <cell r="B1012" t="str">
            <v>JMXF</v>
          </cell>
        </row>
        <row r="1013">
          <cell r="A1013" t="str">
            <v>JMXFMFSM</v>
          </cell>
          <cell r="B1013" t="str">
            <v>JMXF</v>
          </cell>
        </row>
        <row r="1014">
          <cell r="A1014" t="str">
            <v>JMXFMFSS</v>
          </cell>
          <cell r="B1014" t="str">
            <v>JMXF</v>
          </cell>
        </row>
        <row r="1015">
          <cell r="A1015" t="str">
            <v>JMXFQZL</v>
          </cell>
          <cell r="B1015" t="str">
            <v>JMXF</v>
          </cell>
        </row>
        <row r="1016">
          <cell r="A1016" t="str">
            <v>JMXFQZM</v>
          </cell>
          <cell r="B1016" t="str">
            <v>JMXF</v>
          </cell>
        </row>
        <row r="1017">
          <cell r="A1017" t="str">
            <v>JMXFQZS</v>
          </cell>
          <cell r="B1017" t="str">
            <v>JMXF</v>
          </cell>
        </row>
        <row r="1018">
          <cell r="A1018" t="str">
            <v>JMXFSHL</v>
          </cell>
          <cell r="B1018" t="str">
            <v>JMXF</v>
          </cell>
        </row>
        <row r="1019">
          <cell r="A1019" t="str">
            <v>JMXFSHM</v>
          </cell>
          <cell r="B1019" t="str">
            <v>JMXF</v>
          </cell>
        </row>
        <row r="1020">
          <cell r="A1020" t="str">
            <v>JMXFSHS</v>
          </cell>
          <cell r="B1020" t="str">
            <v>JMXF</v>
          </cell>
        </row>
        <row r="1021">
          <cell r="A1021" t="str">
            <v>KJBLYH0</v>
          </cell>
          <cell r="B1021" t="str">
            <v>JMXF</v>
          </cell>
        </row>
        <row r="1022">
          <cell r="A1022" t="str">
            <v>KJBLYH1</v>
          </cell>
          <cell r="B1022" t="str">
            <v>JMXF</v>
          </cell>
        </row>
        <row r="1023">
          <cell r="A1023" t="str">
            <v>KJBLYH2</v>
          </cell>
          <cell r="B1023" t="str">
            <v>JMXF</v>
          </cell>
        </row>
        <row r="1024">
          <cell r="A1024" t="str">
            <v>KJBLYH3</v>
          </cell>
          <cell r="B1024" t="str">
            <v>KJBLYH</v>
          </cell>
        </row>
        <row r="1025">
          <cell r="A1025" t="str">
            <v>KJBLYH4</v>
          </cell>
          <cell r="B1025" t="str">
            <v>KJBLYH</v>
          </cell>
        </row>
        <row r="1026">
          <cell r="A1026" t="str">
            <v>KJBLYH5</v>
          </cell>
          <cell r="B1026" t="str">
            <v>KJBLYH</v>
          </cell>
        </row>
        <row r="1027">
          <cell r="A1027" t="str">
            <v>KJBLYH6</v>
          </cell>
          <cell r="B1027" t="str">
            <v>KJBLYH</v>
          </cell>
        </row>
        <row r="1028">
          <cell r="A1028" t="str">
            <v>KJBLYH7</v>
          </cell>
          <cell r="B1028" t="str">
            <v>KJBLYH</v>
          </cell>
        </row>
        <row r="1029">
          <cell r="A1029" t="str">
            <v>KJBLYH8</v>
          </cell>
          <cell r="B1029" t="str">
            <v>KJBLYH</v>
          </cell>
        </row>
        <row r="1030">
          <cell r="A1030" t="str">
            <v>KJBLYH9</v>
          </cell>
          <cell r="B1030" t="str">
            <v>KJBLYH</v>
          </cell>
        </row>
        <row r="1031">
          <cell r="A1031" t="str">
            <v>KLDYKQS2XL</v>
          </cell>
          <cell r="B1031" t="str">
            <v>KJBLYH</v>
          </cell>
        </row>
        <row r="1032">
          <cell r="A1032" t="str">
            <v>KLDYKQS3XL</v>
          </cell>
          <cell r="B1032" t="str">
            <v>KJBLYH</v>
          </cell>
        </row>
        <row r="1033">
          <cell r="A1033" t="str">
            <v>KLDYKQS4XL</v>
          </cell>
          <cell r="B1033" t="str">
            <v>KJBLYH</v>
          </cell>
        </row>
        <row r="1034">
          <cell r="A1034" t="str">
            <v>KLDYKQSL</v>
          </cell>
          <cell r="B1034" t="str">
            <v>KLDY</v>
          </cell>
        </row>
        <row r="1035">
          <cell r="A1035" t="str">
            <v>KLDYKQSM</v>
          </cell>
          <cell r="B1035" t="str">
            <v>KLDY</v>
          </cell>
        </row>
        <row r="1036">
          <cell r="A1036" t="str">
            <v>KLDYKQSXL</v>
          </cell>
          <cell r="B1036" t="str">
            <v>KLDY</v>
          </cell>
        </row>
        <row r="1037">
          <cell r="A1037" t="str">
            <v>KLDYQHS2XL</v>
          </cell>
          <cell r="B1037" t="str">
            <v>KLDY</v>
          </cell>
        </row>
        <row r="1038">
          <cell r="A1038" t="str">
            <v>KLDYQHS3XL</v>
          </cell>
          <cell r="B1038" t="str">
            <v>KLDY</v>
          </cell>
        </row>
        <row r="1039">
          <cell r="A1039" t="str">
            <v>KLDYQHS4XL</v>
          </cell>
          <cell r="B1039" t="str">
            <v>KLDY</v>
          </cell>
        </row>
        <row r="1040">
          <cell r="A1040" t="str">
            <v>KLDYQHSL</v>
          </cell>
          <cell r="B1040" t="str">
            <v>KLDY</v>
          </cell>
        </row>
        <row r="1041">
          <cell r="A1041" t="str">
            <v>KLDYQHSM</v>
          </cell>
          <cell r="B1041" t="str">
            <v>KLDY</v>
          </cell>
        </row>
        <row r="1042">
          <cell r="A1042" t="str">
            <v>KLDYQHSXL</v>
          </cell>
          <cell r="B1042" t="str">
            <v>KLDY</v>
          </cell>
        </row>
        <row r="1043">
          <cell r="A1043" t="str">
            <v>KLDYQL2XL</v>
          </cell>
          <cell r="B1043" t="str">
            <v>KLDY</v>
          </cell>
        </row>
        <row r="1044">
          <cell r="A1044" t="str">
            <v>KLDYQL3XL</v>
          </cell>
          <cell r="B1044" t="str">
            <v>KLDY</v>
          </cell>
        </row>
        <row r="1045">
          <cell r="A1045" t="str">
            <v>KLDYQL4XL</v>
          </cell>
          <cell r="B1045" t="str">
            <v>KLDY</v>
          </cell>
        </row>
        <row r="1046">
          <cell r="A1046" t="str">
            <v>KLDYQLL</v>
          </cell>
          <cell r="B1046" t="str">
            <v>KLDY</v>
          </cell>
        </row>
        <row r="1047">
          <cell r="A1047" t="str">
            <v>KLDYQLM</v>
          </cell>
          <cell r="B1047" t="str">
            <v>KLDY</v>
          </cell>
        </row>
        <row r="1048">
          <cell r="A1048" t="str">
            <v>KLDYQLS2XL</v>
          </cell>
          <cell r="B1048" t="str">
            <v>KLDY</v>
          </cell>
        </row>
        <row r="1049">
          <cell r="A1049" t="str">
            <v>KLDYQLS3XL</v>
          </cell>
          <cell r="B1049" t="str">
            <v>KLDY</v>
          </cell>
        </row>
        <row r="1050">
          <cell r="A1050" t="str">
            <v>KLDYQLS4XL</v>
          </cell>
          <cell r="B1050" t="str">
            <v>KLDY</v>
          </cell>
        </row>
        <row r="1051">
          <cell r="A1051" t="str">
            <v>KLDYQLSL</v>
          </cell>
          <cell r="B1051" t="str">
            <v>KLDY</v>
          </cell>
        </row>
        <row r="1052">
          <cell r="A1052" t="str">
            <v>KLDYQLSM</v>
          </cell>
          <cell r="B1052" t="str">
            <v>KLDY</v>
          </cell>
        </row>
        <row r="1053">
          <cell r="A1053" t="str">
            <v>KLDYQLSXL</v>
          </cell>
          <cell r="B1053" t="str">
            <v>KLDY</v>
          </cell>
        </row>
        <row r="1054">
          <cell r="A1054" t="str">
            <v>KLDYQLXL</v>
          </cell>
          <cell r="B1054" t="str">
            <v>KLDY</v>
          </cell>
        </row>
        <row r="1055">
          <cell r="A1055" t="str">
            <v>KLDYSH2XL</v>
          </cell>
          <cell r="B1055" t="str">
            <v>KLDY</v>
          </cell>
        </row>
        <row r="1056">
          <cell r="A1056" t="str">
            <v>KLDYSH3XL</v>
          </cell>
          <cell r="B1056" t="str">
            <v>KLDY</v>
          </cell>
        </row>
        <row r="1057">
          <cell r="A1057" t="str">
            <v>KLDYSH4XL</v>
          </cell>
          <cell r="B1057" t="str">
            <v>KLDY</v>
          </cell>
        </row>
        <row r="1058">
          <cell r="A1058" t="str">
            <v>KLDYSHL</v>
          </cell>
          <cell r="B1058" t="str">
            <v>KLDY</v>
          </cell>
        </row>
        <row r="1059">
          <cell r="A1059" t="str">
            <v>KLDYSHM</v>
          </cell>
          <cell r="B1059" t="str">
            <v>KLDY</v>
          </cell>
        </row>
        <row r="1060">
          <cell r="A1060" t="str">
            <v>KLDYSHXL</v>
          </cell>
          <cell r="B1060" t="str">
            <v>KLDY</v>
          </cell>
        </row>
        <row r="1061">
          <cell r="A1061" t="str">
            <v>KTK85156BLACK</v>
          </cell>
          <cell r="B1061" t="str">
            <v>KLDY</v>
          </cell>
        </row>
        <row r="1062">
          <cell r="A1062" t="str">
            <v>KTK85156COFFEE</v>
          </cell>
          <cell r="B1062" t="str">
            <v>KLDY</v>
          </cell>
        </row>
        <row r="1063">
          <cell r="A1063" t="str">
            <v>KTK85156GREEN</v>
          </cell>
          <cell r="B1063" t="str">
            <v>KLDY</v>
          </cell>
        </row>
        <row r="1064">
          <cell r="A1064" t="str">
            <v>KTK85156KHAKI</v>
          </cell>
          <cell r="B1064" t="str">
            <v>KTK85156</v>
          </cell>
        </row>
        <row r="1065">
          <cell r="A1065" t="str">
            <v>KTK85156WHITE</v>
          </cell>
          <cell r="B1065" t="str">
            <v>KTK85156</v>
          </cell>
        </row>
        <row r="1066">
          <cell r="A1066" t="str">
            <v>KTKBZLPJS-1B0L</v>
          </cell>
          <cell r="B1066" t="str">
            <v>KTK85156</v>
          </cell>
        </row>
        <row r="1067">
          <cell r="A1067" t="str">
            <v>KTKBZLPJS-1B0M</v>
          </cell>
          <cell r="B1067" t="str">
            <v>KTK85156</v>
          </cell>
        </row>
        <row r="1068">
          <cell r="A1068" t="str">
            <v>KTKBZLPJS-1B0XL</v>
          </cell>
          <cell r="B1068" t="str">
            <v>KTK85156</v>
          </cell>
        </row>
        <row r="1069">
          <cell r="A1069" t="str">
            <v>KTKBZLPJS-1B0XXL</v>
          </cell>
          <cell r="B1069" t="str">
            <v>KTKBZLPJS</v>
          </cell>
        </row>
        <row r="1070">
          <cell r="A1070" t="str">
            <v>KTKBZLPJS-1B0XXXL</v>
          </cell>
          <cell r="B1070" t="str">
            <v>KTKBZLPJS</v>
          </cell>
        </row>
        <row r="1071">
          <cell r="A1071" t="str">
            <v>KTKBZLPJS-1KQSL</v>
          </cell>
          <cell r="B1071" t="str">
            <v>KTKBZLPJS</v>
          </cell>
        </row>
        <row r="1072">
          <cell r="A1072" t="str">
            <v>KTKBZLPJS-1KQSM</v>
          </cell>
          <cell r="B1072" t="str">
            <v>KTKBZLPJS</v>
          </cell>
        </row>
        <row r="1073">
          <cell r="A1073" t="str">
            <v>KTKBZLPJS-1KQSXL</v>
          </cell>
          <cell r="B1073" t="str">
            <v>KTKBZLPJS</v>
          </cell>
        </row>
        <row r="1074">
          <cell r="A1074" t="str">
            <v>KTKBZLPJS-1KQSXXL</v>
          </cell>
          <cell r="B1074" t="str">
            <v>KTKBZLPJS</v>
          </cell>
        </row>
        <row r="1075">
          <cell r="A1075" t="str">
            <v>KTKBZLPJS-1KQSXXXL</v>
          </cell>
          <cell r="B1075" t="str">
            <v>KTKBZLPJS</v>
          </cell>
        </row>
        <row r="1076">
          <cell r="A1076" t="str">
            <v>KTKBZLPJS-1ZLL</v>
          </cell>
          <cell r="B1076" t="str">
            <v>KTKBZLPJS</v>
          </cell>
        </row>
        <row r="1077">
          <cell r="A1077" t="str">
            <v>KTKBZLPJS-1ZLM</v>
          </cell>
          <cell r="B1077" t="str">
            <v>KTKBZLPJS</v>
          </cell>
        </row>
        <row r="1078">
          <cell r="A1078" t="str">
            <v>KTKBZLPJS-1ZLXL</v>
          </cell>
          <cell r="B1078" t="str">
            <v>KTKBZLPJS</v>
          </cell>
        </row>
        <row r="1079">
          <cell r="A1079" t="str">
            <v>KTKBZLPJS-1ZLXXL</v>
          </cell>
          <cell r="B1079" t="str">
            <v>KTKBZLPJS</v>
          </cell>
        </row>
        <row r="1080">
          <cell r="A1080" t="str">
            <v>KTKBZLPJS-1ZLXXXL</v>
          </cell>
          <cell r="B1080" t="str">
            <v>KTKBZLPJS</v>
          </cell>
        </row>
        <row r="1081">
          <cell r="A1081" t="str">
            <v>KTKBZLPJS-2MSL</v>
          </cell>
          <cell r="B1081" t="str">
            <v>KTKBZLPJS</v>
          </cell>
        </row>
        <row r="1082">
          <cell r="A1082" t="str">
            <v>KTKBZLPJS-2MSM</v>
          </cell>
          <cell r="B1082" t="str">
            <v>KTKBZLPJS</v>
          </cell>
        </row>
        <row r="1083">
          <cell r="A1083" t="str">
            <v>KTKBZLPJS-2MSXL</v>
          </cell>
          <cell r="B1083" t="str">
            <v>KTKBZLPJS</v>
          </cell>
        </row>
        <row r="1084">
          <cell r="A1084" t="str">
            <v>KTKBZLPJS-2MSXXL</v>
          </cell>
          <cell r="B1084" t="str">
            <v>KTKBZLPJS</v>
          </cell>
        </row>
        <row r="1085">
          <cell r="A1085" t="str">
            <v>KTKBZLPJS-2MSXXXL</v>
          </cell>
          <cell r="B1085" t="str">
            <v>KTKBZLPJS</v>
          </cell>
        </row>
        <row r="1086">
          <cell r="A1086" t="str">
            <v>KTKBZLPJS-2R0L</v>
          </cell>
          <cell r="B1086" t="str">
            <v>KTKBZLPJS</v>
          </cell>
        </row>
        <row r="1087">
          <cell r="A1087" t="str">
            <v>KTKBZLPJS-2R0M</v>
          </cell>
          <cell r="B1087" t="str">
            <v>KTKBZLPJS</v>
          </cell>
        </row>
        <row r="1088">
          <cell r="A1088" t="str">
            <v>KTKBZLPJS-2R0XL</v>
          </cell>
          <cell r="B1088" t="str">
            <v>KTKBZLPJS</v>
          </cell>
        </row>
        <row r="1089">
          <cell r="A1089" t="str">
            <v>KTKBZLPJS-2R0XXL</v>
          </cell>
          <cell r="B1089" t="str">
            <v>KTKBZLPJS</v>
          </cell>
        </row>
        <row r="1090">
          <cell r="A1090" t="str">
            <v>KTKBZLPJS-2R0XXXL</v>
          </cell>
          <cell r="B1090" t="str">
            <v>KTKBZLPJS</v>
          </cell>
        </row>
        <row r="1091">
          <cell r="A1091" t="str">
            <v>KTKBZLPJS-2R5L</v>
          </cell>
          <cell r="B1091" t="str">
            <v>KTKBZLPJS</v>
          </cell>
        </row>
        <row r="1092">
          <cell r="A1092" t="str">
            <v>KTKBZLPJS-2R5M</v>
          </cell>
          <cell r="B1092" t="str">
            <v>KTKBZLPJS</v>
          </cell>
        </row>
        <row r="1093">
          <cell r="A1093" t="str">
            <v>KTKBZLPJS-2R5XL</v>
          </cell>
          <cell r="B1093" t="str">
            <v>KTKBZLPJS</v>
          </cell>
        </row>
        <row r="1094">
          <cell r="A1094" t="str">
            <v>KTKBZLPJS-2R5XXL</v>
          </cell>
          <cell r="B1094" t="str">
            <v>KTKBZLPJS</v>
          </cell>
        </row>
        <row r="1095">
          <cell r="A1095" t="str">
            <v>KTKBZLPJS-2R5XXXL</v>
          </cell>
          <cell r="B1095" t="str">
            <v>KTKBZLPJS</v>
          </cell>
        </row>
        <row r="1096">
          <cell r="A1096" t="str">
            <v>KTKBZLPJSK0L</v>
          </cell>
          <cell r="B1096" t="str">
            <v>KTKBZLPJS</v>
          </cell>
        </row>
        <row r="1097">
          <cell r="A1097" t="str">
            <v>KTKBZLPJSK0M</v>
          </cell>
          <cell r="B1097" t="str">
            <v>KTKBZLPJS</v>
          </cell>
        </row>
        <row r="1098">
          <cell r="A1098" t="str">
            <v>KTKBZLPJSK0XL</v>
          </cell>
          <cell r="B1098" t="str">
            <v>KTKBZLPJS</v>
          </cell>
        </row>
        <row r="1099">
          <cell r="A1099" t="str">
            <v>KTKBZLPJSK0XXL</v>
          </cell>
          <cell r="B1099" t="str">
            <v>KTKBZLPJS</v>
          </cell>
        </row>
        <row r="1100">
          <cell r="A1100" t="str">
            <v>KTKBZLPJSK0XXXL</v>
          </cell>
          <cell r="B1100" t="str">
            <v>KTKBZLPJS</v>
          </cell>
        </row>
        <row r="1101">
          <cell r="A1101" t="str">
            <v>KTKBZLPJSR5L</v>
          </cell>
          <cell r="B1101" t="str">
            <v>KTKBZLPJS</v>
          </cell>
        </row>
        <row r="1102">
          <cell r="A1102" t="str">
            <v>KTKBZLPJSR5M</v>
          </cell>
          <cell r="B1102" t="str">
            <v>KTKBZLPJS</v>
          </cell>
        </row>
        <row r="1103">
          <cell r="A1103" t="str">
            <v>KTKBZLPJSR5XL</v>
          </cell>
          <cell r="B1103" t="str">
            <v>KTKBZLPJS</v>
          </cell>
        </row>
        <row r="1104">
          <cell r="A1104" t="str">
            <v>KTKBZLPJSR5XXL</v>
          </cell>
          <cell r="B1104" t="str">
            <v>KTKBZLPJS</v>
          </cell>
        </row>
        <row r="1105">
          <cell r="A1105" t="str">
            <v>KTKBZLPJSR5XXXL</v>
          </cell>
          <cell r="B1105" t="str">
            <v>KTKBZLPJS</v>
          </cell>
        </row>
        <row r="1106">
          <cell r="A1106" t="str">
            <v>KTKBZLPJSW0L</v>
          </cell>
          <cell r="B1106" t="str">
            <v>KTKBZLPJS</v>
          </cell>
        </row>
        <row r="1107">
          <cell r="A1107" t="str">
            <v>KTKBZLPJSW0M</v>
          </cell>
          <cell r="B1107" t="str">
            <v>KTKBZLPJS</v>
          </cell>
        </row>
        <row r="1108">
          <cell r="A1108" t="str">
            <v>KTKBZLPJSW0XL</v>
          </cell>
          <cell r="B1108" t="str">
            <v>KTKBZLPJS</v>
          </cell>
        </row>
        <row r="1109">
          <cell r="A1109" t="str">
            <v>KTKBZLPJSW0XXL</v>
          </cell>
          <cell r="B1109" t="str">
            <v>KTKBZLPJS</v>
          </cell>
        </row>
        <row r="1110">
          <cell r="A1110" t="str">
            <v>KTKBZLPJSW0XXXL</v>
          </cell>
          <cell r="B1110" t="str">
            <v>KTKBZLPJS</v>
          </cell>
        </row>
        <row r="1111">
          <cell r="A1111" t="str">
            <v>KTKBZLPMMB0L</v>
          </cell>
          <cell r="B1111" t="str">
            <v>KTKBZLPJS</v>
          </cell>
        </row>
        <row r="1112">
          <cell r="A1112" t="str">
            <v>KTKBZLPMMB0M</v>
          </cell>
          <cell r="B1112" t="str">
            <v>KTKBZLPJS</v>
          </cell>
        </row>
        <row r="1113">
          <cell r="A1113" t="str">
            <v>KTKBZLPMMB0XL</v>
          </cell>
          <cell r="B1113" t="str">
            <v>KTKBZLPJS</v>
          </cell>
        </row>
        <row r="1114">
          <cell r="A1114" t="str">
            <v>KTKBZLPMMK0L</v>
          </cell>
          <cell r="B1114" t="str">
            <v>KTKBZLPMM</v>
          </cell>
        </row>
        <row r="1115">
          <cell r="A1115" t="str">
            <v>KTKBZLPMMK0M</v>
          </cell>
          <cell r="B1115" t="str">
            <v>KTKBZLPMM</v>
          </cell>
        </row>
        <row r="1116">
          <cell r="A1116" t="str">
            <v>KTKBZLPMMK0XL</v>
          </cell>
          <cell r="B1116" t="str">
            <v>KTKBZLPMM</v>
          </cell>
        </row>
        <row r="1117">
          <cell r="A1117" t="str">
            <v>KTKBZLPMMKFL</v>
          </cell>
          <cell r="B1117" t="str">
            <v>KTKBZLPMM</v>
          </cell>
        </row>
        <row r="1118">
          <cell r="A1118" t="str">
            <v>KTKBZLPMMKFM</v>
          </cell>
          <cell r="B1118" t="str">
            <v>KTKBZLPMM</v>
          </cell>
        </row>
        <row r="1119">
          <cell r="A1119" t="str">
            <v>KTKBZLPMMKFXL</v>
          </cell>
          <cell r="B1119" t="str">
            <v>KTKBZLPMM</v>
          </cell>
        </row>
        <row r="1120">
          <cell r="A1120" t="str">
            <v>KTKBZLPMMMHL</v>
          </cell>
          <cell r="B1120" t="str">
            <v>KTKBZLPMM</v>
          </cell>
        </row>
        <row r="1121">
          <cell r="A1121" t="str">
            <v>KTKBZLPMMMHM</v>
          </cell>
          <cell r="B1121" t="str">
            <v>KTKBZLPMM</v>
          </cell>
        </row>
        <row r="1122">
          <cell r="A1122" t="str">
            <v>KTKBZLPMMMHXL</v>
          </cell>
          <cell r="B1122" t="str">
            <v>KTKBZLPMM</v>
          </cell>
        </row>
        <row r="1123">
          <cell r="A1123" t="str">
            <v>KTKBZLPMMR0L</v>
          </cell>
          <cell r="B1123" t="str">
            <v>KTKBZLPMM</v>
          </cell>
        </row>
        <row r="1124">
          <cell r="A1124" t="str">
            <v>KTKBZLPMMR0M</v>
          </cell>
          <cell r="B1124" t="str">
            <v>KTKBZLPMM</v>
          </cell>
        </row>
        <row r="1125">
          <cell r="A1125" t="str">
            <v>KTKBZLPMMR0XL</v>
          </cell>
          <cell r="B1125" t="str">
            <v>KTKBZLPMM</v>
          </cell>
        </row>
        <row r="1126">
          <cell r="A1126" t="str">
            <v>KTKBZLPMMR5L</v>
          </cell>
          <cell r="B1126" t="str">
            <v>KTKBZLPMM</v>
          </cell>
        </row>
        <row r="1127">
          <cell r="A1127" t="str">
            <v>KTKBZLPMMR5M</v>
          </cell>
          <cell r="B1127" t="str">
            <v>KTKBZLPMM</v>
          </cell>
        </row>
        <row r="1128">
          <cell r="A1128" t="str">
            <v>KTKBZLPMMR5XL</v>
          </cell>
          <cell r="B1128" t="str">
            <v>KTKBZLPMM</v>
          </cell>
        </row>
        <row r="1129">
          <cell r="A1129" t="str">
            <v>KTKBZLPMMW0L</v>
          </cell>
          <cell r="B1129" t="str">
            <v>KTKBZLPMM</v>
          </cell>
        </row>
        <row r="1130">
          <cell r="A1130" t="str">
            <v>KTKBZLPMMW0M</v>
          </cell>
          <cell r="B1130" t="str">
            <v>KTKBZLPMM</v>
          </cell>
        </row>
        <row r="1131">
          <cell r="A1131" t="str">
            <v>KTKBZLPMMW0XL</v>
          </cell>
          <cell r="B1131" t="str">
            <v>KTKBZLPMM</v>
          </cell>
        </row>
        <row r="1132">
          <cell r="A1132" t="str">
            <v>KTKFFWMF1</v>
          </cell>
          <cell r="B1132" t="str">
            <v>KTKBZLPMM</v>
          </cell>
        </row>
        <row r="1133">
          <cell r="A1133" t="str">
            <v>KTKFFWMF2</v>
          </cell>
          <cell r="B1133" t="str">
            <v>KTKBZLPMM</v>
          </cell>
        </row>
        <row r="1134">
          <cell r="A1134" t="str">
            <v>KTKFFWMF3</v>
          </cell>
          <cell r="B1134" t="str">
            <v>KTKBZLPMM</v>
          </cell>
        </row>
        <row r="1135">
          <cell r="A1135" t="str">
            <v>KTKFFWMF4</v>
          </cell>
          <cell r="B1135" t="str">
            <v>FFWMYH</v>
          </cell>
        </row>
        <row r="1136">
          <cell r="A1136" t="str">
            <v>KTKFFWMF5</v>
          </cell>
          <cell r="B1136" t="str">
            <v>FFWMYH</v>
          </cell>
        </row>
        <row r="1137">
          <cell r="A1137" t="str">
            <v>KTKFFWMF6</v>
          </cell>
          <cell r="B1137" t="str">
            <v>FFWMYH</v>
          </cell>
        </row>
        <row r="1138">
          <cell r="A1138" t="str">
            <v>KTKFFWMF7</v>
          </cell>
          <cell r="B1138" t="str">
            <v>FFWMYH</v>
          </cell>
        </row>
        <row r="1139">
          <cell r="A1139" t="str">
            <v>KTKFFWMF8</v>
          </cell>
          <cell r="B1139" t="str">
            <v>FFWMYH</v>
          </cell>
        </row>
        <row r="1140">
          <cell r="A1140" t="str">
            <v>KTKHLKYDE0M</v>
          </cell>
          <cell r="B1140" t="str">
            <v>FFWMYH</v>
          </cell>
        </row>
        <row r="1141">
          <cell r="A1141" t="str">
            <v>KTKHLKYDE0XL</v>
          </cell>
          <cell r="B1141" t="str">
            <v>FFWMYH</v>
          </cell>
        </row>
        <row r="1142">
          <cell r="A1142" t="str">
            <v>KTKHLKYDE0XXL</v>
          </cell>
          <cell r="B1142" t="str">
            <v>FFWMYH</v>
          </cell>
        </row>
        <row r="1143">
          <cell r="A1143" t="str">
            <v>KTKHLKYDE0XXXL</v>
          </cell>
          <cell r="B1143" t="str">
            <v>KTKHLKY</v>
          </cell>
        </row>
        <row r="1144">
          <cell r="A1144" t="str">
            <v>KTKHLKYDK0L</v>
          </cell>
          <cell r="B1144" t="str">
            <v>KTKHLKY</v>
          </cell>
        </row>
        <row r="1145">
          <cell r="A1145" t="str">
            <v>KTKHLKYDK0M</v>
          </cell>
          <cell r="B1145" t="str">
            <v>KTKHLKY</v>
          </cell>
        </row>
        <row r="1146">
          <cell r="A1146" t="str">
            <v>KTKHLKYDK0XL</v>
          </cell>
          <cell r="B1146" t="str">
            <v>KTKHLKY</v>
          </cell>
        </row>
        <row r="1147">
          <cell r="A1147" t="str">
            <v>KTKHLKYDK0XXL</v>
          </cell>
          <cell r="B1147" t="str">
            <v>KTKHLKY</v>
          </cell>
        </row>
        <row r="1148">
          <cell r="A1148" t="str">
            <v>KTKHLKYDK0XXXL</v>
          </cell>
          <cell r="B1148" t="str">
            <v>KTKHLKY</v>
          </cell>
        </row>
        <row r="1149">
          <cell r="A1149" t="str">
            <v>KTKHLKYDMHL</v>
          </cell>
          <cell r="B1149" t="str">
            <v>KTKHLKY</v>
          </cell>
        </row>
        <row r="1150">
          <cell r="A1150" t="str">
            <v>KTKHLKYDMHM</v>
          </cell>
          <cell r="B1150" t="str">
            <v>KTKHLKY</v>
          </cell>
        </row>
        <row r="1151">
          <cell r="A1151" t="str">
            <v>KTKHLKYDMHXL</v>
          </cell>
          <cell r="B1151" t="str">
            <v>KTKHLKY</v>
          </cell>
        </row>
        <row r="1152">
          <cell r="A1152" t="str">
            <v>KTKHLKYDMHXXL</v>
          </cell>
          <cell r="B1152" t="str">
            <v>KTKHLKY</v>
          </cell>
        </row>
        <row r="1153">
          <cell r="A1153" t="str">
            <v>KTKHLKYDMHXXXL</v>
          </cell>
          <cell r="B1153" t="str">
            <v>KTKHLKY</v>
          </cell>
        </row>
        <row r="1154">
          <cell r="A1154" t="str">
            <v>KTKHLKYDR0L</v>
          </cell>
          <cell r="B1154" t="str">
            <v>KTKHLKY</v>
          </cell>
        </row>
        <row r="1155">
          <cell r="A1155" t="str">
            <v>KTKHLKYDR0M</v>
          </cell>
          <cell r="B1155" t="str">
            <v>KTKHLKY</v>
          </cell>
        </row>
        <row r="1156">
          <cell r="A1156" t="str">
            <v>KTKHLKYDR0XL</v>
          </cell>
          <cell r="B1156" t="str">
            <v>KTKHLKY</v>
          </cell>
        </row>
        <row r="1157">
          <cell r="A1157" t="str">
            <v>KTKHLKYDR0XXL</v>
          </cell>
          <cell r="B1157" t="str">
            <v>KTKHLKY</v>
          </cell>
        </row>
        <row r="1158">
          <cell r="A1158" t="str">
            <v>KTKHLKYDR0XXXL</v>
          </cell>
          <cell r="B1158" t="str">
            <v>KTKHLKY</v>
          </cell>
        </row>
        <row r="1159">
          <cell r="A1159" t="str">
            <v>KTKHLZMKBLL</v>
          </cell>
          <cell r="B1159" t="str">
            <v>KTKHLKY</v>
          </cell>
        </row>
        <row r="1160">
          <cell r="A1160" t="str">
            <v>KTKHLZMKBLM</v>
          </cell>
          <cell r="B1160" t="str">
            <v>KTKHLKY</v>
          </cell>
        </row>
        <row r="1161">
          <cell r="A1161" t="str">
            <v>KTKHLZMKBLXL</v>
          </cell>
          <cell r="B1161" t="str">
            <v>KTKHLKY</v>
          </cell>
        </row>
        <row r="1162">
          <cell r="A1162" t="str">
            <v>KTKHLZMKBLXXL</v>
          </cell>
          <cell r="B1162" t="str">
            <v>KTKHLZ</v>
          </cell>
        </row>
        <row r="1163">
          <cell r="A1163" t="str">
            <v>KTKHLZMKBLXXXL</v>
          </cell>
          <cell r="B1163" t="str">
            <v>KTKHLZ</v>
          </cell>
        </row>
        <row r="1164">
          <cell r="A1164" t="str">
            <v>KTKHLZMKE0L</v>
          </cell>
          <cell r="B1164" t="str">
            <v>KTKHLZ</v>
          </cell>
        </row>
        <row r="1165">
          <cell r="A1165" t="str">
            <v>KTKHLZMKE0M</v>
          </cell>
          <cell r="B1165" t="str">
            <v>KTKHLZ</v>
          </cell>
        </row>
        <row r="1166">
          <cell r="A1166" t="str">
            <v>KTKHLZMKE0XL</v>
          </cell>
          <cell r="B1166" t="str">
            <v>KTKHLZ</v>
          </cell>
        </row>
        <row r="1167">
          <cell r="A1167" t="str">
            <v>KTKHLZMKE0XXL</v>
          </cell>
          <cell r="B1167" t="str">
            <v>KTKHLZ</v>
          </cell>
        </row>
        <row r="1168">
          <cell r="A1168" t="str">
            <v>KTKHLZMKE0XXXL</v>
          </cell>
          <cell r="B1168" t="str">
            <v>KTKHLZ</v>
          </cell>
        </row>
        <row r="1169">
          <cell r="A1169" t="str">
            <v>KTKHLZMKK0L</v>
          </cell>
          <cell r="B1169" t="str">
            <v>KTKHLZ</v>
          </cell>
        </row>
        <row r="1170">
          <cell r="A1170" t="str">
            <v>KTKHLZMKK0M</v>
          </cell>
          <cell r="B1170" t="str">
            <v>KTKHLZ</v>
          </cell>
        </row>
        <row r="1171">
          <cell r="A1171" t="str">
            <v>KTKHLZMKK0XL</v>
          </cell>
          <cell r="B1171" t="str">
            <v>KTKHLZ</v>
          </cell>
        </row>
        <row r="1172">
          <cell r="A1172" t="str">
            <v>KTKHLZMKK0XXL</v>
          </cell>
          <cell r="B1172" t="str">
            <v>KTKHLZ</v>
          </cell>
        </row>
        <row r="1173">
          <cell r="A1173" t="str">
            <v>KTKHLZMKK0XXXL</v>
          </cell>
          <cell r="B1173" t="str">
            <v>KTKHLZ</v>
          </cell>
        </row>
        <row r="1174">
          <cell r="A1174" t="str">
            <v>KTKHLZMKMHL</v>
          </cell>
          <cell r="B1174" t="str">
            <v>KTKHLZ</v>
          </cell>
        </row>
        <row r="1175">
          <cell r="A1175" t="str">
            <v>KTKHLZMKMHM</v>
          </cell>
          <cell r="B1175" t="str">
            <v>KTKHLZ</v>
          </cell>
        </row>
        <row r="1176">
          <cell r="A1176" t="str">
            <v>KTKHLZMKMHXL</v>
          </cell>
          <cell r="B1176" t="str">
            <v>KTKHLZ</v>
          </cell>
        </row>
        <row r="1177">
          <cell r="A1177" t="str">
            <v>KTKHLZMKMHXXL</v>
          </cell>
          <cell r="B1177" t="str">
            <v>KTKHLZ</v>
          </cell>
        </row>
        <row r="1178">
          <cell r="A1178" t="str">
            <v>KTKHLZMKMHXXXL</v>
          </cell>
          <cell r="B1178" t="str">
            <v>KTKHLZ</v>
          </cell>
        </row>
        <row r="1179">
          <cell r="A1179" t="str">
            <v>KTKHLZMKR0L</v>
          </cell>
          <cell r="B1179" t="str">
            <v>KTKHLZ</v>
          </cell>
        </row>
        <row r="1180">
          <cell r="A1180" t="str">
            <v>KTKHLZMKR0M</v>
          </cell>
          <cell r="B1180" t="str">
            <v>KTKHLZ</v>
          </cell>
        </row>
        <row r="1181">
          <cell r="A1181" t="str">
            <v>KTKHLZMKR0XL</v>
          </cell>
          <cell r="B1181" t="str">
            <v>KTKHLZ</v>
          </cell>
        </row>
        <row r="1182">
          <cell r="A1182" t="str">
            <v>KTKHLZMKR0XXL</v>
          </cell>
          <cell r="B1182" t="str">
            <v>KTKHLZ</v>
          </cell>
        </row>
        <row r="1183">
          <cell r="A1183" t="str">
            <v>KTKHLZMKR0XXXL</v>
          </cell>
          <cell r="B1183" t="str">
            <v>KTKHLZ</v>
          </cell>
        </row>
        <row r="1184">
          <cell r="A1184" t="str">
            <v>KTKJFKMZFB02L</v>
          </cell>
          <cell r="B1184" t="str">
            <v>KTKHLZ</v>
          </cell>
        </row>
        <row r="1185">
          <cell r="A1185" t="str">
            <v>KTKJFKMZFB0L</v>
          </cell>
          <cell r="B1185" t="str">
            <v>KTKHLZ</v>
          </cell>
        </row>
        <row r="1186">
          <cell r="A1186" t="str">
            <v>KTKJFKMZFB0M</v>
          </cell>
          <cell r="B1186" t="str">
            <v>KTKHLZ</v>
          </cell>
        </row>
        <row r="1187">
          <cell r="A1187" t="str">
            <v>KTKJFKMZFB0XL</v>
          </cell>
          <cell r="B1187" t="str">
            <v>KTKJFKM</v>
          </cell>
        </row>
        <row r="1188">
          <cell r="A1188" t="str">
            <v>KTKJFKMZFZQ2L</v>
          </cell>
          <cell r="B1188" t="str">
            <v>KTKJFKM</v>
          </cell>
        </row>
        <row r="1189">
          <cell r="A1189" t="str">
            <v>KTKJFKMZFZQL</v>
          </cell>
          <cell r="B1189" t="str">
            <v>KTKJFKM</v>
          </cell>
        </row>
        <row r="1190">
          <cell r="A1190" t="str">
            <v>KTKJFKMZFZQM</v>
          </cell>
          <cell r="B1190" t="str">
            <v>KTKJFKM</v>
          </cell>
        </row>
        <row r="1191">
          <cell r="A1191" t="str">
            <v>KTKJFKMZFZQXL</v>
          </cell>
          <cell r="B1191" t="str">
            <v>KTKJFKM</v>
          </cell>
        </row>
        <row r="1192">
          <cell r="A1192" t="str">
            <v>KTKNUMBERK0L</v>
          </cell>
          <cell r="B1192" t="str">
            <v>KTKJFKM</v>
          </cell>
        </row>
        <row r="1193">
          <cell r="A1193" t="str">
            <v>KTKNUMBERK0M</v>
          </cell>
          <cell r="B1193" t="str">
            <v>KTKJFKM</v>
          </cell>
        </row>
        <row r="1194">
          <cell r="A1194" t="str">
            <v>KTKNUMBERK0XL</v>
          </cell>
          <cell r="B1194" t="str">
            <v>KTKJFKM</v>
          </cell>
        </row>
        <row r="1195">
          <cell r="A1195" t="str">
            <v>KTKNUMBERW0L</v>
          </cell>
          <cell r="B1195" t="str">
            <v>KTKNUMBER</v>
          </cell>
        </row>
        <row r="1196">
          <cell r="A1196" t="str">
            <v>KTKNUMBERW0M</v>
          </cell>
          <cell r="B1196" t="str">
            <v>KTKNUMBER</v>
          </cell>
        </row>
        <row r="1197">
          <cell r="A1197" t="str">
            <v>KTKNUMBERW0XL</v>
          </cell>
          <cell r="B1197" t="str">
            <v>KTKNUMBER</v>
          </cell>
        </row>
        <row r="1198">
          <cell r="A1198" t="str">
            <v>KTKNUQFKE0L</v>
          </cell>
          <cell r="B1198" t="str">
            <v>KTKNUMBER</v>
          </cell>
        </row>
        <row r="1199">
          <cell r="A1199" t="str">
            <v>KTKNUQFKE0M</v>
          </cell>
          <cell r="B1199" t="str">
            <v>KTKNUMBER</v>
          </cell>
        </row>
        <row r="1200">
          <cell r="A1200" t="str">
            <v>KTKNUQFKE0XL</v>
          </cell>
          <cell r="B1200" t="str">
            <v>KTKNUMBER</v>
          </cell>
        </row>
        <row r="1201">
          <cell r="A1201" t="str">
            <v>KTKNUQFKKQSL</v>
          </cell>
          <cell r="B1201" t="str">
            <v>KTKNUQFK</v>
          </cell>
        </row>
        <row r="1202">
          <cell r="A1202" t="str">
            <v>KTKNUQFKKQSM</v>
          </cell>
          <cell r="B1202" t="str">
            <v>KTKNUQFK</v>
          </cell>
        </row>
        <row r="1203">
          <cell r="A1203" t="str">
            <v>KTKNUQFKKQSXL</v>
          </cell>
          <cell r="B1203" t="str">
            <v>KTKNUQFK</v>
          </cell>
        </row>
        <row r="1204">
          <cell r="A1204" t="str">
            <v>KTKNUQFKW0L</v>
          </cell>
          <cell r="B1204" t="str">
            <v>KTKNUQFK</v>
          </cell>
        </row>
        <row r="1205">
          <cell r="A1205" t="str">
            <v>KTKNUQFKW0M</v>
          </cell>
          <cell r="B1205" t="str">
            <v>KTKNUQFK</v>
          </cell>
        </row>
        <row r="1206">
          <cell r="A1206" t="str">
            <v>KTKNUQFKW0XL</v>
          </cell>
          <cell r="B1206" t="str">
            <v>KTKNUQFK</v>
          </cell>
        </row>
        <row r="1207">
          <cell r="A1207" t="str">
            <v>KTKSTYDBLL</v>
          </cell>
          <cell r="B1207" t="str">
            <v>KTKNUQFK</v>
          </cell>
        </row>
        <row r="1208">
          <cell r="A1208" t="str">
            <v>KTKSTYDBLM</v>
          </cell>
          <cell r="B1208" t="str">
            <v>KTKNUQFK</v>
          </cell>
        </row>
        <row r="1209">
          <cell r="A1209" t="str">
            <v>KTKSTYDBLXL</v>
          </cell>
          <cell r="B1209" t="str">
            <v>KTKNUQFK</v>
          </cell>
        </row>
        <row r="1210">
          <cell r="A1210" t="str">
            <v>KTKSTYDBLXXL</v>
          </cell>
          <cell r="B1210" t="str">
            <v>KTKSTY</v>
          </cell>
        </row>
        <row r="1211">
          <cell r="A1211" t="str">
            <v>KTKSTYDBLXXXL</v>
          </cell>
          <cell r="B1211" t="str">
            <v>KTKSTY</v>
          </cell>
        </row>
        <row r="1212">
          <cell r="A1212" t="str">
            <v>KTKSTYDK0L</v>
          </cell>
          <cell r="B1212" t="str">
            <v>KTKSTY</v>
          </cell>
        </row>
        <row r="1213">
          <cell r="A1213" t="str">
            <v>KTKSTYDK0M</v>
          </cell>
          <cell r="B1213" t="str">
            <v>KTKSTY</v>
          </cell>
        </row>
        <row r="1214">
          <cell r="A1214" t="str">
            <v>KTKSTYDK0XL</v>
          </cell>
          <cell r="B1214" t="str">
            <v>KTKSTY</v>
          </cell>
        </row>
        <row r="1215">
          <cell r="A1215" t="str">
            <v>KTKSTYDK0XXL</v>
          </cell>
          <cell r="B1215" t="str">
            <v>KTKSTY</v>
          </cell>
        </row>
        <row r="1216">
          <cell r="A1216" t="str">
            <v>KTKSTYDK0XXXL</v>
          </cell>
          <cell r="B1216" t="str">
            <v>KTKSTY</v>
          </cell>
        </row>
        <row r="1217">
          <cell r="A1217" t="str">
            <v>KTKSTYDR0M</v>
          </cell>
          <cell r="B1217" t="str">
            <v>KTKSTY</v>
          </cell>
        </row>
        <row r="1218">
          <cell r="A1218" t="str">
            <v>KTKSTYDR0XL</v>
          </cell>
          <cell r="B1218" t="str">
            <v>KTKSTY</v>
          </cell>
        </row>
        <row r="1219">
          <cell r="A1219" t="str">
            <v>KTKSTYDR0XXL</v>
          </cell>
          <cell r="B1219" t="str">
            <v>KTKSTY</v>
          </cell>
        </row>
        <row r="1220">
          <cell r="A1220" t="str">
            <v>KTKSTYDR0XXXL</v>
          </cell>
          <cell r="B1220" t="str">
            <v>KTKSTY</v>
          </cell>
        </row>
        <row r="1221">
          <cell r="A1221" t="str">
            <v>KTKSTYDSLL</v>
          </cell>
          <cell r="B1221" t="str">
            <v>KTKSTY</v>
          </cell>
        </row>
        <row r="1222">
          <cell r="A1222" t="str">
            <v>KTKSTYDSLM</v>
          </cell>
          <cell r="B1222" t="str">
            <v>KTKSTY</v>
          </cell>
        </row>
        <row r="1223">
          <cell r="A1223" t="str">
            <v>KTKSTYDSLXL</v>
          </cell>
          <cell r="B1223" t="str">
            <v>KTKSTY</v>
          </cell>
        </row>
        <row r="1224">
          <cell r="A1224" t="str">
            <v>KTKSTYDSLXXL</v>
          </cell>
          <cell r="B1224" t="str">
            <v>KTKSTY</v>
          </cell>
        </row>
        <row r="1225">
          <cell r="A1225" t="str">
            <v>KTKSTYDSLXXXL</v>
          </cell>
          <cell r="B1225" t="str">
            <v>KTKSTY</v>
          </cell>
        </row>
        <row r="1226">
          <cell r="A1226" t="str">
            <v>KTKW0TW0L</v>
          </cell>
          <cell r="B1226" t="str">
            <v>KTKSTY</v>
          </cell>
        </row>
        <row r="1227">
          <cell r="A1227" t="str">
            <v>KTKW0TW0M</v>
          </cell>
          <cell r="B1227" t="str">
            <v>KTKSTY</v>
          </cell>
        </row>
        <row r="1228">
          <cell r="A1228" t="str">
            <v>KTKW0TW0XL</v>
          </cell>
          <cell r="B1228" t="str">
            <v>KTKSTY</v>
          </cell>
        </row>
        <row r="1229">
          <cell r="A1229" t="str">
            <v>KTKXJFKJHL</v>
          </cell>
          <cell r="B1229" t="str">
            <v>KTKW0TW</v>
          </cell>
        </row>
        <row r="1230">
          <cell r="A1230" t="str">
            <v>KTKXJFKJHM</v>
          </cell>
          <cell r="B1230" t="str">
            <v>KTKW0TW</v>
          </cell>
        </row>
        <row r="1231">
          <cell r="A1231" t="str">
            <v>KTKXJFKK0L</v>
          </cell>
          <cell r="B1231" t="str">
            <v>KTKW0TW</v>
          </cell>
        </row>
        <row r="1232">
          <cell r="A1232" t="str">
            <v>KTKXJFKK0M</v>
          </cell>
          <cell r="B1232" t="str">
            <v>KTKXJFK</v>
          </cell>
        </row>
        <row r="1233">
          <cell r="A1233" t="str">
            <v>KTKXJFKW0L</v>
          </cell>
          <cell r="B1233" t="str">
            <v>KTKXJFK</v>
          </cell>
        </row>
        <row r="1234">
          <cell r="A1234" t="str">
            <v>KTKXJFKW0M</v>
          </cell>
          <cell r="B1234" t="str">
            <v>KTKXJFK</v>
          </cell>
        </row>
        <row r="1235">
          <cell r="A1235" t="str">
            <v>KTKXKB0</v>
          </cell>
          <cell r="B1235" t="str">
            <v>KTKXJFK</v>
          </cell>
        </row>
        <row r="1236">
          <cell r="A1236" t="str">
            <v>KTKXKB0L</v>
          </cell>
          <cell r="B1236" t="str">
            <v>KTKXJFK</v>
          </cell>
        </row>
        <row r="1237">
          <cell r="A1237" t="str">
            <v>KTKXKG0</v>
          </cell>
          <cell r="B1237" t="str">
            <v>KTKXJFK</v>
          </cell>
        </row>
        <row r="1238">
          <cell r="A1238" t="str">
            <v>KTKXKG0L</v>
          </cell>
          <cell r="B1238" t="str">
            <v>KTKXXK</v>
          </cell>
        </row>
        <row r="1239">
          <cell r="A1239" t="str">
            <v>KTKXKR0</v>
          </cell>
          <cell r="B1239" t="str">
            <v>KTKXXK</v>
          </cell>
        </row>
        <row r="1240">
          <cell r="A1240" t="str">
            <v>KTKXKTCMB0</v>
          </cell>
          <cell r="B1240" t="str">
            <v>KTKXXK</v>
          </cell>
        </row>
        <row r="1241">
          <cell r="A1241" t="str">
            <v>KTKXKTCMG0</v>
          </cell>
          <cell r="B1241" t="str">
            <v>KTKXXK</v>
          </cell>
        </row>
        <row r="1242">
          <cell r="A1242" t="str">
            <v>KTKXKTCMR5</v>
          </cell>
          <cell r="B1242" t="str">
            <v>KTKXXK</v>
          </cell>
        </row>
        <row r="1243">
          <cell r="A1243" t="str">
            <v>KTKXKTCMW0</v>
          </cell>
          <cell r="B1243" t="str">
            <v>KTKXXK</v>
          </cell>
        </row>
        <row r="1244">
          <cell r="A1244" t="str">
            <v>KTKXKW0</v>
          </cell>
          <cell r="B1244" t="str">
            <v>KTKXXK</v>
          </cell>
        </row>
        <row r="1245">
          <cell r="A1245" t="str">
            <v>KTKXKW0L</v>
          </cell>
          <cell r="B1245" t="str">
            <v>KTKXXK</v>
          </cell>
        </row>
        <row r="1246">
          <cell r="A1246" t="str">
            <v>KTKXKY0</v>
          </cell>
          <cell r="B1246" t="str">
            <v>KTKXXK</v>
          </cell>
        </row>
        <row r="1247">
          <cell r="A1247" t="str">
            <v>KTKXXKCDK0L</v>
          </cell>
          <cell r="B1247" t="str">
            <v>KTKXXK</v>
          </cell>
        </row>
        <row r="1248">
          <cell r="A1248" t="str">
            <v>KTKXXKCDK0M</v>
          </cell>
          <cell r="B1248" t="str">
            <v>KTKXXK</v>
          </cell>
        </row>
        <row r="1249">
          <cell r="A1249" t="str">
            <v>KTKXXKCDK0XL</v>
          </cell>
          <cell r="B1249" t="str">
            <v>KTKXXK</v>
          </cell>
        </row>
        <row r="1250">
          <cell r="A1250" t="str">
            <v>KTKXXKCDK0XXL</v>
          </cell>
          <cell r="B1250" t="str">
            <v>KTKXXK</v>
          </cell>
        </row>
        <row r="1251">
          <cell r="A1251" t="str">
            <v>KTKXXKCDK0XXXL</v>
          </cell>
          <cell r="B1251" t="str">
            <v>KTKXXK</v>
          </cell>
        </row>
        <row r="1252">
          <cell r="A1252" t="str">
            <v>KTKXZTKZE0</v>
          </cell>
          <cell r="B1252" t="str">
            <v>KTKXXK</v>
          </cell>
        </row>
        <row r="1253">
          <cell r="A1253" t="str">
            <v>KTKXZTKZZQ</v>
          </cell>
          <cell r="B1253" t="str">
            <v>KTKXXK</v>
          </cell>
        </row>
        <row r="1254">
          <cell r="A1254" t="str">
            <v>KZIMUYH1</v>
          </cell>
          <cell r="B1254" t="str">
            <v>KTKXXK</v>
          </cell>
        </row>
        <row r="1255">
          <cell r="A1255" t="str">
            <v>KZIMUYH2</v>
          </cell>
          <cell r="B1255" t="str">
            <v>KTKXXK</v>
          </cell>
        </row>
        <row r="1256">
          <cell r="A1256" t="str">
            <v>KZIMUYH3</v>
          </cell>
          <cell r="B1256" t="str">
            <v>KTKXXK</v>
          </cell>
        </row>
        <row r="1257">
          <cell r="A1257" t="str">
            <v>KZIMUYH4</v>
          </cell>
          <cell r="B1257" t="str">
            <v>KZIMUYH</v>
          </cell>
        </row>
        <row r="1258">
          <cell r="A1258" t="str">
            <v>KZIMUYH5</v>
          </cell>
          <cell r="B1258" t="str">
            <v>KZIMUYH</v>
          </cell>
        </row>
        <row r="1259">
          <cell r="A1259" t="str">
            <v>KZIMUYH6</v>
          </cell>
          <cell r="B1259" t="str">
            <v>KZIMUYH</v>
          </cell>
        </row>
        <row r="1260">
          <cell r="A1260" t="str">
            <v>KZIMUYH7</v>
          </cell>
          <cell r="B1260" t="str">
            <v>KZIMUYH</v>
          </cell>
        </row>
        <row r="1261">
          <cell r="A1261" t="str">
            <v>KZIMUYH8</v>
          </cell>
          <cell r="B1261" t="str">
            <v>KZIMUYH</v>
          </cell>
        </row>
        <row r="1262">
          <cell r="A1262" t="str">
            <v>KZIMUYH9</v>
          </cell>
          <cell r="B1262" t="str">
            <v>KZIMUYH</v>
          </cell>
        </row>
        <row r="1263">
          <cell r="A1263" t="str">
            <v>LIZHIQICXBL</v>
          </cell>
          <cell r="B1263" t="str">
            <v>KZIMUYH</v>
          </cell>
        </row>
        <row r="1264">
          <cell r="A1264" t="str">
            <v>LIZHIQICXBM</v>
          </cell>
          <cell r="B1264" t="str">
            <v>KZIMUYH</v>
          </cell>
        </row>
        <row r="1265">
          <cell r="A1265" t="str">
            <v>LIZHIQICXGL</v>
          </cell>
          <cell r="B1265" t="str">
            <v>KZIMUYH</v>
          </cell>
        </row>
        <row r="1266">
          <cell r="A1266" t="str">
            <v>LIZHIQICXGM</v>
          </cell>
          <cell r="B1266" t="str">
            <v>LIZHIQICX</v>
          </cell>
        </row>
        <row r="1267">
          <cell r="A1267" t="str">
            <v>LIZHIQICXRL</v>
          </cell>
          <cell r="B1267" t="str">
            <v>LIZHIQICX</v>
          </cell>
        </row>
        <row r="1268">
          <cell r="A1268" t="str">
            <v>LIZHIQICXRM</v>
          </cell>
          <cell r="B1268" t="str">
            <v>LIZHIQICX</v>
          </cell>
        </row>
        <row r="1269">
          <cell r="A1269" t="str">
            <v>LSCKHBMS</v>
          </cell>
          <cell r="B1269" t="str">
            <v>LIZHIQICX</v>
          </cell>
        </row>
        <row r="1270">
          <cell r="A1270" t="str">
            <v>LSCKHBW0</v>
          </cell>
          <cell r="B1270" t="str">
            <v>LIZHIQICX</v>
          </cell>
        </row>
        <row r="1271">
          <cell r="A1271" t="str">
            <v>LSCKHDW0</v>
          </cell>
          <cell r="B1271" t="str">
            <v>LIZHIQICX</v>
          </cell>
        </row>
        <row r="1272">
          <cell r="A1272" t="str">
            <v>LSGXNK0L</v>
          </cell>
          <cell r="B1272" t="str">
            <v>LSCKHB</v>
          </cell>
        </row>
        <row r="1273">
          <cell r="A1273" t="str">
            <v>LSGXNK0M</v>
          </cell>
          <cell r="B1273" t="str">
            <v>LSCKHB</v>
          </cell>
        </row>
        <row r="1274">
          <cell r="A1274" t="str">
            <v>LSGXNK0XL</v>
          </cell>
          <cell r="B1274" t="str">
            <v>LSCKHD</v>
          </cell>
        </row>
        <row r="1275">
          <cell r="A1275" t="str">
            <v>LSGXNK0XXL</v>
          </cell>
          <cell r="B1275" t="str">
            <v>LSGXN</v>
          </cell>
        </row>
        <row r="1276">
          <cell r="A1276" t="str">
            <v>LSJMW0</v>
          </cell>
          <cell r="B1276" t="str">
            <v>LSGXN</v>
          </cell>
        </row>
        <row r="1277">
          <cell r="A1277" t="str">
            <v>LSJMXYS</v>
          </cell>
          <cell r="B1277" t="str">
            <v>LSGXN</v>
          </cell>
        </row>
        <row r="1278">
          <cell r="A1278" t="str">
            <v>LSNHW0</v>
          </cell>
          <cell r="B1278" t="str">
            <v>LSGXN</v>
          </cell>
        </row>
        <row r="1279">
          <cell r="A1279" t="str">
            <v>LSNWZG0</v>
          </cell>
          <cell r="B1279" t="str">
            <v>LSJM</v>
          </cell>
        </row>
        <row r="1280">
          <cell r="A1280" t="str">
            <v>LSZZCSKG0</v>
          </cell>
          <cell r="B1280" t="str">
            <v>LSJM</v>
          </cell>
        </row>
        <row r="1281">
          <cell r="A1281" t="str">
            <v>LSZZCSKK0</v>
          </cell>
          <cell r="B1281" t="str">
            <v>LSNH</v>
          </cell>
        </row>
        <row r="1282">
          <cell r="A1282" t="str">
            <v>LSZZCSKMS</v>
          </cell>
          <cell r="B1282" t="str">
            <v>LSNWZ</v>
          </cell>
        </row>
        <row r="1283">
          <cell r="A1283" t="str">
            <v>LSZZCSKR0</v>
          </cell>
          <cell r="B1283" t="str">
            <v>LSZZCSK</v>
          </cell>
        </row>
        <row r="1284">
          <cell r="A1284" t="str">
            <v>LSZZCSKZQ</v>
          </cell>
          <cell r="B1284" t="str">
            <v>LSZZCSK</v>
          </cell>
        </row>
        <row r="1285">
          <cell r="A1285" t="str">
            <v>LY-AKFAZL</v>
          </cell>
          <cell r="B1285" t="str">
            <v>LSZZCSK</v>
          </cell>
        </row>
        <row r="1286">
          <cell r="A1286" t="str">
            <v>LY-AKFAZM</v>
          </cell>
          <cell r="B1286" t="str">
            <v>LSZZCSK</v>
          </cell>
        </row>
        <row r="1287">
          <cell r="A1287" t="str">
            <v>LY-AKFAZS</v>
          </cell>
          <cell r="B1287" t="str">
            <v>LSZZCSK</v>
          </cell>
        </row>
        <row r="1288">
          <cell r="A1288" t="str">
            <v>LY-AKFAZXL</v>
          </cell>
          <cell r="B1288" t="str">
            <v>LY-AKF</v>
          </cell>
        </row>
        <row r="1289">
          <cell r="A1289" t="str">
            <v>LY-AKFAZXXL</v>
          </cell>
          <cell r="B1289" t="str">
            <v>LY-AKF</v>
          </cell>
        </row>
        <row r="1290">
          <cell r="A1290" t="str">
            <v>LY-AKFAZXXXL</v>
          </cell>
          <cell r="B1290" t="str">
            <v>LY-AKF</v>
          </cell>
        </row>
        <row r="1291">
          <cell r="A1291" t="str">
            <v>LY-AKFAZXXXXL</v>
          </cell>
          <cell r="B1291" t="str">
            <v>LY-AKF</v>
          </cell>
        </row>
        <row r="1292">
          <cell r="A1292" t="str">
            <v>LY-AKFFYHL</v>
          </cell>
          <cell r="B1292" t="str">
            <v>LY-AKF</v>
          </cell>
        </row>
        <row r="1293">
          <cell r="A1293" t="str">
            <v>LY-AKFFYHM</v>
          </cell>
          <cell r="B1293" t="str">
            <v>LY-AKF</v>
          </cell>
        </row>
        <row r="1294">
          <cell r="A1294" t="str">
            <v>LY-AKFFYHS</v>
          </cell>
          <cell r="B1294" t="str">
            <v>LY-AKF</v>
          </cell>
        </row>
        <row r="1295">
          <cell r="A1295" t="str">
            <v>LY-AKFFYHXL</v>
          </cell>
          <cell r="B1295" t="str">
            <v>LY-AKF</v>
          </cell>
        </row>
        <row r="1296">
          <cell r="A1296" t="str">
            <v>LY-AKFFYHXXL</v>
          </cell>
          <cell r="B1296" t="str">
            <v>LY-AKF</v>
          </cell>
        </row>
        <row r="1297">
          <cell r="A1297" t="str">
            <v>LY-AKFFYHXXXL</v>
          </cell>
          <cell r="B1297" t="str">
            <v>LY-AKF</v>
          </cell>
        </row>
        <row r="1298">
          <cell r="A1298" t="str">
            <v>LY-AKFFYHXXXXL</v>
          </cell>
          <cell r="B1298" t="str">
            <v>LY-AKF</v>
          </cell>
        </row>
        <row r="1299">
          <cell r="A1299" t="str">
            <v>LY-AKFKQHL</v>
          </cell>
          <cell r="B1299" t="str">
            <v>LY-AKF</v>
          </cell>
        </row>
        <row r="1300">
          <cell r="A1300" t="str">
            <v>LY-AKFKQHM</v>
          </cell>
          <cell r="B1300" t="str">
            <v>LY-AKF</v>
          </cell>
        </row>
        <row r="1301">
          <cell r="A1301" t="str">
            <v>LY-AKFKQHS</v>
          </cell>
          <cell r="B1301" t="str">
            <v>LY-AKF</v>
          </cell>
        </row>
        <row r="1302">
          <cell r="A1302" t="str">
            <v>LY-AKFKQHXL</v>
          </cell>
          <cell r="B1302" t="str">
            <v>LY-AKF</v>
          </cell>
        </row>
        <row r="1303">
          <cell r="A1303" t="str">
            <v>LY-AKFKQHXXL</v>
          </cell>
          <cell r="B1303" t="str">
            <v>LY-AKF</v>
          </cell>
        </row>
        <row r="1304">
          <cell r="A1304" t="str">
            <v>LY-AKFKQHXXXL</v>
          </cell>
          <cell r="B1304" t="str">
            <v>LY-AKF</v>
          </cell>
        </row>
        <row r="1305">
          <cell r="A1305" t="str">
            <v>LY-AKFKQHXXXXL</v>
          </cell>
          <cell r="B1305" t="str">
            <v>LY-AKF</v>
          </cell>
        </row>
        <row r="1306">
          <cell r="A1306" t="str">
            <v>LY-FSPFHL</v>
          </cell>
          <cell r="B1306" t="str">
            <v>LY-AKF</v>
          </cell>
        </row>
        <row r="1307">
          <cell r="A1307" t="str">
            <v>LY-FSPFHM</v>
          </cell>
          <cell r="B1307" t="str">
            <v>LY-AKF</v>
          </cell>
        </row>
        <row r="1308">
          <cell r="A1308" t="str">
            <v>LY-FSPFHS</v>
          </cell>
          <cell r="B1308" t="str">
            <v>LY-AKF</v>
          </cell>
        </row>
        <row r="1309">
          <cell r="A1309" t="str">
            <v>LY-FSPFHXL</v>
          </cell>
          <cell r="B1309" t="str">
            <v>LY-FSP</v>
          </cell>
        </row>
        <row r="1310">
          <cell r="A1310" t="str">
            <v>LY-FSPFHXXL</v>
          </cell>
          <cell r="B1310" t="str">
            <v>LY-FSP</v>
          </cell>
        </row>
        <row r="1311">
          <cell r="A1311" t="str">
            <v>LY-FSPFHXXXL</v>
          </cell>
          <cell r="B1311" t="str">
            <v>LY-FSP</v>
          </cell>
        </row>
        <row r="1312">
          <cell r="A1312" t="str">
            <v>LY-FSPFHXXXXL</v>
          </cell>
          <cell r="B1312" t="str">
            <v>LY-FSP</v>
          </cell>
        </row>
        <row r="1313">
          <cell r="A1313" t="str">
            <v>LY-FSPPGL</v>
          </cell>
          <cell r="B1313" t="str">
            <v>LY-FSP</v>
          </cell>
        </row>
        <row r="1314">
          <cell r="A1314" t="str">
            <v>LY-FSPPGM</v>
          </cell>
          <cell r="B1314" t="str">
            <v>LY-FSP</v>
          </cell>
        </row>
        <row r="1315">
          <cell r="A1315" t="str">
            <v>LY-FSPPGS</v>
          </cell>
          <cell r="B1315" t="str">
            <v>LY-FSP</v>
          </cell>
        </row>
        <row r="1316">
          <cell r="A1316" t="str">
            <v>LY-FSPPGXL</v>
          </cell>
          <cell r="B1316" t="str">
            <v>LY-FSP</v>
          </cell>
        </row>
        <row r="1317">
          <cell r="A1317" t="str">
            <v>LY-FSPPGXXL</v>
          </cell>
          <cell r="B1317" t="str">
            <v>LY-FSP</v>
          </cell>
        </row>
        <row r="1318">
          <cell r="A1318" t="str">
            <v>LY-FSPPGXXXL</v>
          </cell>
          <cell r="B1318" t="str">
            <v>LY-FSP</v>
          </cell>
        </row>
        <row r="1319">
          <cell r="A1319" t="str">
            <v>LY-FSPPGXXXXL</v>
          </cell>
          <cell r="B1319" t="str">
            <v>LY-FSP</v>
          </cell>
        </row>
        <row r="1320">
          <cell r="A1320" t="str">
            <v>LY-FSPSYLL</v>
          </cell>
          <cell r="B1320" t="str">
            <v>LY-FSP</v>
          </cell>
        </row>
        <row r="1321">
          <cell r="A1321" t="str">
            <v>LY-FSPSYLM</v>
          </cell>
          <cell r="B1321" t="str">
            <v>LY-FSP</v>
          </cell>
        </row>
        <row r="1322">
          <cell r="A1322" t="str">
            <v>LY-FSPSYLS</v>
          </cell>
          <cell r="B1322" t="str">
            <v>LY-FSP</v>
          </cell>
        </row>
        <row r="1323">
          <cell r="A1323" t="str">
            <v>LY-FSPSYLXL</v>
          </cell>
          <cell r="B1323" t="str">
            <v>LY-FSP</v>
          </cell>
        </row>
        <row r="1324">
          <cell r="A1324" t="str">
            <v>LY-FSPSYLXXL</v>
          </cell>
          <cell r="B1324" t="str">
            <v>LY-FSP</v>
          </cell>
        </row>
        <row r="1325">
          <cell r="A1325" t="str">
            <v>LY-FSPSYLXXXL</v>
          </cell>
          <cell r="B1325" t="str">
            <v>LY-FSP</v>
          </cell>
        </row>
        <row r="1326">
          <cell r="A1326" t="str">
            <v>LY-FSPSYLXXXXL</v>
          </cell>
          <cell r="B1326" t="str">
            <v>LY-FSP</v>
          </cell>
        </row>
        <row r="1327">
          <cell r="A1327" t="str">
            <v>LY-HAMALL</v>
          </cell>
          <cell r="B1327" t="str">
            <v>LY-FSP</v>
          </cell>
        </row>
        <row r="1328">
          <cell r="A1328" t="str">
            <v>LY-HAMALM</v>
          </cell>
          <cell r="B1328" t="str">
            <v>LY-FSP</v>
          </cell>
        </row>
        <row r="1329">
          <cell r="A1329" t="str">
            <v>LY-HAMALS</v>
          </cell>
          <cell r="B1329" t="str">
            <v>LY-FSP</v>
          </cell>
        </row>
        <row r="1330">
          <cell r="A1330" t="str">
            <v>LY-HAMALXL</v>
          </cell>
          <cell r="B1330" t="str">
            <v>LY-HAM</v>
          </cell>
        </row>
        <row r="1331">
          <cell r="A1331" t="str">
            <v>LY-HAMALXXL</v>
          </cell>
          <cell r="B1331" t="str">
            <v>LY-HAM</v>
          </cell>
        </row>
        <row r="1332">
          <cell r="A1332" t="str">
            <v>LY-HAMALXXXL</v>
          </cell>
          <cell r="B1332" t="str">
            <v>LY-HAM</v>
          </cell>
        </row>
        <row r="1333">
          <cell r="A1333" t="str">
            <v>LY-HAMALXXXXL</v>
          </cell>
          <cell r="B1333" t="str">
            <v>LY-HAM</v>
          </cell>
        </row>
        <row r="1334">
          <cell r="A1334" t="str">
            <v>LY-HAMHYHL</v>
          </cell>
          <cell r="B1334" t="str">
            <v>LY-HAM</v>
          </cell>
        </row>
        <row r="1335">
          <cell r="A1335" t="str">
            <v>LY-HAMHYHM</v>
          </cell>
          <cell r="B1335" t="str">
            <v>LY-HAM</v>
          </cell>
        </row>
        <row r="1336">
          <cell r="A1336" t="str">
            <v>LY-HAMHYHS</v>
          </cell>
          <cell r="B1336" t="str">
            <v>LY-HAM</v>
          </cell>
        </row>
        <row r="1337">
          <cell r="A1337" t="str">
            <v>LY-HAMHYHXL</v>
          </cell>
          <cell r="B1337" t="str">
            <v>LY-HAM</v>
          </cell>
        </row>
        <row r="1338">
          <cell r="A1338" t="str">
            <v>LY-HAMHYHXXL</v>
          </cell>
          <cell r="B1338" t="str">
            <v>LY-HAM</v>
          </cell>
        </row>
        <row r="1339">
          <cell r="A1339" t="str">
            <v>LY-HAMHYHXXXL</v>
          </cell>
          <cell r="B1339" t="str">
            <v>LY-HAM</v>
          </cell>
        </row>
        <row r="1340">
          <cell r="A1340" t="str">
            <v>LY-HAMHYHXXXXL</v>
          </cell>
          <cell r="B1340" t="str">
            <v>LY-HAM</v>
          </cell>
        </row>
        <row r="1341">
          <cell r="A1341" t="str">
            <v>LY-HAMMLL</v>
          </cell>
          <cell r="B1341" t="str">
            <v>LY-HAM</v>
          </cell>
        </row>
        <row r="1342">
          <cell r="A1342" t="str">
            <v>LY-HAMMLM</v>
          </cell>
          <cell r="B1342" t="str">
            <v>LY-HAM</v>
          </cell>
        </row>
        <row r="1343">
          <cell r="A1343" t="str">
            <v>LY-HAMMLS</v>
          </cell>
          <cell r="B1343" t="str">
            <v>LY-HAM</v>
          </cell>
        </row>
        <row r="1344">
          <cell r="A1344" t="str">
            <v>LY-HAMMLXL</v>
          </cell>
          <cell r="B1344" t="str">
            <v>LY-HAM</v>
          </cell>
        </row>
        <row r="1345">
          <cell r="A1345" t="str">
            <v>LY-HAMMLXXL</v>
          </cell>
          <cell r="B1345" t="str">
            <v>LY-HAM</v>
          </cell>
        </row>
        <row r="1346">
          <cell r="A1346" t="str">
            <v>LY-HAMMLXXXL</v>
          </cell>
          <cell r="B1346" t="str">
            <v>LY-HAM</v>
          </cell>
        </row>
        <row r="1347">
          <cell r="A1347" t="str">
            <v>LY-HAMMLXXXXL</v>
          </cell>
          <cell r="B1347" t="str">
            <v>LY-HAM</v>
          </cell>
        </row>
        <row r="1348">
          <cell r="A1348" t="str">
            <v>LY-HHDDHL</v>
          </cell>
          <cell r="B1348" t="str">
            <v>LY-HAM</v>
          </cell>
        </row>
        <row r="1349">
          <cell r="A1349" t="str">
            <v>LY-HHDDHM</v>
          </cell>
          <cell r="B1349" t="str">
            <v>LY-HAM</v>
          </cell>
        </row>
        <row r="1350">
          <cell r="A1350" t="str">
            <v>LY-HHDDHS</v>
          </cell>
          <cell r="B1350" t="str">
            <v>LY-HAM</v>
          </cell>
        </row>
        <row r="1351">
          <cell r="A1351" t="str">
            <v>LY-HHDDHXL</v>
          </cell>
          <cell r="B1351" t="str">
            <v>LY-HHD</v>
          </cell>
        </row>
        <row r="1352">
          <cell r="A1352" t="str">
            <v>LY-HHDDHXXL</v>
          </cell>
          <cell r="B1352" t="str">
            <v>LY-HHD</v>
          </cell>
        </row>
        <row r="1353">
          <cell r="A1353" t="str">
            <v>LY-HHDDHXXXL</v>
          </cell>
          <cell r="B1353" t="str">
            <v>LY-HHD</v>
          </cell>
        </row>
        <row r="1354">
          <cell r="A1354" t="str">
            <v>LY-HHDDHXXXXL</v>
          </cell>
          <cell r="B1354" t="str">
            <v>LY-HHD</v>
          </cell>
        </row>
        <row r="1355">
          <cell r="A1355" t="str">
            <v>LY-HHDHHSL</v>
          </cell>
          <cell r="B1355" t="str">
            <v>LY-HHD</v>
          </cell>
        </row>
        <row r="1356">
          <cell r="A1356" t="str">
            <v>LY-HHDHHSM</v>
          </cell>
          <cell r="B1356" t="str">
            <v>LY-HHD</v>
          </cell>
        </row>
        <row r="1357">
          <cell r="A1357" t="str">
            <v>LY-HHDHHSS</v>
          </cell>
          <cell r="B1357" t="str">
            <v>LY-HHD</v>
          </cell>
        </row>
        <row r="1358">
          <cell r="A1358" t="str">
            <v>LY-HHDHHSXL</v>
          </cell>
          <cell r="B1358" t="str">
            <v>LY-HHD</v>
          </cell>
        </row>
        <row r="1359">
          <cell r="A1359" t="str">
            <v>LY-HHDHHSXXL</v>
          </cell>
          <cell r="B1359" t="str">
            <v>LY-HHD</v>
          </cell>
        </row>
        <row r="1360">
          <cell r="A1360" t="str">
            <v>LY-HHDHHSXXXL</v>
          </cell>
          <cell r="B1360" t="str">
            <v>LY-HHD</v>
          </cell>
        </row>
        <row r="1361">
          <cell r="A1361" t="str">
            <v>LY-HHDHHSXXXXL</v>
          </cell>
          <cell r="B1361" t="str">
            <v>LY-HHD</v>
          </cell>
        </row>
        <row r="1362">
          <cell r="A1362" t="str">
            <v>LY-HHDK0L</v>
          </cell>
          <cell r="B1362" t="str">
            <v>LY-HHD</v>
          </cell>
        </row>
        <row r="1363">
          <cell r="A1363" t="str">
            <v>LY-HHDK0M</v>
          </cell>
          <cell r="B1363" t="str">
            <v>LY-HHD</v>
          </cell>
        </row>
        <row r="1364">
          <cell r="A1364" t="str">
            <v>LY-HHDK0S</v>
          </cell>
          <cell r="B1364" t="str">
            <v>LY-HHD</v>
          </cell>
        </row>
        <row r="1365">
          <cell r="A1365" t="str">
            <v>LY-HHDK0XL</v>
          </cell>
          <cell r="B1365" t="str">
            <v>LY-HHD</v>
          </cell>
        </row>
        <row r="1366">
          <cell r="A1366" t="str">
            <v>LY-HHDK0XXL</v>
          </cell>
          <cell r="B1366" t="str">
            <v>LY-HHD</v>
          </cell>
        </row>
        <row r="1367">
          <cell r="A1367" t="str">
            <v>LY-HHDK0XXXL</v>
          </cell>
          <cell r="B1367" t="str">
            <v>LY-HHD</v>
          </cell>
        </row>
        <row r="1368">
          <cell r="A1368" t="str">
            <v>LY-HHDK0XXXXL</v>
          </cell>
          <cell r="B1368" t="str">
            <v>LY-HHD</v>
          </cell>
        </row>
        <row r="1369">
          <cell r="A1369" t="str">
            <v>LY-HHLB0L</v>
          </cell>
          <cell r="B1369" t="str">
            <v>LY-HHD</v>
          </cell>
        </row>
        <row r="1370">
          <cell r="A1370" t="str">
            <v>LY-HHLB0M</v>
          </cell>
          <cell r="B1370" t="str">
            <v>LY-HHD</v>
          </cell>
        </row>
        <row r="1371">
          <cell r="A1371" t="str">
            <v>LY-HHLB0S</v>
          </cell>
          <cell r="B1371" t="str">
            <v>LY-HHD</v>
          </cell>
        </row>
        <row r="1372">
          <cell r="A1372" t="str">
            <v>LY-HHLB0XL</v>
          </cell>
          <cell r="B1372" t="str">
            <v>LY-HHL</v>
          </cell>
        </row>
        <row r="1373">
          <cell r="A1373" t="str">
            <v>LY-HHLB0XXL</v>
          </cell>
          <cell r="B1373" t="str">
            <v>LY-HHL</v>
          </cell>
        </row>
        <row r="1374">
          <cell r="A1374" t="str">
            <v>LY-HHLB0XXXL</v>
          </cell>
          <cell r="B1374" t="str">
            <v>LY-HHL</v>
          </cell>
        </row>
        <row r="1375">
          <cell r="A1375" t="str">
            <v>LY-HHLB0XXXXL</v>
          </cell>
          <cell r="B1375" t="str">
            <v>LY-HHL</v>
          </cell>
        </row>
        <row r="1376">
          <cell r="A1376" t="str">
            <v>LY-HHLHLSL</v>
          </cell>
          <cell r="B1376" t="str">
            <v>LY-HHL</v>
          </cell>
        </row>
        <row r="1377">
          <cell r="A1377" t="str">
            <v>LY-HHLHLSM</v>
          </cell>
          <cell r="B1377" t="str">
            <v>LY-HHL</v>
          </cell>
        </row>
        <row r="1378">
          <cell r="A1378" t="str">
            <v>LY-HHLHLSS</v>
          </cell>
          <cell r="B1378" t="str">
            <v>LY-HHL</v>
          </cell>
        </row>
        <row r="1379">
          <cell r="A1379" t="str">
            <v>LY-HHLHLSXL</v>
          </cell>
          <cell r="B1379" t="str">
            <v>LY-HHL</v>
          </cell>
        </row>
        <row r="1380">
          <cell r="A1380" t="str">
            <v>LY-HHLHLSXXL</v>
          </cell>
          <cell r="B1380" t="str">
            <v>LY-HHL</v>
          </cell>
        </row>
        <row r="1381">
          <cell r="A1381" t="str">
            <v>LY-HHLHLSXXXL</v>
          </cell>
          <cell r="B1381" t="str">
            <v>LY-HHL</v>
          </cell>
        </row>
        <row r="1382">
          <cell r="A1382" t="str">
            <v>LY-HHLHLSXXXXL</v>
          </cell>
          <cell r="B1382" t="str">
            <v>LY-HHL</v>
          </cell>
        </row>
        <row r="1383">
          <cell r="A1383" t="str">
            <v>LY-HHLR0L</v>
          </cell>
          <cell r="B1383" t="str">
            <v>LY-HHL</v>
          </cell>
        </row>
        <row r="1384">
          <cell r="A1384" t="str">
            <v>LY-HHLR0M</v>
          </cell>
          <cell r="B1384" t="str">
            <v>LY-HHL</v>
          </cell>
        </row>
        <row r="1385">
          <cell r="A1385" t="str">
            <v>LY-HHLR0S</v>
          </cell>
          <cell r="B1385" t="str">
            <v>LY-HHL</v>
          </cell>
        </row>
        <row r="1386">
          <cell r="A1386" t="str">
            <v>LY-HHLR0XL</v>
          </cell>
          <cell r="B1386" t="str">
            <v>LY-HHL</v>
          </cell>
        </row>
        <row r="1387">
          <cell r="A1387" t="str">
            <v>LY-HHLR0XXL</v>
          </cell>
          <cell r="B1387" t="str">
            <v>LY-HHL</v>
          </cell>
        </row>
        <row r="1388">
          <cell r="A1388" t="str">
            <v>LY-HHLR0XXXL</v>
          </cell>
          <cell r="B1388" t="str">
            <v>LY-HHL</v>
          </cell>
        </row>
        <row r="1389">
          <cell r="A1389" t="str">
            <v>LY-HHLR0XXXXL</v>
          </cell>
          <cell r="B1389" t="str">
            <v>LY-HHL</v>
          </cell>
        </row>
        <row r="1390">
          <cell r="A1390" t="str">
            <v>LY-HLMHHXL</v>
          </cell>
          <cell r="B1390" t="str">
            <v>LY-HHL</v>
          </cell>
        </row>
        <row r="1391">
          <cell r="A1391" t="str">
            <v>LY-HLMHHXM</v>
          </cell>
          <cell r="B1391" t="str">
            <v>LY-HHL</v>
          </cell>
        </row>
        <row r="1392">
          <cell r="A1392" t="str">
            <v>LY-HLMHHXS</v>
          </cell>
          <cell r="B1392" t="str">
            <v>LY-HHL</v>
          </cell>
        </row>
        <row r="1393">
          <cell r="A1393" t="str">
            <v>LY-HLMHHXXL</v>
          </cell>
          <cell r="B1393" t="str">
            <v>LY-HLM</v>
          </cell>
        </row>
        <row r="1394">
          <cell r="A1394" t="str">
            <v>LY-HLMHHXXXL</v>
          </cell>
          <cell r="B1394" t="str">
            <v>LY-HLM</v>
          </cell>
        </row>
        <row r="1395">
          <cell r="A1395" t="str">
            <v>LY-HLMHHXXXXL</v>
          </cell>
          <cell r="B1395" t="str">
            <v>LY-HLM</v>
          </cell>
        </row>
        <row r="1396">
          <cell r="A1396" t="str">
            <v>LY-HLMHHXXXXXL</v>
          </cell>
          <cell r="B1396" t="str">
            <v>LY-HLM</v>
          </cell>
        </row>
        <row r="1397">
          <cell r="A1397" t="str">
            <v>LY-HLMLJDL</v>
          </cell>
          <cell r="B1397" t="str">
            <v>LY-HLM</v>
          </cell>
        </row>
        <row r="1398">
          <cell r="A1398" t="str">
            <v>LY-HLMLJDM</v>
          </cell>
          <cell r="B1398" t="str">
            <v>LY-HLM</v>
          </cell>
        </row>
        <row r="1399">
          <cell r="A1399" t="str">
            <v>LY-HLMLJDS</v>
          </cell>
          <cell r="B1399" t="str">
            <v>LY-HLM</v>
          </cell>
        </row>
        <row r="1400">
          <cell r="A1400" t="str">
            <v>LY-HLMLJDXL</v>
          </cell>
          <cell r="B1400" t="str">
            <v>LY-HLM</v>
          </cell>
        </row>
        <row r="1401">
          <cell r="A1401" t="str">
            <v>LY-HLMLJDXXL</v>
          </cell>
          <cell r="B1401" t="str">
            <v>LY-HLM</v>
          </cell>
        </row>
        <row r="1402">
          <cell r="A1402" t="str">
            <v>LY-HLMLJDXXXL</v>
          </cell>
          <cell r="B1402" t="str">
            <v>LY-HLM</v>
          </cell>
        </row>
        <row r="1403">
          <cell r="A1403" t="str">
            <v>LY-HLMLJDXXXXL</v>
          </cell>
          <cell r="B1403" t="str">
            <v>LY-HLM</v>
          </cell>
        </row>
        <row r="1404">
          <cell r="A1404" t="str">
            <v>LY-HLMMFDL</v>
          </cell>
          <cell r="B1404" t="str">
            <v>LY-HLM</v>
          </cell>
        </row>
        <row r="1405">
          <cell r="A1405" t="str">
            <v>LY-HLMMFDM</v>
          </cell>
          <cell r="B1405" t="str">
            <v>LY-HLM</v>
          </cell>
        </row>
        <row r="1406">
          <cell r="A1406" t="str">
            <v>LY-HLMMFDS</v>
          </cell>
          <cell r="B1406" t="str">
            <v>LY-HLM</v>
          </cell>
        </row>
        <row r="1407">
          <cell r="A1407" t="str">
            <v>LY-HLMMFDXL</v>
          </cell>
          <cell r="B1407" t="str">
            <v>LY-HLM</v>
          </cell>
        </row>
        <row r="1408">
          <cell r="A1408" t="str">
            <v>LY-HLMMFDXXL</v>
          </cell>
          <cell r="B1408" t="str">
            <v>LY-HLM</v>
          </cell>
        </row>
        <row r="1409">
          <cell r="A1409" t="str">
            <v>LY-HLMMFDXXXL</v>
          </cell>
          <cell r="B1409" t="str">
            <v>LY-HLM</v>
          </cell>
        </row>
        <row r="1410">
          <cell r="A1410" t="str">
            <v>LY-HLMMFDXXXXL</v>
          </cell>
          <cell r="B1410" t="str">
            <v>LY-HLM</v>
          </cell>
        </row>
        <row r="1411">
          <cell r="A1411" t="str">
            <v>LY-HXXHHCL</v>
          </cell>
          <cell r="B1411" t="str">
            <v>LY-HLM</v>
          </cell>
        </row>
        <row r="1412">
          <cell r="A1412" t="str">
            <v>LY-HXXHHCM</v>
          </cell>
          <cell r="B1412" t="str">
            <v>LY-HLM</v>
          </cell>
        </row>
        <row r="1413">
          <cell r="A1413" t="str">
            <v>LY-HXXHHCS</v>
          </cell>
          <cell r="B1413" t="str">
            <v>LY-HLM</v>
          </cell>
        </row>
        <row r="1414">
          <cell r="A1414" t="str">
            <v>LY-HXXHHCXL</v>
          </cell>
          <cell r="B1414" t="str">
            <v>LY-HXX</v>
          </cell>
        </row>
        <row r="1415">
          <cell r="A1415" t="str">
            <v>LY-HXXHHCXXL</v>
          </cell>
          <cell r="B1415" t="str">
            <v>LY-HXX</v>
          </cell>
        </row>
        <row r="1416">
          <cell r="A1416" t="str">
            <v>LY-HXXHHCXXXL</v>
          </cell>
          <cell r="B1416" t="str">
            <v>LY-HXX</v>
          </cell>
        </row>
        <row r="1417">
          <cell r="A1417" t="str">
            <v>LY-HXXHHCXXXXL</v>
          </cell>
          <cell r="B1417" t="str">
            <v>LY-HXX</v>
          </cell>
        </row>
        <row r="1418">
          <cell r="A1418" t="str">
            <v>LY-HXXXLSL</v>
          </cell>
          <cell r="B1418" t="str">
            <v>LY-HXX</v>
          </cell>
        </row>
        <row r="1419">
          <cell r="A1419" t="str">
            <v>LY-HXXXLSM</v>
          </cell>
          <cell r="B1419" t="str">
            <v>LY-HXX</v>
          </cell>
        </row>
        <row r="1420">
          <cell r="A1420" t="str">
            <v>LY-HXXXLSS</v>
          </cell>
          <cell r="B1420" t="str">
            <v>LY-HXX</v>
          </cell>
        </row>
        <row r="1421">
          <cell r="A1421" t="str">
            <v>LY-HXXXLSXL</v>
          </cell>
          <cell r="B1421" t="str">
            <v>LY-HXX</v>
          </cell>
        </row>
        <row r="1422">
          <cell r="A1422" t="str">
            <v>LY-HXXXLSXXL</v>
          </cell>
          <cell r="B1422" t="str">
            <v>LY-HXX</v>
          </cell>
        </row>
        <row r="1423">
          <cell r="A1423" t="str">
            <v>LY-HXXXLSXXXL</v>
          </cell>
          <cell r="B1423" t="str">
            <v>LY-HXX</v>
          </cell>
        </row>
        <row r="1424">
          <cell r="A1424" t="str">
            <v>LY-HXXXLSXXXXL</v>
          </cell>
          <cell r="B1424" t="str">
            <v>LY-HXX</v>
          </cell>
        </row>
        <row r="1425">
          <cell r="A1425" t="str">
            <v>LY-HXXXYL</v>
          </cell>
          <cell r="B1425" t="str">
            <v>LY-HXX</v>
          </cell>
        </row>
        <row r="1426">
          <cell r="A1426" t="str">
            <v>LY-HXXXYM</v>
          </cell>
          <cell r="B1426" t="str">
            <v>LY-HXX</v>
          </cell>
        </row>
        <row r="1427">
          <cell r="A1427" t="str">
            <v>LY-HXXXYS</v>
          </cell>
          <cell r="B1427" t="str">
            <v>LY-HXX</v>
          </cell>
        </row>
        <row r="1428">
          <cell r="A1428" t="str">
            <v>LY-HXXXYXL</v>
          </cell>
          <cell r="B1428" t="str">
            <v>LY-HXX</v>
          </cell>
        </row>
        <row r="1429">
          <cell r="A1429" t="str">
            <v>LY-HXXXYXXL</v>
          </cell>
          <cell r="B1429" t="str">
            <v>LY-HXX</v>
          </cell>
        </row>
        <row r="1430">
          <cell r="A1430" t="str">
            <v>LY-HXXXYXXXL</v>
          </cell>
          <cell r="B1430" t="str">
            <v>LY-HXX</v>
          </cell>
        </row>
        <row r="1431">
          <cell r="A1431" t="str">
            <v>LY-HXXXYXXXXL</v>
          </cell>
          <cell r="B1431" t="str">
            <v>LY-HXX</v>
          </cell>
        </row>
        <row r="1432">
          <cell r="A1432" t="str">
            <v>MFFZBL2XL</v>
          </cell>
          <cell r="B1432" t="str">
            <v>LY-HXX</v>
          </cell>
        </row>
        <row r="1433">
          <cell r="A1433" t="str">
            <v>MFFZBL3XL</v>
          </cell>
          <cell r="B1433" t="str">
            <v>LY-HXX</v>
          </cell>
        </row>
        <row r="1434">
          <cell r="A1434" t="str">
            <v>MFFZBLL</v>
          </cell>
          <cell r="B1434" t="str">
            <v>LY-HXX</v>
          </cell>
        </row>
        <row r="1435">
          <cell r="A1435" t="str">
            <v>MFFZBLM</v>
          </cell>
          <cell r="B1435" t="str">
            <v>MFFZ</v>
          </cell>
        </row>
        <row r="1436">
          <cell r="A1436" t="str">
            <v>MFFZBLXL</v>
          </cell>
          <cell r="B1436" t="str">
            <v>MFFZ</v>
          </cell>
        </row>
        <row r="1437">
          <cell r="A1437" t="str">
            <v>MFFZKQS2XL</v>
          </cell>
          <cell r="B1437" t="str">
            <v>MFFZ</v>
          </cell>
        </row>
        <row r="1438">
          <cell r="A1438" t="str">
            <v>MFFZKQS3XL</v>
          </cell>
          <cell r="B1438" t="str">
            <v>MFFZ</v>
          </cell>
        </row>
        <row r="1439">
          <cell r="A1439" t="str">
            <v>MFFZKQSL</v>
          </cell>
          <cell r="B1439" t="str">
            <v>MFFZ</v>
          </cell>
        </row>
        <row r="1440">
          <cell r="A1440" t="str">
            <v>MFFZKQSM</v>
          </cell>
          <cell r="B1440" t="str">
            <v>MFFZ</v>
          </cell>
        </row>
        <row r="1441">
          <cell r="A1441" t="str">
            <v>MFFZKQSXL</v>
          </cell>
          <cell r="B1441" t="str">
            <v>MFFZ</v>
          </cell>
        </row>
        <row r="1442">
          <cell r="A1442" t="str">
            <v>MFFZOR2XL</v>
          </cell>
          <cell r="B1442" t="str">
            <v>MFFZ</v>
          </cell>
        </row>
        <row r="1443">
          <cell r="A1443" t="str">
            <v>MFFZOR3XL</v>
          </cell>
          <cell r="B1443" t="str">
            <v>MFFZ</v>
          </cell>
        </row>
        <row r="1444">
          <cell r="A1444" t="str">
            <v>MFFZORL</v>
          </cell>
          <cell r="B1444" t="str">
            <v>MFFZ</v>
          </cell>
        </row>
        <row r="1445">
          <cell r="A1445" t="str">
            <v>MFFZORM</v>
          </cell>
          <cell r="B1445" t="str">
            <v>MFFZ</v>
          </cell>
        </row>
        <row r="1446">
          <cell r="A1446" t="str">
            <v>MFFZORXL</v>
          </cell>
          <cell r="B1446" t="str">
            <v>MFFZ</v>
          </cell>
        </row>
        <row r="1447">
          <cell r="A1447" t="str">
            <v>MFFZQKQ2XL</v>
          </cell>
          <cell r="B1447" t="str">
            <v>MFFZ</v>
          </cell>
        </row>
        <row r="1448">
          <cell r="A1448" t="str">
            <v>MFFZQKQ3XL</v>
          </cell>
          <cell r="B1448" t="str">
            <v>MFFZ</v>
          </cell>
        </row>
        <row r="1449">
          <cell r="A1449" t="str">
            <v>MFFZQKQL</v>
          </cell>
          <cell r="B1449" t="str">
            <v>MFFZ</v>
          </cell>
        </row>
        <row r="1450">
          <cell r="A1450" t="str">
            <v>MFFZQKQM</v>
          </cell>
          <cell r="B1450" t="str">
            <v>MFFZ</v>
          </cell>
        </row>
        <row r="1451">
          <cell r="A1451" t="str">
            <v>MFFZQKQXL</v>
          </cell>
          <cell r="B1451" t="str">
            <v>MFFZ</v>
          </cell>
        </row>
        <row r="1452">
          <cell r="A1452" t="str">
            <v>MFFZTL2XL</v>
          </cell>
          <cell r="B1452" t="str">
            <v>MFFZ</v>
          </cell>
        </row>
        <row r="1453">
          <cell r="A1453" t="str">
            <v>MFFZTL3XL</v>
          </cell>
          <cell r="B1453" t="str">
            <v>MFFZ</v>
          </cell>
        </row>
        <row r="1454">
          <cell r="A1454" t="str">
            <v>MFFZTLL</v>
          </cell>
          <cell r="B1454" t="str">
            <v>MFFZ</v>
          </cell>
        </row>
        <row r="1455">
          <cell r="A1455" t="str">
            <v>MFFZTLM</v>
          </cell>
          <cell r="B1455" t="str">
            <v>MFFZ</v>
          </cell>
        </row>
        <row r="1456">
          <cell r="A1456" t="str">
            <v>MFFZTLXL</v>
          </cell>
          <cell r="B1456" t="str">
            <v>MFFZ</v>
          </cell>
        </row>
        <row r="1457">
          <cell r="A1457" t="str">
            <v>MFFZZQ2XL</v>
          </cell>
          <cell r="B1457" t="str">
            <v>MFFZ</v>
          </cell>
        </row>
        <row r="1458">
          <cell r="A1458" t="str">
            <v>MFFZZQ3XL</v>
          </cell>
          <cell r="B1458" t="str">
            <v>MFFZ</v>
          </cell>
        </row>
        <row r="1459">
          <cell r="A1459" t="str">
            <v>MFFZZQL</v>
          </cell>
          <cell r="B1459" t="str">
            <v>MFFZ</v>
          </cell>
        </row>
        <row r="1460">
          <cell r="A1460" t="str">
            <v>MFFZZQM</v>
          </cell>
          <cell r="B1460" t="str">
            <v>MFFZ</v>
          </cell>
        </row>
        <row r="1461">
          <cell r="A1461" t="str">
            <v>MFFZZQXL</v>
          </cell>
          <cell r="B1461" t="str">
            <v>MFFZ</v>
          </cell>
        </row>
        <row r="1462">
          <cell r="A1462" t="str">
            <v>MGHBCKW0</v>
          </cell>
          <cell r="B1462" t="str">
            <v>MFFZ</v>
          </cell>
        </row>
        <row r="1463">
          <cell r="A1463" t="str">
            <v>MIDUYD037BZYS</v>
          </cell>
          <cell r="B1463" t="str">
            <v>MFFZ</v>
          </cell>
        </row>
        <row r="1464">
          <cell r="A1464" t="str">
            <v>ML15F56601</v>
          </cell>
          <cell r="B1464" t="str">
            <v>MFFZ</v>
          </cell>
        </row>
        <row r="1465">
          <cell r="A1465" t="str">
            <v>ML15F56602</v>
          </cell>
          <cell r="B1465" t="str">
            <v>MGHBCK</v>
          </cell>
        </row>
        <row r="1466">
          <cell r="A1466" t="str">
            <v>ML15F56603</v>
          </cell>
          <cell r="B1466" t="str">
            <v>B9-JNKB</v>
          </cell>
        </row>
        <row r="1467">
          <cell r="A1467" t="str">
            <v>ML15F56604</v>
          </cell>
          <cell r="B1467" t="str">
            <v>ML15F566</v>
          </cell>
        </row>
        <row r="1468">
          <cell r="A1468" t="str">
            <v>ML15F56605</v>
          </cell>
          <cell r="B1468" t="str">
            <v>ML15F566</v>
          </cell>
        </row>
        <row r="1469">
          <cell r="A1469" t="str">
            <v>ML15F56606</v>
          </cell>
          <cell r="B1469" t="str">
            <v>ML15F566</v>
          </cell>
        </row>
        <row r="1470">
          <cell r="A1470" t="str">
            <v>ML15F56607</v>
          </cell>
          <cell r="B1470" t="str">
            <v>ML15F566</v>
          </cell>
        </row>
        <row r="1471">
          <cell r="A1471" t="str">
            <v>ML15F56608</v>
          </cell>
          <cell r="B1471" t="str">
            <v>ML15F566</v>
          </cell>
        </row>
        <row r="1472">
          <cell r="A1472" t="str">
            <v>ML15F56609</v>
          </cell>
          <cell r="B1472" t="str">
            <v>ML15F566</v>
          </cell>
        </row>
        <row r="1473">
          <cell r="A1473" t="str">
            <v>ML15F56610</v>
          </cell>
          <cell r="B1473" t="str">
            <v>ML15F566</v>
          </cell>
        </row>
        <row r="1474">
          <cell r="A1474" t="str">
            <v>ML15F56611</v>
          </cell>
          <cell r="B1474" t="str">
            <v>ML15F566</v>
          </cell>
        </row>
        <row r="1475">
          <cell r="A1475" t="str">
            <v>ML15F56612</v>
          </cell>
          <cell r="B1475" t="str">
            <v>ML15F566</v>
          </cell>
        </row>
        <row r="1476">
          <cell r="A1476" t="str">
            <v>MQZBKE0L</v>
          </cell>
          <cell r="B1476" t="str">
            <v>ML15F566</v>
          </cell>
        </row>
        <row r="1477">
          <cell r="A1477" t="str">
            <v>MQZBKE0M</v>
          </cell>
          <cell r="B1477" t="str">
            <v>ML15F566</v>
          </cell>
        </row>
        <row r="1478">
          <cell r="A1478" t="str">
            <v>MQZBKE0S</v>
          </cell>
          <cell r="B1478" t="str">
            <v>ML15F566</v>
          </cell>
        </row>
        <row r="1479">
          <cell r="A1479" t="str">
            <v>MQZBKE0XL</v>
          </cell>
          <cell r="B1479" t="str">
            <v>MQZBK</v>
          </cell>
        </row>
        <row r="1480">
          <cell r="A1480" t="str">
            <v>MQZBKE0XXL</v>
          </cell>
          <cell r="B1480" t="str">
            <v>MQZBK</v>
          </cell>
        </row>
        <row r="1481">
          <cell r="A1481" t="str">
            <v>MQZBKK0L</v>
          </cell>
          <cell r="B1481" t="str">
            <v>MQZBK</v>
          </cell>
        </row>
        <row r="1482">
          <cell r="A1482" t="str">
            <v>MQZBKK0M</v>
          </cell>
          <cell r="B1482" t="str">
            <v>MQZBK</v>
          </cell>
        </row>
        <row r="1483">
          <cell r="A1483" t="str">
            <v>MQZBKK0S</v>
          </cell>
          <cell r="B1483" t="str">
            <v>MQZBK</v>
          </cell>
        </row>
        <row r="1484">
          <cell r="A1484" t="str">
            <v>MQZBKK0XL</v>
          </cell>
          <cell r="B1484" t="str">
            <v>MQZBK</v>
          </cell>
        </row>
        <row r="1485">
          <cell r="A1485" t="str">
            <v>MQZBKK0XXL</v>
          </cell>
          <cell r="B1485" t="str">
            <v>MQZBK</v>
          </cell>
        </row>
        <row r="1486">
          <cell r="A1486" t="str">
            <v>MQZHKE0L</v>
          </cell>
          <cell r="B1486" t="str">
            <v>MQZBK</v>
          </cell>
        </row>
        <row r="1487">
          <cell r="A1487" t="str">
            <v>MQZHKE0M</v>
          </cell>
          <cell r="B1487" t="str">
            <v>MQZBK</v>
          </cell>
        </row>
        <row r="1488">
          <cell r="A1488" t="str">
            <v>MQZHKE0S</v>
          </cell>
          <cell r="B1488" t="str">
            <v>MQZBK</v>
          </cell>
        </row>
        <row r="1489">
          <cell r="A1489" t="str">
            <v>MQZHKE0XL</v>
          </cell>
          <cell r="B1489" t="str">
            <v>MQZHK</v>
          </cell>
        </row>
        <row r="1490">
          <cell r="A1490" t="str">
            <v>MQZHKE0XXL</v>
          </cell>
          <cell r="B1490" t="str">
            <v>MQZHK</v>
          </cell>
        </row>
        <row r="1491">
          <cell r="A1491" t="str">
            <v>MQZHKK0L</v>
          </cell>
          <cell r="B1491" t="str">
            <v>MQZHK</v>
          </cell>
        </row>
        <row r="1492">
          <cell r="A1492" t="str">
            <v>MQZHKK0M</v>
          </cell>
          <cell r="B1492" t="str">
            <v>MQZHK</v>
          </cell>
        </row>
        <row r="1493">
          <cell r="A1493" t="str">
            <v>MQZHKK0S</v>
          </cell>
          <cell r="B1493" t="str">
            <v>MQZHK</v>
          </cell>
        </row>
        <row r="1494">
          <cell r="A1494" t="str">
            <v>MQZHKK0XL</v>
          </cell>
          <cell r="B1494" t="str">
            <v>MQZHK</v>
          </cell>
        </row>
        <row r="1495">
          <cell r="A1495" t="str">
            <v>MQZHKK0XXL</v>
          </cell>
          <cell r="B1495" t="str">
            <v>MQZHK</v>
          </cell>
        </row>
        <row r="1496">
          <cell r="A1496" t="str">
            <v>MY16055K0L</v>
          </cell>
          <cell r="B1496" t="str">
            <v>MY16055</v>
          </cell>
        </row>
        <row r="1497">
          <cell r="A1497" t="str">
            <v>MY-16055K0-L</v>
          </cell>
          <cell r="B1497" t="str">
            <v>MY16055</v>
          </cell>
        </row>
        <row r="1498">
          <cell r="A1498" t="str">
            <v>MY16055K0M</v>
          </cell>
          <cell r="B1498" t="str">
            <v>MY16055</v>
          </cell>
        </row>
        <row r="1499">
          <cell r="A1499" t="str">
            <v>MY-16055K0-M</v>
          </cell>
          <cell r="B1499" t="str">
            <v>MY16055</v>
          </cell>
        </row>
        <row r="1500">
          <cell r="A1500" t="str">
            <v>MY16055K0S</v>
          </cell>
          <cell r="B1500" t="str">
            <v>MY16055</v>
          </cell>
        </row>
        <row r="1501">
          <cell r="A1501" t="str">
            <v>MY-16055K0-S</v>
          </cell>
          <cell r="B1501" t="str">
            <v>MY16055</v>
          </cell>
        </row>
        <row r="1502">
          <cell r="A1502" t="str">
            <v>MY16055K0XL</v>
          </cell>
          <cell r="B1502" t="str">
            <v>MY16055</v>
          </cell>
        </row>
        <row r="1503">
          <cell r="A1503" t="str">
            <v>MY-16055K0-XL</v>
          </cell>
          <cell r="B1503" t="str">
            <v>MY16055</v>
          </cell>
        </row>
        <row r="1504">
          <cell r="A1504" t="str">
            <v>MY16055K0XXL</v>
          </cell>
          <cell r="B1504" t="str">
            <v>MY16055</v>
          </cell>
        </row>
        <row r="1505">
          <cell r="A1505" t="str">
            <v>MY16055MSL</v>
          </cell>
          <cell r="B1505" t="str">
            <v>MY16055</v>
          </cell>
        </row>
        <row r="1506">
          <cell r="A1506" t="str">
            <v>MY16055MSM</v>
          </cell>
          <cell r="B1506" t="str">
            <v>MY16055</v>
          </cell>
        </row>
        <row r="1507">
          <cell r="A1507" t="str">
            <v>MY-16055MS-M</v>
          </cell>
          <cell r="B1507" t="str">
            <v>MY16055</v>
          </cell>
        </row>
        <row r="1508">
          <cell r="A1508" t="str">
            <v>MY16055MSS</v>
          </cell>
          <cell r="B1508" t="str">
            <v>MY16055</v>
          </cell>
        </row>
        <row r="1509">
          <cell r="A1509" t="str">
            <v>MY-16055MS-S</v>
          </cell>
          <cell r="B1509" t="str">
            <v>MY16055</v>
          </cell>
        </row>
        <row r="1510">
          <cell r="A1510" t="str">
            <v>MY16055MSXL</v>
          </cell>
          <cell r="B1510" t="str">
            <v>MY16055</v>
          </cell>
        </row>
        <row r="1511">
          <cell r="A1511" t="str">
            <v>MY-16055MS-XL</v>
          </cell>
          <cell r="B1511" t="str">
            <v>MY16055</v>
          </cell>
        </row>
        <row r="1512">
          <cell r="A1512" t="str">
            <v>MY16055MSXXL</v>
          </cell>
          <cell r="B1512" t="str">
            <v>MY16055</v>
          </cell>
        </row>
        <row r="1513">
          <cell r="A1513" t="str">
            <v>MY-16055MS-XXL</v>
          </cell>
          <cell r="B1513" t="str">
            <v>MY16055</v>
          </cell>
        </row>
        <row r="1514">
          <cell r="A1514" t="str">
            <v>MY16055ZQL</v>
          </cell>
          <cell r="B1514" t="str">
            <v>MY16055</v>
          </cell>
        </row>
        <row r="1515">
          <cell r="A1515" t="str">
            <v>MY-16055ZQ-L</v>
          </cell>
          <cell r="B1515" t="str">
            <v>MY16055</v>
          </cell>
        </row>
        <row r="1516">
          <cell r="A1516" t="str">
            <v>MY16055ZQM</v>
          </cell>
          <cell r="B1516" t="str">
            <v>MY16055</v>
          </cell>
        </row>
        <row r="1517">
          <cell r="A1517" t="str">
            <v>MY-16055ZQ-M</v>
          </cell>
          <cell r="B1517" t="str">
            <v>MY16055</v>
          </cell>
        </row>
        <row r="1518">
          <cell r="A1518" t="str">
            <v>MY16055ZQS</v>
          </cell>
          <cell r="B1518" t="str">
            <v>MY16055</v>
          </cell>
        </row>
        <row r="1519">
          <cell r="A1519" t="str">
            <v>MY-16055ZQ-S</v>
          </cell>
          <cell r="B1519" t="str">
            <v>MY16055</v>
          </cell>
        </row>
        <row r="1520">
          <cell r="A1520" t="str">
            <v>MY16055ZQXL</v>
          </cell>
          <cell r="B1520" t="str">
            <v>MY16055</v>
          </cell>
        </row>
        <row r="1521">
          <cell r="A1521" t="str">
            <v>MY16055ZQXXL</v>
          </cell>
          <cell r="B1521" t="str">
            <v>MY16055</v>
          </cell>
        </row>
        <row r="1522">
          <cell r="A1522" t="str">
            <v>MY-16055ZQ-XXL</v>
          </cell>
          <cell r="B1522" t="str">
            <v>MY16055</v>
          </cell>
        </row>
        <row r="1523">
          <cell r="A1523" t="str">
            <v>MY71107K0L</v>
          </cell>
          <cell r="B1523" t="str">
            <v>MY71107</v>
          </cell>
        </row>
        <row r="1524">
          <cell r="A1524" t="str">
            <v>MY-71107K0-L</v>
          </cell>
          <cell r="B1524" t="str">
            <v>MY71107</v>
          </cell>
        </row>
        <row r="1525">
          <cell r="A1525" t="str">
            <v>MY71107K0M</v>
          </cell>
          <cell r="B1525" t="str">
            <v>MY71107</v>
          </cell>
        </row>
        <row r="1526">
          <cell r="A1526" t="str">
            <v>MY71107K0S</v>
          </cell>
          <cell r="B1526" t="str">
            <v>MY71107</v>
          </cell>
        </row>
        <row r="1527">
          <cell r="A1527" t="str">
            <v>MY-71107K0-S</v>
          </cell>
          <cell r="B1527" t="str">
            <v>MY71107</v>
          </cell>
        </row>
        <row r="1528">
          <cell r="A1528" t="str">
            <v>MY71107K0XL</v>
          </cell>
          <cell r="B1528" t="str">
            <v>MY71107</v>
          </cell>
        </row>
        <row r="1529">
          <cell r="A1529" t="str">
            <v>MY71107K0XXL</v>
          </cell>
          <cell r="B1529" t="str">
            <v>MY71107</v>
          </cell>
        </row>
        <row r="1530">
          <cell r="A1530" t="str">
            <v>MY71107MSL</v>
          </cell>
          <cell r="B1530" t="str">
            <v>MY71107</v>
          </cell>
        </row>
        <row r="1531">
          <cell r="A1531" t="str">
            <v>MY-71107MS-L</v>
          </cell>
          <cell r="B1531" t="str">
            <v>MY71107</v>
          </cell>
        </row>
        <row r="1532">
          <cell r="A1532" t="str">
            <v>MY71107MSM</v>
          </cell>
          <cell r="B1532" t="str">
            <v>MY71107</v>
          </cell>
        </row>
        <row r="1533">
          <cell r="A1533" t="str">
            <v>MY-71107MS-M</v>
          </cell>
          <cell r="B1533" t="str">
            <v>MY71107</v>
          </cell>
        </row>
        <row r="1534">
          <cell r="A1534" t="str">
            <v>MY71107MSS</v>
          </cell>
          <cell r="B1534" t="str">
            <v>MY71107</v>
          </cell>
        </row>
        <row r="1535">
          <cell r="A1535" t="str">
            <v>MY-71107MS-S</v>
          </cell>
          <cell r="B1535" t="str">
            <v>MY71107</v>
          </cell>
        </row>
        <row r="1536">
          <cell r="A1536" t="str">
            <v>MY71107MSXL</v>
          </cell>
          <cell r="B1536" t="str">
            <v>MY71107</v>
          </cell>
        </row>
        <row r="1537">
          <cell r="A1537" t="str">
            <v>MY-71107MS-XL</v>
          </cell>
          <cell r="B1537" t="str">
            <v>MY71107</v>
          </cell>
        </row>
        <row r="1538">
          <cell r="A1538" t="str">
            <v>MY71107MSXXL</v>
          </cell>
          <cell r="B1538" t="str">
            <v>MY71107</v>
          </cell>
        </row>
        <row r="1539">
          <cell r="A1539" t="str">
            <v>MY-71107MS-XXL</v>
          </cell>
          <cell r="B1539" t="str">
            <v>MY71107</v>
          </cell>
        </row>
        <row r="1540">
          <cell r="A1540" t="str">
            <v>MY71107ZQL</v>
          </cell>
          <cell r="B1540" t="str">
            <v>MY71107</v>
          </cell>
        </row>
        <row r="1541">
          <cell r="A1541" t="str">
            <v>MY71107ZQM</v>
          </cell>
          <cell r="B1541" t="str">
            <v>MY71107</v>
          </cell>
        </row>
        <row r="1542">
          <cell r="A1542" t="str">
            <v>MY71107ZQS</v>
          </cell>
          <cell r="B1542" t="str">
            <v>MY71107</v>
          </cell>
        </row>
        <row r="1543">
          <cell r="A1543" t="str">
            <v>MY-71107ZQ-S</v>
          </cell>
          <cell r="B1543" t="str">
            <v>MY71107</v>
          </cell>
        </row>
        <row r="1544">
          <cell r="A1544" t="str">
            <v>MY71107ZQXL</v>
          </cell>
          <cell r="B1544" t="str">
            <v>MY71107</v>
          </cell>
        </row>
        <row r="1545">
          <cell r="A1545" t="str">
            <v>MY71107ZQXXL</v>
          </cell>
          <cell r="B1545" t="str">
            <v>MY71107</v>
          </cell>
        </row>
        <row r="1546">
          <cell r="A1546" t="str">
            <v>MY71115K0L</v>
          </cell>
          <cell r="B1546" t="str">
            <v>MY71115</v>
          </cell>
        </row>
        <row r="1547">
          <cell r="A1547" t="str">
            <v>MY71115K0M</v>
          </cell>
          <cell r="B1547" t="str">
            <v>MY71115</v>
          </cell>
        </row>
        <row r="1548">
          <cell r="A1548" t="str">
            <v>MY71115K0S</v>
          </cell>
          <cell r="B1548" t="str">
            <v>MY71115</v>
          </cell>
        </row>
        <row r="1549">
          <cell r="A1549" t="str">
            <v>MY-71115K0-S</v>
          </cell>
          <cell r="B1549" t="str">
            <v>MY71115</v>
          </cell>
        </row>
        <row r="1550">
          <cell r="A1550" t="str">
            <v>MY71115K0XL</v>
          </cell>
          <cell r="B1550" t="str">
            <v>MY71115</v>
          </cell>
        </row>
        <row r="1551">
          <cell r="A1551" t="str">
            <v>MY-71115K0-XL</v>
          </cell>
          <cell r="B1551" t="str">
            <v>MY71115</v>
          </cell>
        </row>
        <row r="1552">
          <cell r="A1552" t="str">
            <v>MY71115K0XXL</v>
          </cell>
          <cell r="B1552" t="str">
            <v>MY71115</v>
          </cell>
        </row>
        <row r="1553">
          <cell r="A1553" t="str">
            <v>MY71115MSL</v>
          </cell>
          <cell r="B1553" t="str">
            <v>MY71115</v>
          </cell>
        </row>
        <row r="1554">
          <cell r="A1554" t="str">
            <v>MY-71115MS-L</v>
          </cell>
          <cell r="B1554" t="str">
            <v>MY71115</v>
          </cell>
        </row>
        <row r="1555">
          <cell r="A1555" t="str">
            <v>MY71115MSM</v>
          </cell>
          <cell r="B1555" t="str">
            <v>MY71115</v>
          </cell>
        </row>
        <row r="1556">
          <cell r="A1556" t="str">
            <v>MY-71115MS-M</v>
          </cell>
          <cell r="B1556" t="str">
            <v>MY71115</v>
          </cell>
        </row>
        <row r="1557">
          <cell r="A1557" t="str">
            <v>MY71115MSS</v>
          </cell>
          <cell r="B1557" t="str">
            <v>MY71115</v>
          </cell>
        </row>
        <row r="1558">
          <cell r="A1558" t="str">
            <v>MY-71115MS-S</v>
          </cell>
          <cell r="B1558" t="str">
            <v>MY71115</v>
          </cell>
        </row>
        <row r="1559">
          <cell r="A1559" t="str">
            <v>MY71115MSXL</v>
          </cell>
          <cell r="B1559" t="str">
            <v>MY71115</v>
          </cell>
        </row>
        <row r="1560">
          <cell r="A1560" t="str">
            <v>MY-71115MS-XL</v>
          </cell>
          <cell r="B1560" t="str">
            <v>MY71115</v>
          </cell>
        </row>
        <row r="1561">
          <cell r="A1561" t="str">
            <v>MY71115MSXXL</v>
          </cell>
          <cell r="B1561" t="str">
            <v>MY71115</v>
          </cell>
        </row>
        <row r="1562">
          <cell r="A1562" t="str">
            <v>MY-71115MS-XXL</v>
          </cell>
          <cell r="B1562" t="str">
            <v>MY71115</v>
          </cell>
        </row>
        <row r="1563">
          <cell r="A1563" t="str">
            <v>MY71115ZQL</v>
          </cell>
          <cell r="B1563" t="str">
            <v>MY71115</v>
          </cell>
        </row>
        <row r="1564">
          <cell r="A1564" t="str">
            <v>MY-71115ZQ-L</v>
          </cell>
          <cell r="B1564" t="str">
            <v>MY71115</v>
          </cell>
        </row>
        <row r="1565">
          <cell r="A1565" t="str">
            <v>MY71115ZQM</v>
          </cell>
          <cell r="B1565" t="str">
            <v>MY71115</v>
          </cell>
        </row>
        <row r="1566">
          <cell r="A1566" t="str">
            <v>MY-71115ZQ-M</v>
          </cell>
          <cell r="B1566" t="str">
            <v>MY71115</v>
          </cell>
        </row>
        <row r="1567">
          <cell r="A1567" t="str">
            <v>MY71115ZQS</v>
          </cell>
          <cell r="B1567" t="str">
            <v>MY71115</v>
          </cell>
        </row>
        <row r="1568">
          <cell r="A1568" t="str">
            <v>MY-71115ZQ-S</v>
          </cell>
          <cell r="B1568" t="str">
            <v>MY71115</v>
          </cell>
        </row>
        <row r="1569">
          <cell r="A1569" t="str">
            <v>MY71115ZQXL</v>
          </cell>
          <cell r="B1569" t="str">
            <v>MY71115</v>
          </cell>
        </row>
        <row r="1570">
          <cell r="A1570" t="str">
            <v>MY-71115ZQ-XL</v>
          </cell>
          <cell r="B1570" t="str">
            <v>MY71115</v>
          </cell>
        </row>
        <row r="1571">
          <cell r="A1571" t="str">
            <v>MY71115ZQXXL</v>
          </cell>
          <cell r="B1571" t="str">
            <v>MY71115</v>
          </cell>
        </row>
        <row r="1572">
          <cell r="A1572" t="str">
            <v>MY-71115ZQ-XXL</v>
          </cell>
          <cell r="B1572" t="str">
            <v>MY71115</v>
          </cell>
        </row>
        <row r="1573">
          <cell r="A1573" t="str">
            <v>MZCXKG0</v>
          </cell>
          <cell r="B1573" t="str">
            <v>MZCXK</v>
          </cell>
        </row>
        <row r="1574">
          <cell r="A1574" t="str">
            <v>MZCXKQL</v>
          </cell>
          <cell r="B1574" t="str">
            <v>MZCXK</v>
          </cell>
        </row>
        <row r="1575">
          <cell r="A1575" t="str">
            <v>MZCXKR0</v>
          </cell>
          <cell r="B1575" t="str">
            <v>MZCXK</v>
          </cell>
        </row>
        <row r="1576">
          <cell r="A1576" t="str">
            <v>N029YE036</v>
          </cell>
          <cell r="B1576" t="str">
            <v>N029Y</v>
          </cell>
        </row>
        <row r="1577">
          <cell r="A1577" t="str">
            <v>N029YE038</v>
          </cell>
          <cell r="B1577" t="str">
            <v>N029Y</v>
          </cell>
        </row>
        <row r="1578">
          <cell r="A1578" t="str">
            <v>N029YE040</v>
          </cell>
          <cell r="B1578" t="str">
            <v>N029Y</v>
          </cell>
        </row>
        <row r="1579">
          <cell r="A1579" t="str">
            <v>N029YHL36</v>
          </cell>
          <cell r="B1579" t="str">
            <v>N029Y</v>
          </cell>
        </row>
        <row r="1580">
          <cell r="A1580" t="str">
            <v>N029YHL38</v>
          </cell>
          <cell r="B1580" t="str">
            <v>N029Y</v>
          </cell>
        </row>
        <row r="1581">
          <cell r="A1581" t="str">
            <v>N029YHL40</v>
          </cell>
          <cell r="B1581" t="str">
            <v>N029Y</v>
          </cell>
        </row>
        <row r="1582">
          <cell r="A1582" t="str">
            <v>N029YK036</v>
          </cell>
          <cell r="B1582" t="str">
            <v>N029Y</v>
          </cell>
        </row>
        <row r="1583">
          <cell r="A1583" t="str">
            <v>N029YK038</v>
          </cell>
          <cell r="B1583" t="str">
            <v>N029Y</v>
          </cell>
        </row>
        <row r="1584">
          <cell r="A1584" t="str">
            <v>N029YK040</v>
          </cell>
          <cell r="B1584" t="str">
            <v>N029Y</v>
          </cell>
        </row>
        <row r="1585">
          <cell r="A1585" t="str">
            <v>N029YMH36</v>
          </cell>
          <cell r="B1585" t="str">
            <v>N029Y</v>
          </cell>
        </row>
        <row r="1586">
          <cell r="A1586" t="str">
            <v>N029YMH38</v>
          </cell>
          <cell r="B1586" t="str">
            <v>N029Y</v>
          </cell>
        </row>
        <row r="1587">
          <cell r="A1587" t="str">
            <v>N029YMH40</v>
          </cell>
          <cell r="B1587" t="str">
            <v>N029Y</v>
          </cell>
        </row>
        <row r="1588">
          <cell r="A1588" t="str">
            <v>N039YB036</v>
          </cell>
          <cell r="B1588" t="str">
            <v>N039Y</v>
          </cell>
        </row>
        <row r="1589">
          <cell r="A1589" t="str">
            <v>N039YB038</v>
          </cell>
          <cell r="B1589" t="str">
            <v>N039Y</v>
          </cell>
        </row>
        <row r="1590">
          <cell r="A1590" t="str">
            <v>N039YB040</v>
          </cell>
          <cell r="B1590" t="str">
            <v>N039Y</v>
          </cell>
        </row>
        <row r="1591">
          <cell r="A1591" t="str">
            <v>N039YG036</v>
          </cell>
          <cell r="B1591" t="str">
            <v>N039Y</v>
          </cell>
        </row>
        <row r="1592">
          <cell r="A1592" t="str">
            <v>N039YG038</v>
          </cell>
          <cell r="B1592" t="str">
            <v>N039Y</v>
          </cell>
        </row>
        <row r="1593">
          <cell r="A1593" t="str">
            <v>N039YG040</v>
          </cell>
          <cell r="B1593" t="str">
            <v>N039Y</v>
          </cell>
        </row>
        <row r="1594">
          <cell r="A1594" t="str">
            <v>N039YP036</v>
          </cell>
          <cell r="B1594" t="str">
            <v>N039Y</v>
          </cell>
        </row>
        <row r="1595">
          <cell r="A1595" t="str">
            <v>N039YP038</v>
          </cell>
          <cell r="B1595" t="str">
            <v>N039Y</v>
          </cell>
        </row>
        <row r="1596">
          <cell r="A1596" t="str">
            <v>N039YP040</v>
          </cell>
          <cell r="B1596" t="str">
            <v>N039Y</v>
          </cell>
        </row>
        <row r="1597">
          <cell r="A1597" t="str">
            <v>N039YR036</v>
          </cell>
          <cell r="B1597" t="str">
            <v>N039Y</v>
          </cell>
        </row>
        <row r="1598">
          <cell r="A1598" t="str">
            <v>N039YR038</v>
          </cell>
          <cell r="B1598" t="str">
            <v>N039Y</v>
          </cell>
        </row>
        <row r="1599">
          <cell r="A1599" t="str">
            <v>N039YR040</v>
          </cell>
          <cell r="B1599" t="str">
            <v>N039Y</v>
          </cell>
        </row>
        <row r="1600">
          <cell r="A1600" t="str">
            <v>N039YTHS36</v>
          </cell>
          <cell r="B1600" t="str">
            <v>N039Y</v>
          </cell>
        </row>
        <row r="1601">
          <cell r="A1601" t="str">
            <v>N039YTHS38</v>
          </cell>
          <cell r="B1601" t="str">
            <v>N039Y</v>
          </cell>
        </row>
        <row r="1602">
          <cell r="A1602" t="str">
            <v>N039YTHS40</v>
          </cell>
          <cell r="B1602" t="str">
            <v>N039Y</v>
          </cell>
        </row>
        <row r="1603">
          <cell r="A1603" t="str">
            <v>N039YXGH36</v>
          </cell>
          <cell r="B1603" t="str">
            <v>N039Y</v>
          </cell>
        </row>
        <row r="1604">
          <cell r="A1604" t="str">
            <v>N039YXGH38</v>
          </cell>
          <cell r="B1604" t="str">
            <v>N039Y</v>
          </cell>
        </row>
        <row r="1605">
          <cell r="A1605" t="str">
            <v>N039YXGH40</v>
          </cell>
          <cell r="B1605" t="str">
            <v>N039Y</v>
          </cell>
        </row>
        <row r="1606">
          <cell r="A1606" t="str">
            <v>N1022YJH32</v>
          </cell>
          <cell r="B1606" t="str">
            <v>N1022Y</v>
          </cell>
        </row>
        <row r="1607">
          <cell r="A1607" t="str">
            <v>N1022YJH34</v>
          </cell>
          <cell r="B1607" t="str">
            <v>N1022Y</v>
          </cell>
        </row>
        <row r="1608">
          <cell r="A1608" t="str">
            <v>N1022YJH36</v>
          </cell>
          <cell r="B1608" t="str">
            <v>N1022Y</v>
          </cell>
        </row>
        <row r="1609">
          <cell r="A1609" t="str">
            <v>N1022YQL32</v>
          </cell>
          <cell r="B1609" t="str">
            <v>N1022Y</v>
          </cell>
        </row>
        <row r="1610">
          <cell r="A1610" t="str">
            <v>N1022YQL34</v>
          </cell>
          <cell r="B1610" t="str">
            <v>N1022Y</v>
          </cell>
        </row>
        <row r="1611">
          <cell r="A1611" t="str">
            <v>N1022YQL36</v>
          </cell>
          <cell r="B1611" t="str">
            <v>N1022Y</v>
          </cell>
        </row>
        <row r="1612">
          <cell r="A1612" t="str">
            <v>N1022YQZ32</v>
          </cell>
          <cell r="B1612" t="str">
            <v>N1022Y</v>
          </cell>
        </row>
        <row r="1613">
          <cell r="A1613" t="str">
            <v>N1022YQZ34</v>
          </cell>
          <cell r="B1613" t="str">
            <v>N1022Y</v>
          </cell>
        </row>
        <row r="1614">
          <cell r="A1614" t="str">
            <v>N1022YQZ36</v>
          </cell>
          <cell r="B1614" t="str">
            <v>N1022Y</v>
          </cell>
        </row>
        <row r="1615">
          <cell r="A1615" t="str">
            <v>N1022YR532</v>
          </cell>
          <cell r="B1615" t="str">
            <v>N1022Y</v>
          </cell>
        </row>
        <row r="1616">
          <cell r="A1616" t="str">
            <v>N1022YR534</v>
          </cell>
          <cell r="B1616" t="str">
            <v>N1022Y</v>
          </cell>
        </row>
        <row r="1617">
          <cell r="A1617" t="str">
            <v>N1022YR536</v>
          </cell>
          <cell r="B1617" t="str">
            <v>N1022Y</v>
          </cell>
        </row>
        <row r="1618">
          <cell r="A1618" t="str">
            <v>N1022YW032</v>
          </cell>
          <cell r="B1618" t="str">
            <v>N1022Y</v>
          </cell>
        </row>
        <row r="1619">
          <cell r="A1619" t="str">
            <v>N1022YW034</v>
          </cell>
          <cell r="B1619" t="str">
            <v>N1022Y</v>
          </cell>
        </row>
        <row r="1620">
          <cell r="A1620" t="str">
            <v>N1022YW036</v>
          </cell>
          <cell r="B1620" t="str">
            <v>N1022Y</v>
          </cell>
        </row>
        <row r="1621">
          <cell r="A1621" t="str">
            <v>N1226YG034</v>
          </cell>
          <cell r="B1621" t="str">
            <v>N1226Y</v>
          </cell>
        </row>
        <row r="1622">
          <cell r="A1622" t="str">
            <v>N1226YG036</v>
          </cell>
          <cell r="B1622" t="str">
            <v>N1226Y</v>
          </cell>
        </row>
        <row r="1623">
          <cell r="A1623" t="str">
            <v>N1226YG038</v>
          </cell>
          <cell r="B1623" t="str">
            <v>N1226Y</v>
          </cell>
        </row>
        <row r="1624">
          <cell r="A1624" t="str">
            <v>N1226YG040</v>
          </cell>
          <cell r="B1624" t="str">
            <v>N1226Y</v>
          </cell>
        </row>
        <row r="1625">
          <cell r="A1625" t="str">
            <v>N1226YK034</v>
          </cell>
          <cell r="B1625" t="str">
            <v>N1226Y</v>
          </cell>
        </row>
        <row r="1626">
          <cell r="A1626" t="str">
            <v>N1226YK036</v>
          </cell>
          <cell r="B1626" t="str">
            <v>N1226Y</v>
          </cell>
        </row>
        <row r="1627">
          <cell r="A1627" t="str">
            <v>N1226YK038</v>
          </cell>
          <cell r="B1627" t="str">
            <v>N1226Y</v>
          </cell>
        </row>
        <row r="1628">
          <cell r="A1628" t="str">
            <v>N1226YKF34</v>
          </cell>
          <cell r="B1628" t="str">
            <v>N1226Y</v>
          </cell>
        </row>
        <row r="1629">
          <cell r="A1629" t="str">
            <v>N1226YKF36</v>
          </cell>
          <cell r="B1629" t="str">
            <v>N1226Y</v>
          </cell>
        </row>
        <row r="1630">
          <cell r="A1630" t="str">
            <v>N1226YKF38</v>
          </cell>
          <cell r="B1630" t="str">
            <v>N1226Y</v>
          </cell>
        </row>
        <row r="1631">
          <cell r="A1631" t="str">
            <v>N1226YKF40</v>
          </cell>
          <cell r="B1631" t="str">
            <v>N1226Y</v>
          </cell>
        </row>
        <row r="1632">
          <cell r="A1632" t="str">
            <v>N1226YXS34</v>
          </cell>
          <cell r="B1632" t="str">
            <v>N1226Y</v>
          </cell>
        </row>
        <row r="1633">
          <cell r="A1633" t="str">
            <v>N1226YXS36</v>
          </cell>
          <cell r="B1633" t="str">
            <v>N1226Y</v>
          </cell>
        </row>
        <row r="1634">
          <cell r="A1634" t="str">
            <v>N1226YXS38</v>
          </cell>
          <cell r="B1634" t="str">
            <v>N1226Y</v>
          </cell>
        </row>
        <row r="1635">
          <cell r="A1635" t="str">
            <v>N1228YDSS36</v>
          </cell>
          <cell r="B1635" t="str">
            <v>N1228Y</v>
          </cell>
        </row>
        <row r="1636">
          <cell r="A1636" t="str">
            <v>N1228YDSS38</v>
          </cell>
          <cell r="B1636" t="str">
            <v>N1228Y</v>
          </cell>
        </row>
        <row r="1637">
          <cell r="A1637" t="str">
            <v>N1228YDSS40</v>
          </cell>
          <cell r="B1637" t="str">
            <v>N1228Y</v>
          </cell>
        </row>
        <row r="1638">
          <cell r="A1638" t="str">
            <v>N1228YDSS42</v>
          </cell>
          <cell r="B1638" t="str">
            <v>N1228Y</v>
          </cell>
        </row>
        <row r="1639">
          <cell r="A1639" t="str">
            <v>N1228YG036</v>
          </cell>
          <cell r="B1639" t="str">
            <v>N1228Y</v>
          </cell>
        </row>
        <row r="1640">
          <cell r="A1640" t="str">
            <v>N1228YG038</v>
          </cell>
          <cell r="B1640" t="str">
            <v>N1228Y</v>
          </cell>
        </row>
        <row r="1641">
          <cell r="A1641" t="str">
            <v>N1228YG040</v>
          </cell>
          <cell r="B1641" t="str">
            <v>N1228Y</v>
          </cell>
        </row>
        <row r="1642">
          <cell r="A1642" t="str">
            <v>N1228YG042</v>
          </cell>
          <cell r="B1642" t="str">
            <v>N1228Y</v>
          </cell>
        </row>
        <row r="1643">
          <cell r="A1643" t="str">
            <v>N1228YK036</v>
          </cell>
          <cell r="B1643" t="str">
            <v>N1228Y</v>
          </cell>
        </row>
        <row r="1644">
          <cell r="A1644" t="str">
            <v>N1228YK038</v>
          </cell>
          <cell r="B1644" t="str">
            <v>N1228Y</v>
          </cell>
        </row>
        <row r="1645">
          <cell r="A1645" t="str">
            <v>N1228YK040</v>
          </cell>
          <cell r="B1645" t="str">
            <v>N1228Y</v>
          </cell>
        </row>
        <row r="1646">
          <cell r="A1646" t="str">
            <v>N1228YK042</v>
          </cell>
          <cell r="B1646" t="str">
            <v>N1228Y</v>
          </cell>
        </row>
        <row r="1647">
          <cell r="A1647" t="str">
            <v>N1228YXS36</v>
          </cell>
          <cell r="B1647" t="str">
            <v>N1228Y</v>
          </cell>
        </row>
        <row r="1648">
          <cell r="A1648" t="str">
            <v>N1228YXS38</v>
          </cell>
          <cell r="B1648" t="str">
            <v>N1228Y</v>
          </cell>
        </row>
        <row r="1649">
          <cell r="A1649" t="str">
            <v>N1228YXS40</v>
          </cell>
          <cell r="B1649" t="str">
            <v>N1228Y</v>
          </cell>
        </row>
        <row r="1650">
          <cell r="A1650" t="str">
            <v>N1228YXS42</v>
          </cell>
          <cell r="B1650" t="str">
            <v>N1228Y</v>
          </cell>
        </row>
        <row r="1651">
          <cell r="A1651" t="str">
            <v>N158YB038</v>
          </cell>
          <cell r="B1651" t="str">
            <v>N158Y</v>
          </cell>
        </row>
        <row r="1652">
          <cell r="A1652" t="str">
            <v>N158YB040</v>
          </cell>
          <cell r="B1652" t="str">
            <v>N158Y</v>
          </cell>
        </row>
        <row r="1653">
          <cell r="A1653" t="str">
            <v>N158YK038</v>
          </cell>
          <cell r="B1653" t="str">
            <v>N158Y</v>
          </cell>
        </row>
        <row r="1654">
          <cell r="A1654" t="str">
            <v>N158YK040</v>
          </cell>
          <cell r="B1654" t="str">
            <v>N158Y</v>
          </cell>
        </row>
        <row r="1655">
          <cell r="A1655" t="str">
            <v>N158YR038</v>
          </cell>
          <cell r="B1655" t="str">
            <v>N158Y</v>
          </cell>
        </row>
        <row r="1656">
          <cell r="A1656" t="str">
            <v>N158YR040</v>
          </cell>
          <cell r="B1656" t="str">
            <v>N158Y</v>
          </cell>
        </row>
        <row r="1657">
          <cell r="A1657" t="str">
            <v>N1709YB042</v>
          </cell>
          <cell r="B1657" t="str">
            <v>N1709Y</v>
          </cell>
        </row>
        <row r="1658">
          <cell r="A1658" t="str">
            <v>N1709YB044</v>
          </cell>
          <cell r="B1658" t="str">
            <v>N1709Y</v>
          </cell>
        </row>
        <row r="1659">
          <cell r="A1659" t="str">
            <v>N1709YB046</v>
          </cell>
          <cell r="B1659" t="str">
            <v>N1709Y</v>
          </cell>
        </row>
        <row r="1660">
          <cell r="A1660" t="str">
            <v>N1709YB048</v>
          </cell>
          <cell r="B1660" t="str">
            <v>N1709Y</v>
          </cell>
        </row>
        <row r="1661">
          <cell r="A1661" t="str">
            <v>N1709YK042</v>
          </cell>
          <cell r="B1661" t="str">
            <v>N1709Y</v>
          </cell>
        </row>
        <row r="1662">
          <cell r="A1662" t="str">
            <v>N1709YK044</v>
          </cell>
          <cell r="B1662" t="str">
            <v>N1709Y</v>
          </cell>
        </row>
        <row r="1663">
          <cell r="A1663" t="str">
            <v>N1709YK046</v>
          </cell>
          <cell r="B1663" t="str">
            <v>N1709Y</v>
          </cell>
        </row>
        <row r="1664">
          <cell r="A1664" t="str">
            <v>N1709YK048</v>
          </cell>
          <cell r="B1664" t="str">
            <v>N1709Y</v>
          </cell>
        </row>
        <row r="1665">
          <cell r="A1665" t="str">
            <v>N1709YR042</v>
          </cell>
          <cell r="B1665" t="str">
            <v>N1709Y</v>
          </cell>
        </row>
        <row r="1666">
          <cell r="A1666" t="str">
            <v>N1709YR044</v>
          </cell>
          <cell r="B1666" t="str">
            <v>N1709Y</v>
          </cell>
        </row>
        <row r="1667">
          <cell r="A1667" t="str">
            <v>N1709YR046</v>
          </cell>
          <cell r="B1667" t="str">
            <v>N1709Y</v>
          </cell>
        </row>
        <row r="1668">
          <cell r="A1668" t="str">
            <v>N1709YR048</v>
          </cell>
          <cell r="B1668" t="str">
            <v>N1709Y</v>
          </cell>
        </row>
        <row r="1669">
          <cell r="A1669" t="str">
            <v>N1709YW042</v>
          </cell>
          <cell r="B1669" t="str">
            <v>N1709Y</v>
          </cell>
        </row>
        <row r="1670">
          <cell r="A1670" t="str">
            <v>N1709YW044</v>
          </cell>
          <cell r="B1670" t="str">
            <v>N1709Y</v>
          </cell>
        </row>
        <row r="1671">
          <cell r="A1671" t="str">
            <v>N1709YW046</v>
          </cell>
          <cell r="B1671" t="str">
            <v>N1709Y</v>
          </cell>
        </row>
        <row r="1672">
          <cell r="A1672" t="str">
            <v>N1709YW048</v>
          </cell>
          <cell r="B1672" t="str">
            <v>N1709Y</v>
          </cell>
        </row>
        <row r="1673">
          <cell r="A1673" t="str">
            <v>N1709YXS42</v>
          </cell>
          <cell r="B1673" t="str">
            <v>N1709Y</v>
          </cell>
        </row>
        <row r="1674">
          <cell r="A1674" t="str">
            <v>N1709YXS44</v>
          </cell>
          <cell r="B1674" t="str">
            <v>N1709Y</v>
          </cell>
        </row>
        <row r="1675">
          <cell r="A1675" t="str">
            <v>N1709YXS46</v>
          </cell>
          <cell r="B1675" t="str">
            <v>N1709Y</v>
          </cell>
        </row>
        <row r="1676">
          <cell r="A1676" t="str">
            <v>N1709YXS48</v>
          </cell>
          <cell r="B1676" t="str">
            <v>N1709Y</v>
          </cell>
        </row>
        <row r="1677">
          <cell r="A1677" t="str">
            <v>N1709YZS42</v>
          </cell>
          <cell r="B1677" t="str">
            <v>N1709Y</v>
          </cell>
        </row>
        <row r="1678">
          <cell r="A1678" t="str">
            <v>N1709YZS44</v>
          </cell>
          <cell r="B1678" t="str">
            <v>N1709Y</v>
          </cell>
        </row>
        <row r="1679">
          <cell r="A1679" t="str">
            <v>N1709YZS46</v>
          </cell>
          <cell r="B1679" t="str">
            <v>N1709Y</v>
          </cell>
        </row>
        <row r="1680">
          <cell r="A1680" t="str">
            <v>N1709YZS48</v>
          </cell>
          <cell r="B1680" t="str">
            <v>N1709Y</v>
          </cell>
        </row>
        <row r="1681">
          <cell r="A1681" t="str">
            <v>N2033YK036</v>
          </cell>
          <cell r="B1681" t="str">
            <v>N2033Y</v>
          </cell>
        </row>
        <row r="1682">
          <cell r="A1682" t="str">
            <v>N2033YK038</v>
          </cell>
          <cell r="B1682" t="str">
            <v>N2033Y</v>
          </cell>
        </row>
        <row r="1683">
          <cell r="A1683" t="str">
            <v>N2033YK040</v>
          </cell>
          <cell r="B1683" t="str">
            <v>N2033Y</v>
          </cell>
        </row>
        <row r="1684">
          <cell r="A1684" t="str">
            <v>N2033YK042</v>
          </cell>
          <cell r="B1684" t="str">
            <v>N2033Y</v>
          </cell>
        </row>
        <row r="1685">
          <cell r="A1685" t="str">
            <v>N2033YSG36</v>
          </cell>
          <cell r="B1685" t="str">
            <v>N2033Y</v>
          </cell>
        </row>
        <row r="1686">
          <cell r="A1686" t="str">
            <v>N2033YSG38</v>
          </cell>
          <cell r="B1686" t="str">
            <v>N2033Y</v>
          </cell>
        </row>
        <row r="1687">
          <cell r="A1687" t="str">
            <v>N2033YSG40</v>
          </cell>
          <cell r="B1687" t="str">
            <v>N2033Y</v>
          </cell>
        </row>
        <row r="1688">
          <cell r="A1688" t="str">
            <v>N2033YSG42</v>
          </cell>
          <cell r="B1688" t="str">
            <v>N2033Y</v>
          </cell>
        </row>
        <row r="1689">
          <cell r="A1689" t="str">
            <v>N2047YK032</v>
          </cell>
          <cell r="B1689" t="str">
            <v>N2047Y</v>
          </cell>
        </row>
        <row r="1690">
          <cell r="A1690" t="str">
            <v>N2047YK034</v>
          </cell>
          <cell r="B1690" t="str">
            <v>N2047Y</v>
          </cell>
        </row>
        <row r="1691">
          <cell r="A1691" t="str">
            <v>N2047YK036</v>
          </cell>
          <cell r="B1691" t="str">
            <v>N2047Y</v>
          </cell>
        </row>
        <row r="1692">
          <cell r="A1692" t="str">
            <v>N2047YXS32</v>
          </cell>
          <cell r="B1692" t="str">
            <v>N2047Y</v>
          </cell>
        </row>
        <row r="1693">
          <cell r="A1693" t="str">
            <v>N2047YXS34</v>
          </cell>
          <cell r="B1693" t="str">
            <v>N2047Y</v>
          </cell>
        </row>
        <row r="1694">
          <cell r="A1694" t="str">
            <v>N2047YXS36</v>
          </cell>
          <cell r="B1694" t="str">
            <v>N2047Y</v>
          </cell>
        </row>
        <row r="1695">
          <cell r="A1695" t="str">
            <v>N2082YK034</v>
          </cell>
          <cell r="B1695" t="str">
            <v>N2082Y</v>
          </cell>
        </row>
        <row r="1696">
          <cell r="A1696" t="str">
            <v>N2082YK036</v>
          </cell>
          <cell r="B1696" t="str">
            <v>N2082Y</v>
          </cell>
        </row>
        <row r="1697">
          <cell r="A1697" t="str">
            <v>N2082YK038</v>
          </cell>
          <cell r="B1697" t="str">
            <v>N2082Y</v>
          </cell>
        </row>
        <row r="1698">
          <cell r="A1698" t="str">
            <v>N2082YQJ34</v>
          </cell>
          <cell r="B1698" t="str">
            <v>N2082Y</v>
          </cell>
        </row>
        <row r="1699">
          <cell r="A1699" t="str">
            <v>N2082YQJ36</v>
          </cell>
          <cell r="B1699" t="str">
            <v>N2082Y</v>
          </cell>
        </row>
        <row r="1700">
          <cell r="A1700" t="str">
            <v>N2082YQJ38</v>
          </cell>
          <cell r="B1700" t="str">
            <v>N2082Y</v>
          </cell>
        </row>
        <row r="1701">
          <cell r="A1701" t="str">
            <v>N2082YQLS34</v>
          </cell>
          <cell r="B1701" t="str">
            <v>N2082Y</v>
          </cell>
        </row>
        <row r="1702">
          <cell r="A1702" t="str">
            <v>N2082YQLS36</v>
          </cell>
          <cell r="B1702" t="str">
            <v>N2082Y</v>
          </cell>
        </row>
        <row r="1703">
          <cell r="A1703" t="str">
            <v>N2082YQLS38</v>
          </cell>
          <cell r="B1703" t="str">
            <v>N2082Y</v>
          </cell>
        </row>
        <row r="1704">
          <cell r="A1704" t="str">
            <v>N2257YG034</v>
          </cell>
          <cell r="B1704" t="str">
            <v>N2257Y</v>
          </cell>
        </row>
        <row r="1705">
          <cell r="A1705" t="str">
            <v>N2257YG036</v>
          </cell>
          <cell r="B1705" t="str">
            <v>N2257Y</v>
          </cell>
        </row>
        <row r="1706">
          <cell r="A1706" t="str">
            <v>N2257YK034</v>
          </cell>
          <cell r="B1706" t="str">
            <v>N2257Y</v>
          </cell>
        </row>
        <row r="1707">
          <cell r="A1707" t="str">
            <v>N2257YK036</v>
          </cell>
          <cell r="B1707" t="str">
            <v>N2257Y</v>
          </cell>
        </row>
        <row r="1708">
          <cell r="A1708" t="str">
            <v>N2257YK038</v>
          </cell>
          <cell r="B1708" t="str">
            <v>N2257Y</v>
          </cell>
        </row>
        <row r="1709">
          <cell r="A1709" t="str">
            <v>N2257YR534</v>
          </cell>
          <cell r="B1709" t="str">
            <v>N2257Y</v>
          </cell>
        </row>
        <row r="1710">
          <cell r="A1710" t="str">
            <v>N2257YR536</v>
          </cell>
          <cell r="B1710" t="str">
            <v>N2257Y</v>
          </cell>
        </row>
        <row r="1711">
          <cell r="A1711" t="str">
            <v>N2257YR538</v>
          </cell>
          <cell r="B1711" t="str">
            <v>N2257Y</v>
          </cell>
        </row>
        <row r="1712">
          <cell r="A1712" t="str">
            <v>N2257YSG36</v>
          </cell>
          <cell r="B1712" t="str">
            <v>N2257Y</v>
          </cell>
        </row>
        <row r="1713">
          <cell r="A1713" t="str">
            <v>N2257YSG38</v>
          </cell>
          <cell r="B1713" t="str">
            <v>N2257Y</v>
          </cell>
        </row>
        <row r="1714">
          <cell r="A1714" t="str">
            <v>N263YK036</v>
          </cell>
          <cell r="B1714" t="str">
            <v>N263Y</v>
          </cell>
        </row>
        <row r="1715">
          <cell r="A1715" t="str">
            <v>N263YK038</v>
          </cell>
          <cell r="B1715" t="str">
            <v>N263Y</v>
          </cell>
        </row>
        <row r="1716">
          <cell r="A1716" t="str">
            <v>N263YK040</v>
          </cell>
          <cell r="B1716" t="str">
            <v>N263Y</v>
          </cell>
        </row>
        <row r="1717">
          <cell r="A1717" t="str">
            <v>N263YK042</v>
          </cell>
          <cell r="B1717" t="str">
            <v>N263Y</v>
          </cell>
        </row>
        <row r="1718">
          <cell r="A1718" t="str">
            <v>N263YP036</v>
          </cell>
          <cell r="B1718" t="str">
            <v>N263Y</v>
          </cell>
        </row>
        <row r="1719">
          <cell r="A1719" t="str">
            <v>N263YP038</v>
          </cell>
          <cell r="B1719" t="str">
            <v>N263Y</v>
          </cell>
        </row>
        <row r="1720">
          <cell r="A1720" t="str">
            <v>N263YP040</v>
          </cell>
          <cell r="B1720" t="str">
            <v>N263Y</v>
          </cell>
        </row>
        <row r="1721">
          <cell r="A1721" t="str">
            <v>N263YP042</v>
          </cell>
          <cell r="B1721" t="str">
            <v>N263Y</v>
          </cell>
        </row>
        <row r="1722">
          <cell r="A1722" t="str">
            <v>N2716YHL34</v>
          </cell>
          <cell r="B1722" t="str">
            <v>N2716Y</v>
          </cell>
        </row>
        <row r="1723">
          <cell r="A1723" t="str">
            <v>N2716YHL36</v>
          </cell>
          <cell r="B1723" t="str">
            <v>N2716Y</v>
          </cell>
        </row>
        <row r="1724">
          <cell r="A1724" t="str">
            <v>N2716YHL38</v>
          </cell>
          <cell r="B1724" t="str">
            <v>N2716Y</v>
          </cell>
        </row>
        <row r="1725">
          <cell r="A1725" t="str">
            <v>N2716YMH34</v>
          </cell>
          <cell r="B1725" t="str">
            <v>N2716Y</v>
          </cell>
        </row>
        <row r="1726">
          <cell r="A1726" t="str">
            <v>N2716YMH36</v>
          </cell>
          <cell r="B1726" t="str">
            <v>N2716Y</v>
          </cell>
        </row>
        <row r="1727">
          <cell r="A1727" t="str">
            <v>N2716YMH38</v>
          </cell>
          <cell r="B1727" t="str">
            <v>N2716Y</v>
          </cell>
        </row>
        <row r="1728">
          <cell r="A1728" t="str">
            <v>N2716YR034</v>
          </cell>
          <cell r="B1728" t="str">
            <v>N2716Y</v>
          </cell>
        </row>
        <row r="1729">
          <cell r="A1729" t="str">
            <v>N2716YR036</v>
          </cell>
          <cell r="B1729" t="str">
            <v>N2716Y</v>
          </cell>
        </row>
        <row r="1730">
          <cell r="A1730" t="str">
            <v>N2716YR038</v>
          </cell>
          <cell r="B1730" t="str">
            <v>N2716Y</v>
          </cell>
        </row>
        <row r="1731">
          <cell r="A1731" t="str">
            <v>N2716YYGL34</v>
          </cell>
          <cell r="B1731" t="str">
            <v>N2716Y</v>
          </cell>
        </row>
        <row r="1732">
          <cell r="A1732" t="str">
            <v>N2716YYGL36</v>
          </cell>
          <cell r="B1732" t="str">
            <v>N2716Y</v>
          </cell>
        </row>
        <row r="1733">
          <cell r="A1733" t="str">
            <v>N2716YYGL38</v>
          </cell>
          <cell r="B1733" t="str">
            <v>N2716Y</v>
          </cell>
        </row>
        <row r="1734">
          <cell r="A1734" t="str">
            <v>N283YB038</v>
          </cell>
          <cell r="B1734" t="str">
            <v>N283Y</v>
          </cell>
        </row>
        <row r="1735">
          <cell r="A1735" t="str">
            <v>N283YB040</v>
          </cell>
          <cell r="B1735" t="str">
            <v>N283Y</v>
          </cell>
        </row>
        <row r="1736">
          <cell r="A1736" t="str">
            <v>N283YB042</v>
          </cell>
          <cell r="B1736" t="str">
            <v>N283Y</v>
          </cell>
        </row>
        <row r="1737">
          <cell r="A1737" t="str">
            <v>N283YB044</v>
          </cell>
          <cell r="B1737" t="str">
            <v>N283Y</v>
          </cell>
        </row>
        <row r="1738">
          <cell r="A1738" t="str">
            <v>N283YB046</v>
          </cell>
          <cell r="B1738" t="str">
            <v>N283Y</v>
          </cell>
        </row>
        <row r="1739">
          <cell r="A1739" t="str">
            <v>N283YB048</v>
          </cell>
          <cell r="B1739" t="str">
            <v>N283Y</v>
          </cell>
        </row>
        <row r="1740">
          <cell r="A1740" t="str">
            <v>N283YG038</v>
          </cell>
          <cell r="B1740" t="str">
            <v>N283Y</v>
          </cell>
        </row>
        <row r="1741">
          <cell r="A1741" t="str">
            <v>N283YG040</v>
          </cell>
          <cell r="B1741" t="str">
            <v>N283Y</v>
          </cell>
        </row>
        <row r="1742">
          <cell r="A1742" t="str">
            <v>N283YG042</v>
          </cell>
          <cell r="B1742" t="str">
            <v>N283Y</v>
          </cell>
        </row>
        <row r="1743">
          <cell r="A1743" t="str">
            <v>N283YG044</v>
          </cell>
          <cell r="B1743" t="str">
            <v>N283Y</v>
          </cell>
        </row>
        <row r="1744">
          <cell r="A1744" t="str">
            <v>N283YG046</v>
          </cell>
          <cell r="B1744" t="str">
            <v>N283Y</v>
          </cell>
        </row>
        <row r="1745">
          <cell r="A1745" t="str">
            <v>N283YG048</v>
          </cell>
          <cell r="B1745" t="str">
            <v>N283Y</v>
          </cell>
        </row>
        <row r="1746">
          <cell r="A1746" t="str">
            <v>N283YMH38</v>
          </cell>
          <cell r="B1746" t="str">
            <v>N283Y</v>
          </cell>
        </row>
        <row r="1747">
          <cell r="A1747" t="str">
            <v>N283YMH40</v>
          </cell>
          <cell r="B1747" t="str">
            <v>N283Y</v>
          </cell>
        </row>
        <row r="1748">
          <cell r="A1748" t="str">
            <v>N283YMH42</v>
          </cell>
          <cell r="B1748" t="str">
            <v>N283Y</v>
          </cell>
        </row>
        <row r="1749">
          <cell r="A1749" t="str">
            <v>N283YMH44</v>
          </cell>
          <cell r="B1749" t="str">
            <v>N283Y</v>
          </cell>
        </row>
        <row r="1750">
          <cell r="A1750" t="str">
            <v>N283YMH46</v>
          </cell>
          <cell r="B1750" t="str">
            <v>N283Y</v>
          </cell>
        </row>
        <row r="1751">
          <cell r="A1751" t="str">
            <v>N283YMH48</v>
          </cell>
          <cell r="B1751" t="str">
            <v>N283Y</v>
          </cell>
        </row>
        <row r="1752">
          <cell r="A1752" t="str">
            <v>N283YP038</v>
          </cell>
          <cell r="B1752" t="str">
            <v>N283Y</v>
          </cell>
        </row>
        <row r="1753">
          <cell r="A1753" t="str">
            <v>N283YP040</v>
          </cell>
          <cell r="B1753" t="str">
            <v>N283Y</v>
          </cell>
        </row>
        <row r="1754">
          <cell r="A1754" t="str">
            <v>N283YP042</v>
          </cell>
          <cell r="B1754" t="str">
            <v>N283Y</v>
          </cell>
        </row>
        <row r="1755">
          <cell r="A1755" t="str">
            <v>N283YP044</v>
          </cell>
          <cell r="B1755" t="str">
            <v>N283Y</v>
          </cell>
        </row>
        <row r="1756">
          <cell r="A1756" t="str">
            <v>N283YP046</v>
          </cell>
          <cell r="B1756" t="str">
            <v>N283Y</v>
          </cell>
        </row>
        <row r="1757">
          <cell r="A1757" t="str">
            <v>N283YP048</v>
          </cell>
          <cell r="B1757" t="str">
            <v>N283Y</v>
          </cell>
        </row>
        <row r="1758">
          <cell r="A1758" t="str">
            <v>N283YR038</v>
          </cell>
          <cell r="B1758" t="str">
            <v>N283Y</v>
          </cell>
        </row>
        <row r="1759">
          <cell r="A1759" t="str">
            <v>N283YR040</v>
          </cell>
          <cell r="B1759" t="str">
            <v>N283Y</v>
          </cell>
        </row>
        <row r="1760">
          <cell r="A1760" t="str">
            <v>N283YR042</v>
          </cell>
          <cell r="B1760" t="str">
            <v>N283Y</v>
          </cell>
        </row>
        <row r="1761">
          <cell r="A1761" t="str">
            <v>N283YR044</v>
          </cell>
          <cell r="B1761" t="str">
            <v>N283Y</v>
          </cell>
        </row>
        <row r="1762">
          <cell r="A1762" t="str">
            <v>N283YR046</v>
          </cell>
          <cell r="B1762" t="str">
            <v>N283Y</v>
          </cell>
        </row>
        <row r="1763">
          <cell r="A1763" t="str">
            <v>N283YR048</v>
          </cell>
          <cell r="B1763" t="str">
            <v>N283Y</v>
          </cell>
        </row>
        <row r="1764">
          <cell r="A1764" t="str">
            <v>N283YW038</v>
          </cell>
          <cell r="B1764" t="str">
            <v>N283Y</v>
          </cell>
        </row>
        <row r="1765">
          <cell r="A1765" t="str">
            <v>N283YW040</v>
          </cell>
          <cell r="B1765" t="str">
            <v>N283Y</v>
          </cell>
        </row>
        <row r="1766">
          <cell r="A1766" t="str">
            <v>N283YW042</v>
          </cell>
          <cell r="B1766" t="str">
            <v>N283Y</v>
          </cell>
        </row>
        <row r="1767">
          <cell r="A1767" t="str">
            <v>N283YW044</v>
          </cell>
          <cell r="B1767" t="str">
            <v>N283Y</v>
          </cell>
        </row>
        <row r="1768">
          <cell r="A1768" t="str">
            <v>N283YW046</v>
          </cell>
          <cell r="B1768" t="str">
            <v>N283Y</v>
          </cell>
        </row>
        <row r="1769">
          <cell r="A1769" t="str">
            <v>N283YW048</v>
          </cell>
          <cell r="B1769" t="str">
            <v>N283Y</v>
          </cell>
        </row>
        <row r="1770">
          <cell r="A1770" t="str">
            <v>N299YK036</v>
          </cell>
          <cell r="B1770" t="str">
            <v>N299Y</v>
          </cell>
        </row>
        <row r="1771">
          <cell r="A1771" t="str">
            <v>N299YK038</v>
          </cell>
          <cell r="B1771" t="str">
            <v>N299Y</v>
          </cell>
        </row>
        <row r="1772">
          <cell r="A1772" t="str">
            <v>N299YK040</v>
          </cell>
          <cell r="B1772" t="str">
            <v>N299Y</v>
          </cell>
        </row>
        <row r="1773">
          <cell r="A1773" t="str">
            <v>N299YR536</v>
          </cell>
          <cell r="B1773" t="str">
            <v>N299Y</v>
          </cell>
        </row>
        <row r="1774">
          <cell r="A1774" t="str">
            <v>N299YR538</v>
          </cell>
          <cell r="B1774" t="str">
            <v>N299Y</v>
          </cell>
        </row>
        <row r="1775">
          <cell r="A1775" t="str">
            <v>N299YR540</v>
          </cell>
          <cell r="B1775" t="str">
            <v>N299Y</v>
          </cell>
        </row>
        <row r="1776">
          <cell r="A1776" t="str">
            <v>N299YSG36</v>
          </cell>
          <cell r="B1776" t="str">
            <v>N299Y</v>
          </cell>
        </row>
        <row r="1777">
          <cell r="A1777" t="str">
            <v>N299YSG38</v>
          </cell>
          <cell r="B1777" t="str">
            <v>N299Y</v>
          </cell>
        </row>
        <row r="1778">
          <cell r="A1778" t="str">
            <v>N299YSG40</v>
          </cell>
          <cell r="B1778" t="str">
            <v>N299Y</v>
          </cell>
        </row>
        <row r="1779">
          <cell r="A1779" t="str">
            <v>N31459YB038</v>
          </cell>
          <cell r="B1779" t="str">
            <v>N31459Y</v>
          </cell>
        </row>
        <row r="1780">
          <cell r="A1780" t="str">
            <v>N31459YB040</v>
          </cell>
          <cell r="B1780" t="str">
            <v>N31459Y</v>
          </cell>
        </row>
        <row r="1781">
          <cell r="A1781" t="str">
            <v>N31459YB042</v>
          </cell>
          <cell r="B1781" t="str">
            <v>N31459Y</v>
          </cell>
        </row>
        <row r="1782">
          <cell r="A1782" t="str">
            <v>N31459YB044</v>
          </cell>
          <cell r="B1782" t="str">
            <v>N31459Y</v>
          </cell>
        </row>
        <row r="1783">
          <cell r="A1783" t="str">
            <v>N31459YB046</v>
          </cell>
          <cell r="B1783" t="str">
            <v>N31459Y</v>
          </cell>
        </row>
        <row r="1784">
          <cell r="A1784" t="str">
            <v>N31459YB048</v>
          </cell>
          <cell r="B1784" t="str">
            <v>N31459Y</v>
          </cell>
        </row>
        <row r="1785">
          <cell r="A1785" t="str">
            <v>N31459YJS38</v>
          </cell>
          <cell r="B1785" t="str">
            <v>N31459Y</v>
          </cell>
        </row>
        <row r="1786">
          <cell r="A1786" t="str">
            <v>N31459YJS40</v>
          </cell>
          <cell r="B1786" t="str">
            <v>N31459Y</v>
          </cell>
        </row>
        <row r="1787">
          <cell r="A1787" t="str">
            <v>N31459YJS42</v>
          </cell>
          <cell r="B1787" t="str">
            <v>N31459Y</v>
          </cell>
        </row>
        <row r="1788">
          <cell r="A1788" t="str">
            <v>N31459YJS44</v>
          </cell>
          <cell r="B1788" t="str">
            <v>N31459Y</v>
          </cell>
        </row>
        <row r="1789">
          <cell r="A1789" t="str">
            <v>N31459YJS46</v>
          </cell>
          <cell r="B1789" t="str">
            <v>N31459Y</v>
          </cell>
        </row>
        <row r="1790">
          <cell r="A1790" t="str">
            <v>N31459YJS48</v>
          </cell>
          <cell r="B1790" t="str">
            <v>N31459Y</v>
          </cell>
        </row>
        <row r="1791">
          <cell r="A1791" t="str">
            <v>N31459YLL38</v>
          </cell>
          <cell r="B1791" t="str">
            <v>N31459Y</v>
          </cell>
        </row>
        <row r="1792">
          <cell r="A1792" t="str">
            <v>N31459YLL40</v>
          </cell>
          <cell r="B1792" t="str">
            <v>N31459Y</v>
          </cell>
        </row>
        <row r="1793">
          <cell r="A1793" t="str">
            <v>N31459YLL42</v>
          </cell>
          <cell r="B1793" t="str">
            <v>N31459Y</v>
          </cell>
        </row>
        <row r="1794">
          <cell r="A1794" t="str">
            <v>N31459YLL44</v>
          </cell>
          <cell r="B1794" t="str">
            <v>N31459Y</v>
          </cell>
        </row>
        <row r="1795">
          <cell r="A1795" t="str">
            <v>N31459YLL46</v>
          </cell>
          <cell r="B1795" t="str">
            <v>N31459Y</v>
          </cell>
        </row>
        <row r="1796">
          <cell r="A1796" t="str">
            <v>N31459YLL48</v>
          </cell>
          <cell r="B1796" t="str">
            <v>N31459Y</v>
          </cell>
        </row>
        <row r="1797">
          <cell r="A1797" t="str">
            <v>N31459YMH38</v>
          </cell>
          <cell r="B1797" t="str">
            <v>N31459Y</v>
          </cell>
        </row>
        <row r="1798">
          <cell r="A1798" t="str">
            <v>N31459YMH40</v>
          </cell>
          <cell r="B1798" t="str">
            <v>N31459Y</v>
          </cell>
        </row>
        <row r="1799">
          <cell r="A1799" t="str">
            <v>N31459YMH42</v>
          </cell>
          <cell r="B1799" t="str">
            <v>N31459Y</v>
          </cell>
        </row>
        <row r="1800">
          <cell r="A1800" t="str">
            <v>N31459YMH44</v>
          </cell>
          <cell r="B1800" t="str">
            <v>N31459Y</v>
          </cell>
        </row>
        <row r="1801">
          <cell r="A1801" t="str">
            <v>N31459YMH46</v>
          </cell>
          <cell r="B1801" t="str">
            <v>N31459Y</v>
          </cell>
        </row>
        <row r="1802">
          <cell r="A1802" t="str">
            <v>N31459YMH48</v>
          </cell>
          <cell r="B1802" t="str">
            <v>N31459Y</v>
          </cell>
        </row>
        <row r="1803">
          <cell r="A1803" t="str">
            <v>N31459YP038</v>
          </cell>
          <cell r="B1803" t="str">
            <v>N31459Y</v>
          </cell>
        </row>
        <row r="1804">
          <cell r="A1804" t="str">
            <v>N31459YP040</v>
          </cell>
          <cell r="B1804" t="str">
            <v>N31459Y</v>
          </cell>
        </row>
        <row r="1805">
          <cell r="A1805" t="str">
            <v>N31459YP042</v>
          </cell>
          <cell r="B1805" t="str">
            <v>N31459Y</v>
          </cell>
        </row>
        <row r="1806">
          <cell r="A1806" t="str">
            <v>N31459YP044</v>
          </cell>
          <cell r="B1806" t="str">
            <v>N31459Y</v>
          </cell>
        </row>
        <row r="1807">
          <cell r="A1807" t="str">
            <v>N31459YP046</v>
          </cell>
          <cell r="B1807" t="str">
            <v>N31459Y</v>
          </cell>
        </row>
        <row r="1808">
          <cell r="A1808" t="str">
            <v>N31459YP048</v>
          </cell>
          <cell r="B1808" t="str">
            <v>N31459Y</v>
          </cell>
        </row>
        <row r="1809">
          <cell r="A1809" t="str">
            <v>N31459YR038</v>
          </cell>
          <cell r="B1809" t="str">
            <v>N31459Y</v>
          </cell>
        </row>
        <row r="1810">
          <cell r="A1810" t="str">
            <v>N31459YR040</v>
          </cell>
          <cell r="B1810" t="str">
            <v>N31459Y</v>
          </cell>
        </row>
        <row r="1811">
          <cell r="A1811" t="str">
            <v>N31459YR042</v>
          </cell>
          <cell r="B1811" t="str">
            <v>N31459Y</v>
          </cell>
        </row>
        <row r="1812">
          <cell r="A1812" t="str">
            <v>N31459YR044</v>
          </cell>
          <cell r="B1812" t="str">
            <v>N31459Y</v>
          </cell>
        </row>
        <row r="1813">
          <cell r="A1813" t="str">
            <v>N31459YR046</v>
          </cell>
          <cell r="B1813" t="str">
            <v>N31459Y</v>
          </cell>
        </row>
        <row r="1814">
          <cell r="A1814" t="str">
            <v>N31459YR048</v>
          </cell>
          <cell r="B1814" t="str">
            <v>N31459Y</v>
          </cell>
        </row>
        <row r="1815">
          <cell r="A1815" t="str">
            <v>N3818-2YB038</v>
          </cell>
          <cell r="B1815" t="str">
            <v>N3818-2Y</v>
          </cell>
        </row>
        <row r="1816">
          <cell r="A1816" t="str">
            <v>N3818-2YB040</v>
          </cell>
          <cell r="B1816" t="str">
            <v>N3818-2Y</v>
          </cell>
        </row>
        <row r="1817">
          <cell r="A1817" t="str">
            <v>N3818-2YB042</v>
          </cell>
          <cell r="B1817" t="str">
            <v>N3818-2Y</v>
          </cell>
        </row>
        <row r="1818">
          <cell r="A1818" t="str">
            <v>N3818-2YB044</v>
          </cell>
          <cell r="B1818" t="str">
            <v>N3818-2Y</v>
          </cell>
        </row>
        <row r="1819">
          <cell r="A1819" t="str">
            <v>N3818-2YB046</v>
          </cell>
          <cell r="B1819" t="str">
            <v>N3818-2Y</v>
          </cell>
        </row>
        <row r="1820">
          <cell r="A1820" t="str">
            <v>N3818-2YB048</v>
          </cell>
          <cell r="B1820" t="str">
            <v>N3818-2Y</v>
          </cell>
        </row>
        <row r="1821">
          <cell r="A1821" t="str">
            <v>N3818-2YG038</v>
          </cell>
          <cell r="B1821" t="str">
            <v>N3818-2Y</v>
          </cell>
        </row>
        <row r="1822">
          <cell r="A1822" t="str">
            <v>N3818-2YG040</v>
          </cell>
          <cell r="B1822" t="str">
            <v>N3818-2Y</v>
          </cell>
        </row>
        <row r="1823">
          <cell r="A1823" t="str">
            <v>N3818-2YG042</v>
          </cell>
          <cell r="B1823" t="str">
            <v>N3818-2Y</v>
          </cell>
        </row>
        <row r="1824">
          <cell r="A1824" t="str">
            <v>N3818-2YG044</v>
          </cell>
          <cell r="B1824" t="str">
            <v>N3818-2Y</v>
          </cell>
        </row>
        <row r="1825">
          <cell r="A1825" t="str">
            <v>N3818-2YG046</v>
          </cell>
          <cell r="B1825" t="str">
            <v>N3818-2Y</v>
          </cell>
        </row>
        <row r="1826">
          <cell r="A1826" t="str">
            <v>N3818-2YG048</v>
          </cell>
          <cell r="B1826" t="str">
            <v>N3818-2Y</v>
          </cell>
        </row>
        <row r="1827">
          <cell r="A1827" t="str">
            <v>N3818-2YJS38</v>
          </cell>
          <cell r="B1827" t="str">
            <v>N3818-2Y</v>
          </cell>
        </row>
        <row r="1828">
          <cell r="A1828" t="str">
            <v>N3818-2YJS40</v>
          </cell>
          <cell r="B1828" t="str">
            <v>N3818-2Y</v>
          </cell>
        </row>
        <row r="1829">
          <cell r="A1829" t="str">
            <v>N3818-2YJS42</v>
          </cell>
          <cell r="B1829" t="str">
            <v>N3818-2Y</v>
          </cell>
        </row>
        <row r="1830">
          <cell r="A1830" t="str">
            <v>N3818-2YJS44</v>
          </cell>
          <cell r="B1830" t="str">
            <v>N3818-2Y</v>
          </cell>
        </row>
        <row r="1831">
          <cell r="A1831" t="str">
            <v>N3818-2YJS46</v>
          </cell>
          <cell r="B1831" t="str">
            <v>N3818-2Y</v>
          </cell>
        </row>
        <row r="1832">
          <cell r="A1832" t="str">
            <v>N3818-2YJS48</v>
          </cell>
          <cell r="B1832" t="str">
            <v>N3818-2Y</v>
          </cell>
        </row>
        <row r="1833">
          <cell r="A1833" t="str">
            <v>N3818-2YK038</v>
          </cell>
          <cell r="B1833" t="str">
            <v>N3818-2Y</v>
          </cell>
        </row>
        <row r="1834">
          <cell r="A1834" t="str">
            <v>N3818-2YK040</v>
          </cell>
          <cell r="B1834" t="str">
            <v>N3818-2Y</v>
          </cell>
        </row>
        <row r="1835">
          <cell r="A1835" t="str">
            <v>N3818-2YK042</v>
          </cell>
          <cell r="B1835" t="str">
            <v>N3818-2Y</v>
          </cell>
        </row>
        <row r="1836">
          <cell r="A1836" t="str">
            <v>N3818-2YK044</v>
          </cell>
          <cell r="B1836" t="str">
            <v>N3818-2Y</v>
          </cell>
        </row>
        <row r="1837">
          <cell r="A1837" t="str">
            <v>N3818-2YK046</v>
          </cell>
          <cell r="B1837" t="str">
            <v>N3818-2Y</v>
          </cell>
        </row>
        <row r="1838">
          <cell r="A1838" t="str">
            <v>N3818-2YK048</v>
          </cell>
          <cell r="B1838" t="str">
            <v>N3818-2Y</v>
          </cell>
        </row>
        <row r="1839">
          <cell r="A1839" t="str">
            <v>N3818-2YR038</v>
          </cell>
          <cell r="B1839" t="str">
            <v>N3818-2Y</v>
          </cell>
        </row>
        <row r="1840">
          <cell r="A1840" t="str">
            <v>N3818-2YR040</v>
          </cell>
          <cell r="B1840" t="str">
            <v>N3818-2Y</v>
          </cell>
        </row>
        <row r="1841">
          <cell r="A1841" t="str">
            <v>N3818-2YR042</v>
          </cell>
          <cell r="B1841" t="str">
            <v>N3818-2Y</v>
          </cell>
        </row>
        <row r="1842">
          <cell r="A1842" t="str">
            <v>N3818-2YR044</v>
          </cell>
          <cell r="B1842" t="str">
            <v>N3818-2Y</v>
          </cell>
        </row>
        <row r="1843">
          <cell r="A1843" t="str">
            <v>N3818-2YR046</v>
          </cell>
          <cell r="B1843" t="str">
            <v>N3818-2Y</v>
          </cell>
        </row>
        <row r="1844">
          <cell r="A1844" t="str">
            <v>N3818-2YR048</v>
          </cell>
          <cell r="B1844" t="str">
            <v>N3818-2Y</v>
          </cell>
        </row>
        <row r="1845">
          <cell r="A1845" t="str">
            <v>N3818-2YW038</v>
          </cell>
          <cell r="B1845" t="str">
            <v>N3818-2Y</v>
          </cell>
        </row>
        <row r="1846">
          <cell r="A1846" t="str">
            <v>N3818-2YW040</v>
          </cell>
          <cell r="B1846" t="str">
            <v>N3818-2Y</v>
          </cell>
        </row>
        <row r="1847">
          <cell r="A1847" t="str">
            <v>N3818-2YW042</v>
          </cell>
          <cell r="B1847" t="str">
            <v>N3818-2Y</v>
          </cell>
        </row>
        <row r="1848">
          <cell r="A1848" t="str">
            <v>N3818-2YW044</v>
          </cell>
          <cell r="B1848" t="str">
            <v>N3818-2Y</v>
          </cell>
        </row>
        <row r="1849">
          <cell r="A1849" t="str">
            <v>N3818-2YW046</v>
          </cell>
          <cell r="B1849" t="str">
            <v>N3818-2Y</v>
          </cell>
        </row>
        <row r="1850">
          <cell r="A1850" t="str">
            <v>N3818-2YW048</v>
          </cell>
          <cell r="B1850" t="str">
            <v>N3818-2Y</v>
          </cell>
        </row>
        <row r="1851">
          <cell r="A1851" t="str">
            <v>N5100YK038</v>
          </cell>
          <cell r="B1851" t="str">
            <v>N5100Y</v>
          </cell>
        </row>
        <row r="1852">
          <cell r="A1852" t="str">
            <v>N5100YK040</v>
          </cell>
          <cell r="B1852" t="str">
            <v>N5100Y</v>
          </cell>
        </row>
        <row r="1853">
          <cell r="A1853" t="str">
            <v>N5100YK042</v>
          </cell>
          <cell r="B1853" t="str">
            <v>N5100Y</v>
          </cell>
        </row>
        <row r="1854">
          <cell r="A1854" t="str">
            <v>N5100YK044</v>
          </cell>
          <cell r="B1854" t="str">
            <v>N5100Y</v>
          </cell>
        </row>
        <row r="1855">
          <cell r="A1855" t="str">
            <v>N5100YR538</v>
          </cell>
          <cell r="B1855" t="str">
            <v>N5100Y</v>
          </cell>
        </row>
        <row r="1856">
          <cell r="A1856" t="str">
            <v>N5100YR540</v>
          </cell>
          <cell r="B1856" t="str">
            <v>N5100Y</v>
          </cell>
        </row>
        <row r="1857">
          <cell r="A1857" t="str">
            <v>N5100YR542</v>
          </cell>
          <cell r="B1857" t="str">
            <v>N5100Y</v>
          </cell>
        </row>
        <row r="1858">
          <cell r="A1858" t="str">
            <v>N5100YR544</v>
          </cell>
          <cell r="B1858" t="str">
            <v>N5100Y</v>
          </cell>
        </row>
        <row r="1859">
          <cell r="A1859" t="str">
            <v>N5100YXS38</v>
          </cell>
          <cell r="B1859" t="str">
            <v>N5100Y</v>
          </cell>
        </row>
        <row r="1860">
          <cell r="A1860" t="str">
            <v>N5100YXS40</v>
          </cell>
          <cell r="B1860" t="str">
            <v>N5100Y</v>
          </cell>
        </row>
        <row r="1861">
          <cell r="A1861" t="str">
            <v>N5100YXS42</v>
          </cell>
          <cell r="B1861" t="str">
            <v>N5100Y</v>
          </cell>
        </row>
        <row r="1862">
          <cell r="A1862" t="str">
            <v>N5100YXS44</v>
          </cell>
          <cell r="B1862" t="str">
            <v>N5100Y</v>
          </cell>
        </row>
        <row r="1863">
          <cell r="A1863" t="str">
            <v>N531YB034</v>
          </cell>
          <cell r="B1863" t="str">
            <v>N531Y</v>
          </cell>
        </row>
        <row r="1864">
          <cell r="A1864" t="str">
            <v>N531YB036</v>
          </cell>
          <cell r="B1864" t="str">
            <v>N531Y</v>
          </cell>
        </row>
        <row r="1865">
          <cell r="A1865" t="str">
            <v>N531YB038</v>
          </cell>
          <cell r="B1865" t="str">
            <v>N531Y</v>
          </cell>
        </row>
        <row r="1866">
          <cell r="A1866" t="str">
            <v>N531YB040</v>
          </cell>
          <cell r="B1866" t="str">
            <v>N531Y</v>
          </cell>
        </row>
        <row r="1867">
          <cell r="A1867" t="str">
            <v>N531YK034</v>
          </cell>
          <cell r="B1867" t="str">
            <v>N531Y</v>
          </cell>
        </row>
        <row r="1868">
          <cell r="A1868" t="str">
            <v>N531YK036</v>
          </cell>
          <cell r="B1868" t="str">
            <v>N531Y</v>
          </cell>
        </row>
        <row r="1869">
          <cell r="A1869" t="str">
            <v>N531YK038</v>
          </cell>
          <cell r="B1869" t="str">
            <v>N531Y</v>
          </cell>
        </row>
        <row r="1870">
          <cell r="A1870" t="str">
            <v>N531YK040</v>
          </cell>
          <cell r="B1870" t="str">
            <v>N531Y</v>
          </cell>
        </row>
        <row r="1871">
          <cell r="A1871" t="str">
            <v>N531YQL34</v>
          </cell>
          <cell r="B1871" t="str">
            <v>N531Y</v>
          </cell>
        </row>
        <row r="1872">
          <cell r="A1872" t="str">
            <v>N531YQL36</v>
          </cell>
          <cell r="B1872" t="str">
            <v>N531Y</v>
          </cell>
        </row>
        <row r="1873">
          <cell r="A1873" t="str">
            <v>N531YQL38</v>
          </cell>
          <cell r="B1873" t="str">
            <v>N531Y</v>
          </cell>
        </row>
        <row r="1874">
          <cell r="A1874" t="str">
            <v>N531YQL40</v>
          </cell>
          <cell r="B1874" t="str">
            <v>N531Y</v>
          </cell>
        </row>
        <row r="1875">
          <cell r="A1875" t="str">
            <v>N531YR034</v>
          </cell>
          <cell r="B1875" t="str">
            <v>N531Y</v>
          </cell>
        </row>
        <row r="1876">
          <cell r="A1876" t="str">
            <v>N531YR036</v>
          </cell>
          <cell r="B1876" t="str">
            <v>N531Y</v>
          </cell>
        </row>
        <row r="1877">
          <cell r="A1877" t="str">
            <v>N531YR038</v>
          </cell>
          <cell r="B1877" t="str">
            <v>N531Y</v>
          </cell>
        </row>
        <row r="1878">
          <cell r="A1878" t="str">
            <v>N531YR040</v>
          </cell>
          <cell r="B1878" t="str">
            <v>N531Y</v>
          </cell>
        </row>
        <row r="1879">
          <cell r="A1879" t="str">
            <v>N531YXS34</v>
          </cell>
          <cell r="B1879" t="str">
            <v>N531Y</v>
          </cell>
        </row>
        <row r="1880">
          <cell r="A1880" t="str">
            <v>N531YXS36</v>
          </cell>
          <cell r="B1880" t="str">
            <v>N531Y</v>
          </cell>
        </row>
        <row r="1881">
          <cell r="A1881" t="str">
            <v>N531YXS38</v>
          </cell>
          <cell r="B1881" t="str">
            <v>N531Y</v>
          </cell>
        </row>
        <row r="1882">
          <cell r="A1882" t="str">
            <v>N531YXS40</v>
          </cell>
          <cell r="B1882" t="str">
            <v>N531Y</v>
          </cell>
        </row>
        <row r="1883">
          <cell r="A1883" t="str">
            <v>N5330YK036</v>
          </cell>
          <cell r="B1883" t="str">
            <v>N5330Y</v>
          </cell>
        </row>
        <row r="1884">
          <cell r="A1884" t="str">
            <v>N5330YK038</v>
          </cell>
          <cell r="B1884" t="str">
            <v>N5330Y</v>
          </cell>
        </row>
        <row r="1885">
          <cell r="A1885" t="str">
            <v>N5330YK040</v>
          </cell>
          <cell r="B1885" t="str">
            <v>N5330Y</v>
          </cell>
        </row>
        <row r="1886">
          <cell r="A1886" t="str">
            <v>N5330YP036</v>
          </cell>
          <cell r="B1886" t="str">
            <v>N5330Y</v>
          </cell>
        </row>
        <row r="1887">
          <cell r="A1887" t="str">
            <v>N5330YP038</v>
          </cell>
          <cell r="B1887" t="str">
            <v>N5330Y</v>
          </cell>
        </row>
        <row r="1888">
          <cell r="A1888" t="str">
            <v>N5330YP040</v>
          </cell>
          <cell r="B1888" t="str">
            <v>N5330Y</v>
          </cell>
        </row>
        <row r="1889">
          <cell r="A1889" t="str">
            <v>N5330YXS38</v>
          </cell>
          <cell r="B1889" t="str">
            <v>N5330Y</v>
          </cell>
        </row>
        <row r="1890">
          <cell r="A1890" t="str">
            <v>N583YQZ36</v>
          </cell>
          <cell r="B1890" t="str">
            <v>N583Y</v>
          </cell>
        </row>
        <row r="1891">
          <cell r="A1891" t="str">
            <v>N583YQZ38</v>
          </cell>
          <cell r="B1891" t="str">
            <v>N583Y</v>
          </cell>
        </row>
        <row r="1892">
          <cell r="A1892" t="str">
            <v>N583YQZ40</v>
          </cell>
          <cell r="B1892" t="str">
            <v>N583Y</v>
          </cell>
        </row>
        <row r="1893">
          <cell r="A1893" t="str">
            <v>N583YQZ42</v>
          </cell>
          <cell r="B1893" t="str">
            <v>N583Y</v>
          </cell>
        </row>
        <row r="1894">
          <cell r="A1894" t="str">
            <v>N583YQZ44</v>
          </cell>
          <cell r="B1894" t="str">
            <v>N583Y</v>
          </cell>
        </row>
        <row r="1895">
          <cell r="A1895" t="str">
            <v>N696YK034</v>
          </cell>
          <cell r="B1895" t="str">
            <v>N696Y</v>
          </cell>
        </row>
        <row r="1896">
          <cell r="A1896" t="str">
            <v>N696YK036</v>
          </cell>
          <cell r="B1896" t="str">
            <v>N696Y</v>
          </cell>
        </row>
        <row r="1897">
          <cell r="A1897" t="str">
            <v>N696YK038</v>
          </cell>
          <cell r="B1897" t="str">
            <v>N696Y</v>
          </cell>
        </row>
        <row r="1898">
          <cell r="A1898" t="str">
            <v>N696YSG34</v>
          </cell>
          <cell r="B1898" t="str">
            <v>N696Y</v>
          </cell>
        </row>
        <row r="1899">
          <cell r="A1899" t="str">
            <v>N696YSG36</v>
          </cell>
          <cell r="B1899" t="str">
            <v>N696Y</v>
          </cell>
        </row>
        <row r="1900">
          <cell r="A1900" t="str">
            <v>N696YSG38</v>
          </cell>
          <cell r="B1900" t="str">
            <v>N696Y</v>
          </cell>
        </row>
        <row r="1901">
          <cell r="A1901" t="str">
            <v>N696YSL34</v>
          </cell>
          <cell r="B1901" t="str">
            <v>N696Y</v>
          </cell>
        </row>
        <row r="1902">
          <cell r="A1902" t="str">
            <v>N696YSL38</v>
          </cell>
          <cell r="B1902" t="str">
            <v>N696Y</v>
          </cell>
        </row>
        <row r="1903">
          <cell r="A1903" t="str">
            <v>N8129YK036</v>
          </cell>
          <cell r="B1903" t="str">
            <v>N8129Y</v>
          </cell>
        </row>
        <row r="1904">
          <cell r="A1904" t="str">
            <v>N8129YK038</v>
          </cell>
          <cell r="B1904" t="str">
            <v>N8129Y</v>
          </cell>
        </row>
        <row r="1905">
          <cell r="A1905" t="str">
            <v>N8129YK040</v>
          </cell>
          <cell r="B1905" t="str">
            <v>N8129Y</v>
          </cell>
        </row>
        <row r="1906">
          <cell r="A1906" t="str">
            <v>N8129YK042</v>
          </cell>
          <cell r="B1906" t="str">
            <v>N8129Y</v>
          </cell>
        </row>
        <row r="1907">
          <cell r="A1907" t="str">
            <v>N8129YR036</v>
          </cell>
          <cell r="B1907" t="str">
            <v>N8129Y</v>
          </cell>
        </row>
        <row r="1908">
          <cell r="A1908" t="str">
            <v>N8129YR038</v>
          </cell>
          <cell r="B1908" t="str">
            <v>N8129Y</v>
          </cell>
        </row>
        <row r="1909">
          <cell r="A1909" t="str">
            <v>N8129YR040</v>
          </cell>
          <cell r="B1909" t="str">
            <v>N8129Y</v>
          </cell>
        </row>
        <row r="1910">
          <cell r="A1910" t="str">
            <v>N8129YR042</v>
          </cell>
          <cell r="B1910" t="str">
            <v>N8129Y</v>
          </cell>
        </row>
        <row r="1911">
          <cell r="A1911" t="str">
            <v>N86162KCL</v>
          </cell>
          <cell r="B1911" t="str">
            <v>N86162K</v>
          </cell>
        </row>
        <row r="1912">
          <cell r="A1912" t="str">
            <v>N86162KDJ</v>
          </cell>
          <cell r="B1912" t="str">
            <v>N86162K</v>
          </cell>
        </row>
        <row r="1913">
          <cell r="A1913" t="str">
            <v>N86162KDS</v>
          </cell>
          <cell r="B1913" t="str">
            <v>N86162K</v>
          </cell>
        </row>
        <row r="1914">
          <cell r="A1914" t="str">
            <v>N86162K-DS</v>
          </cell>
          <cell r="B1914" t="str">
            <v>N86162K</v>
          </cell>
        </row>
        <row r="1915">
          <cell r="A1915" t="str">
            <v>N86162KHJH</v>
          </cell>
          <cell r="B1915" t="str">
            <v>N86162K</v>
          </cell>
        </row>
        <row r="1916">
          <cell r="A1916" t="str">
            <v>N86162KHL</v>
          </cell>
          <cell r="B1916" t="str">
            <v>N86162K</v>
          </cell>
        </row>
        <row r="1917">
          <cell r="A1917" t="str">
            <v>N86162KJH</v>
          </cell>
          <cell r="B1917" t="str">
            <v>N86162K</v>
          </cell>
        </row>
        <row r="1918">
          <cell r="A1918" t="str">
            <v>N86162KK0</v>
          </cell>
          <cell r="B1918" t="str">
            <v>N86162K</v>
          </cell>
        </row>
        <row r="1919">
          <cell r="A1919" t="str">
            <v>N86162KML</v>
          </cell>
          <cell r="B1919" t="str">
            <v>N86162K</v>
          </cell>
        </row>
        <row r="1920">
          <cell r="A1920" t="str">
            <v>N86162KQL</v>
          </cell>
          <cell r="B1920" t="str">
            <v>N86162K</v>
          </cell>
        </row>
        <row r="1921">
          <cell r="A1921" t="str">
            <v>N86162KR0</v>
          </cell>
          <cell r="B1921" t="str">
            <v>N86162K</v>
          </cell>
        </row>
        <row r="1922">
          <cell r="A1922" t="str">
            <v>N86162KR5</v>
          </cell>
          <cell r="B1922" t="str">
            <v>N86162K</v>
          </cell>
        </row>
        <row r="1923">
          <cell r="A1923" t="str">
            <v>N86162KSL</v>
          </cell>
          <cell r="B1923" t="str">
            <v>N86162K</v>
          </cell>
        </row>
        <row r="1924">
          <cell r="A1924" t="str">
            <v>N86162KXS</v>
          </cell>
          <cell r="B1924" t="str">
            <v>N86162K</v>
          </cell>
        </row>
        <row r="1925">
          <cell r="A1925" t="str">
            <v>N86162KY0</v>
          </cell>
          <cell r="B1925" t="str">
            <v>N86162K</v>
          </cell>
        </row>
        <row r="1926">
          <cell r="A1926" t="str">
            <v>N87232KBLL</v>
          </cell>
          <cell r="B1926" t="str">
            <v>N87232K</v>
          </cell>
        </row>
        <row r="1927">
          <cell r="A1927" t="str">
            <v>N87232KBLM</v>
          </cell>
          <cell r="B1927" t="str">
            <v>N87232K</v>
          </cell>
        </row>
        <row r="1928">
          <cell r="A1928" t="str">
            <v>N87232KBLXL</v>
          </cell>
          <cell r="B1928" t="str">
            <v>N87232K</v>
          </cell>
        </row>
        <row r="1929">
          <cell r="A1929" t="str">
            <v>N87232K-DS-L</v>
          </cell>
          <cell r="B1929" t="str">
            <v>N87232K</v>
          </cell>
        </row>
        <row r="1930">
          <cell r="A1930" t="str">
            <v>N87232K-DS-M</v>
          </cell>
          <cell r="B1930" t="str">
            <v>N87232K</v>
          </cell>
        </row>
        <row r="1931">
          <cell r="A1931" t="str">
            <v>N87232K-DS-XL</v>
          </cell>
          <cell r="B1931" t="str">
            <v>N87232K</v>
          </cell>
        </row>
        <row r="1932">
          <cell r="A1932" t="str">
            <v>N87232KK0L</v>
          </cell>
          <cell r="B1932" t="str">
            <v>N87232K</v>
          </cell>
        </row>
        <row r="1933">
          <cell r="A1933" t="str">
            <v>N87232KK0M</v>
          </cell>
          <cell r="B1933" t="str">
            <v>N87232K</v>
          </cell>
        </row>
        <row r="1934">
          <cell r="A1934" t="str">
            <v>N87232KK0XL</v>
          </cell>
          <cell r="B1934" t="str">
            <v>N87232K</v>
          </cell>
        </row>
        <row r="1935">
          <cell r="A1935" t="str">
            <v>N87232KMLL</v>
          </cell>
          <cell r="B1935" t="str">
            <v>N87232K</v>
          </cell>
        </row>
        <row r="1936">
          <cell r="A1936" t="str">
            <v>N87232KMLM</v>
          </cell>
          <cell r="B1936" t="str">
            <v>N87232K</v>
          </cell>
        </row>
        <row r="1937">
          <cell r="A1937" t="str">
            <v>N87232KMLXL</v>
          </cell>
          <cell r="B1937" t="str">
            <v>N87232K</v>
          </cell>
        </row>
        <row r="1938">
          <cell r="A1938" t="str">
            <v>N87232KP0L</v>
          </cell>
          <cell r="B1938" t="str">
            <v>N87232K</v>
          </cell>
        </row>
        <row r="1939">
          <cell r="A1939" t="str">
            <v>N87232KP0M</v>
          </cell>
          <cell r="B1939" t="str">
            <v>N87232K</v>
          </cell>
        </row>
        <row r="1940">
          <cell r="A1940" t="str">
            <v>N87232KP0XL</v>
          </cell>
          <cell r="B1940" t="str">
            <v>N87232K</v>
          </cell>
        </row>
        <row r="1941">
          <cell r="A1941" t="str">
            <v>N87232KXGHL</v>
          </cell>
          <cell r="B1941" t="str">
            <v>N87232K</v>
          </cell>
        </row>
        <row r="1942">
          <cell r="A1942" t="str">
            <v>N87232KXGHM</v>
          </cell>
          <cell r="B1942" t="str">
            <v>N87232K</v>
          </cell>
        </row>
        <row r="1943">
          <cell r="A1943" t="str">
            <v>N87232KXGHXL</v>
          </cell>
          <cell r="B1943" t="str">
            <v>N87232K</v>
          </cell>
        </row>
        <row r="1944">
          <cell r="A1944" t="str">
            <v>N87232KXSL</v>
          </cell>
          <cell r="B1944" t="str">
            <v>N87232K</v>
          </cell>
        </row>
        <row r="1945">
          <cell r="A1945" t="str">
            <v>N87232KXSM</v>
          </cell>
          <cell r="B1945" t="str">
            <v>N87232K</v>
          </cell>
        </row>
        <row r="1946">
          <cell r="A1946" t="str">
            <v>N87232KXSXL</v>
          </cell>
          <cell r="B1946" t="str">
            <v>N87232K</v>
          </cell>
        </row>
        <row r="1947">
          <cell r="A1947" t="str">
            <v>N87301K-DS-L</v>
          </cell>
          <cell r="B1947" t="str">
            <v>N87301K</v>
          </cell>
        </row>
        <row r="1948">
          <cell r="A1948" t="str">
            <v>N87301K-DS-M</v>
          </cell>
          <cell r="B1948" t="str">
            <v>N87301K</v>
          </cell>
        </row>
        <row r="1949">
          <cell r="A1949" t="str">
            <v>N87301K-DS-XL</v>
          </cell>
          <cell r="B1949" t="str">
            <v>N87301K</v>
          </cell>
        </row>
        <row r="1950">
          <cell r="A1950" t="str">
            <v>N87301KK0L</v>
          </cell>
          <cell r="B1950" t="str">
            <v>N87301K</v>
          </cell>
        </row>
        <row r="1951">
          <cell r="A1951" t="str">
            <v>N87301KK0M</v>
          </cell>
          <cell r="B1951" t="str">
            <v>N87301K</v>
          </cell>
        </row>
        <row r="1952">
          <cell r="A1952" t="str">
            <v>N87301KK0XL</v>
          </cell>
          <cell r="B1952" t="str">
            <v>N87301K</v>
          </cell>
        </row>
        <row r="1953">
          <cell r="A1953" t="str">
            <v>N87301KMLSL</v>
          </cell>
          <cell r="B1953" t="str">
            <v>N87301K</v>
          </cell>
        </row>
        <row r="1954">
          <cell r="A1954" t="str">
            <v>N87301KMLSM</v>
          </cell>
          <cell r="B1954" t="str">
            <v>N87301K</v>
          </cell>
        </row>
        <row r="1955">
          <cell r="A1955" t="str">
            <v>N87301KMLSXL</v>
          </cell>
          <cell r="B1955" t="str">
            <v>N87301K</v>
          </cell>
        </row>
        <row r="1956">
          <cell r="A1956" t="str">
            <v>N87301KSGL</v>
          </cell>
          <cell r="B1956" t="str">
            <v>N87301K</v>
          </cell>
        </row>
        <row r="1957">
          <cell r="A1957" t="str">
            <v>N87301KSGM</v>
          </cell>
          <cell r="B1957" t="str">
            <v>N87301K</v>
          </cell>
        </row>
        <row r="1958">
          <cell r="A1958" t="str">
            <v>N87301KSGXL</v>
          </cell>
          <cell r="B1958" t="str">
            <v>N87301K</v>
          </cell>
        </row>
        <row r="1959">
          <cell r="A1959" t="str">
            <v>N87301KW0L</v>
          </cell>
          <cell r="B1959" t="str">
            <v>N87301K</v>
          </cell>
        </row>
        <row r="1960">
          <cell r="A1960" t="str">
            <v>N87301KW0M</v>
          </cell>
          <cell r="B1960" t="str">
            <v>N87301K</v>
          </cell>
        </row>
        <row r="1961">
          <cell r="A1961" t="str">
            <v>N87301KW0XL</v>
          </cell>
          <cell r="B1961" t="str">
            <v>N87301K</v>
          </cell>
        </row>
        <row r="1962">
          <cell r="A1962" t="str">
            <v>N87301KXSL</v>
          </cell>
          <cell r="B1962" t="str">
            <v>N87301K</v>
          </cell>
        </row>
        <row r="1963">
          <cell r="A1963" t="str">
            <v>N87301KXSM</v>
          </cell>
          <cell r="B1963" t="str">
            <v>N87301K</v>
          </cell>
        </row>
        <row r="1964">
          <cell r="A1964" t="str">
            <v>N87301KXSXL</v>
          </cell>
          <cell r="B1964" t="str">
            <v>N87301K</v>
          </cell>
        </row>
        <row r="1965">
          <cell r="A1965" t="str">
            <v>N87301KZHSL</v>
          </cell>
          <cell r="B1965" t="str">
            <v>N87301K</v>
          </cell>
        </row>
        <row r="1966">
          <cell r="A1966" t="str">
            <v>N87301KZHSM</v>
          </cell>
          <cell r="B1966" t="str">
            <v>N87301K</v>
          </cell>
        </row>
        <row r="1967">
          <cell r="A1967" t="str">
            <v>N87301KZHSXL</v>
          </cell>
          <cell r="B1967" t="str">
            <v>N87301K</v>
          </cell>
        </row>
        <row r="1968">
          <cell r="A1968" t="str">
            <v>N87309K-DS-L</v>
          </cell>
          <cell r="B1968" t="str">
            <v>N87309K</v>
          </cell>
        </row>
        <row r="1969">
          <cell r="A1969" t="str">
            <v>N87309K-DS-M</v>
          </cell>
          <cell r="B1969" t="str">
            <v>N87309K</v>
          </cell>
        </row>
        <row r="1970">
          <cell r="A1970" t="str">
            <v>N87309K-DS-XL</v>
          </cell>
          <cell r="B1970" t="str">
            <v>N87309K</v>
          </cell>
        </row>
        <row r="1971">
          <cell r="A1971" t="str">
            <v>N87309KK0L</v>
          </cell>
          <cell r="B1971" t="str">
            <v>N87309K</v>
          </cell>
        </row>
        <row r="1972">
          <cell r="A1972" t="str">
            <v>N87309KK0M</v>
          </cell>
          <cell r="B1972" t="str">
            <v>N87309K</v>
          </cell>
        </row>
        <row r="1973">
          <cell r="A1973" t="str">
            <v>N87309KK0XL</v>
          </cell>
          <cell r="B1973" t="str">
            <v>N87309K</v>
          </cell>
        </row>
        <row r="1974">
          <cell r="A1974" t="str">
            <v>N87309KR5L</v>
          </cell>
          <cell r="B1974" t="str">
            <v>N87309K</v>
          </cell>
        </row>
        <row r="1975">
          <cell r="A1975" t="str">
            <v>N87309KR5M</v>
          </cell>
          <cell r="B1975" t="str">
            <v>N87309K</v>
          </cell>
        </row>
        <row r="1976">
          <cell r="A1976" t="str">
            <v>N87309KR5XL</v>
          </cell>
          <cell r="B1976" t="str">
            <v>N87309K</v>
          </cell>
        </row>
        <row r="1977">
          <cell r="A1977" t="str">
            <v>N87309KSGL</v>
          </cell>
          <cell r="B1977" t="str">
            <v>N87309K</v>
          </cell>
        </row>
        <row r="1978">
          <cell r="A1978" t="str">
            <v>N87309KSGM</v>
          </cell>
          <cell r="B1978" t="str">
            <v>N87309K</v>
          </cell>
        </row>
        <row r="1979">
          <cell r="A1979" t="str">
            <v>N87309KSGXL</v>
          </cell>
          <cell r="B1979" t="str">
            <v>N87309K</v>
          </cell>
        </row>
        <row r="1980">
          <cell r="A1980" t="str">
            <v>N87309KW0L</v>
          </cell>
          <cell r="B1980" t="str">
            <v>N87309K</v>
          </cell>
        </row>
        <row r="1981">
          <cell r="A1981" t="str">
            <v>N87309KW0M</v>
          </cell>
          <cell r="B1981" t="str">
            <v>N87309K</v>
          </cell>
        </row>
        <row r="1982">
          <cell r="A1982" t="str">
            <v>N87309KW0XL</v>
          </cell>
          <cell r="B1982" t="str">
            <v>N87309K</v>
          </cell>
        </row>
        <row r="1983">
          <cell r="A1983" t="str">
            <v>N87309KXSL</v>
          </cell>
          <cell r="B1983" t="str">
            <v>N87309K</v>
          </cell>
        </row>
        <row r="1984">
          <cell r="A1984" t="str">
            <v>N87309KXSM</v>
          </cell>
          <cell r="B1984" t="str">
            <v>N87309K</v>
          </cell>
        </row>
        <row r="1985">
          <cell r="A1985" t="str">
            <v>N87309KXSXL</v>
          </cell>
          <cell r="B1985" t="str">
            <v>N87309K</v>
          </cell>
        </row>
        <row r="1986">
          <cell r="A1986" t="str">
            <v>N87309KZHSL</v>
          </cell>
          <cell r="B1986" t="str">
            <v>N87309K</v>
          </cell>
        </row>
        <row r="1987">
          <cell r="A1987" t="str">
            <v>N87309KZHSM</v>
          </cell>
          <cell r="B1987" t="str">
            <v>N87309K</v>
          </cell>
        </row>
        <row r="1988">
          <cell r="A1988" t="str">
            <v>N87309KZHSXL</v>
          </cell>
          <cell r="B1988" t="str">
            <v>N87309K</v>
          </cell>
        </row>
        <row r="1989">
          <cell r="A1989" t="str">
            <v>N87318K-DS-L</v>
          </cell>
          <cell r="B1989" t="str">
            <v>N87318K</v>
          </cell>
        </row>
        <row r="1990">
          <cell r="A1990" t="str">
            <v>N87318K-DS-M</v>
          </cell>
          <cell r="B1990" t="str">
            <v>N87318K</v>
          </cell>
        </row>
        <row r="1991">
          <cell r="A1991" t="str">
            <v>N87318K-DS-XL</v>
          </cell>
          <cell r="B1991" t="str">
            <v>N87318K</v>
          </cell>
        </row>
        <row r="1992">
          <cell r="A1992" t="str">
            <v>N87318KHLL</v>
          </cell>
          <cell r="B1992" t="str">
            <v>N87318K</v>
          </cell>
        </row>
        <row r="1993">
          <cell r="A1993" t="str">
            <v>N87318KHLM</v>
          </cell>
          <cell r="B1993" t="str">
            <v>N87318K</v>
          </cell>
        </row>
        <row r="1994">
          <cell r="A1994" t="str">
            <v>N87318KHLXL</v>
          </cell>
          <cell r="B1994" t="str">
            <v>N87318K</v>
          </cell>
        </row>
        <row r="1995">
          <cell r="A1995" t="str">
            <v>N87318KK0L</v>
          </cell>
          <cell r="B1995" t="str">
            <v>N87318K</v>
          </cell>
        </row>
        <row r="1996">
          <cell r="A1996" t="str">
            <v>N87318KK0M</v>
          </cell>
          <cell r="B1996" t="str">
            <v>N87318K</v>
          </cell>
        </row>
        <row r="1997">
          <cell r="A1997" t="str">
            <v>N87318KK0XL</v>
          </cell>
          <cell r="B1997" t="str">
            <v>N87318K</v>
          </cell>
        </row>
        <row r="1998">
          <cell r="A1998" t="str">
            <v>N87318KR5L</v>
          </cell>
          <cell r="B1998" t="str">
            <v>N87318K</v>
          </cell>
        </row>
        <row r="1999">
          <cell r="A1999" t="str">
            <v>N87318KR5M</v>
          </cell>
          <cell r="B1999" t="str">
            <v>N87318K</v>
          </cell>
        </row>
        <row r="2000">
          <cell r="A2000" t="str">
            <v>N87318KR5XL</v>
          </cell>
          <cell r="B2000" t="str">
            <v>N87318K</v>
          </cell>
        </row>
        <row r="2001">
          <cell r="A2001" t="str">
            <v>N87318KW0L</v>
          </cell>
          <cell r="B2001" t="str">
            <v>N87318K</v>
          </cell>
        </row>
        <row r="2002">
          <cell r="A2002" t="str">
            <v>N87318KW0M</v>
          </cell>
          <cell r="B2002" t="str">
            <v>N87318K</v>
          </cell>
        </row>
        <row r="2003">
          <cell r="A2003" t="str">
            <v>N87318KW0XL</v>
          </cell>
          <cell r="B2003" t="str">
            <v>N87318K</v>
          </cell>
        </row>
        <row r="2004">
          <cell r="A2004" t="str">
            <v>N87318KXGHL</v>
          </cell>
          <cell r="B2004" t="str">
            <v>N87318K</v>
          </cell>
        </row>
        <row r="2005">
          <cell r="A2005" t="str">
            <v>N87318KXGHM</v>
          </cell>
          <cell r="B2005" t="str">
            <v>N87318K</v>
          </cell>
        </row>
        <row r="2006">
          <cell r="A2006" t="str">
            <v>N87318KXGHXL</v>
          </cell>
          <cell r="B2006" t="str">
            <v>N87318K</v>
          </cell>
        </row>
        <row r="2007">
          <cell r="A2007" t="str">
            <v>N87318KXSL</v>
          </cell>
          <cell r="B2007" t="str">
            <v>N87318K</v>
          </cell>
        </row>
        <row r="2008">
          <cell r="A2008" t="str">
            <v>N87318KXSM</v>
          </cell>
          <cell r="B2008" t="str">
            <v>N87318K</v>
          </cell>
        </row>
        <row r="2009">
          <cell r="A2009" t="str">
            <v>N87318KXSXL</v>
          </cell>
          <cell r="B2009" t="str">
            <v>N87318K</v>
          </cell>
        </row>
        <row r="2010">
          <cell r="A2010" t="str">
            <v>N87319K-DS-L</v>
          </cell>
          <cell r="B2010" t="str">
            <v>N87319K</v>
          </cell>
        </row>
        <row r="2011">
          <cell r="A2011" t="str">
            <v>N87319K-DS-M</v>
          </cell>
          <cell r="B2011" t="str">
            <v>N87319K</v>
          </cell>
        </row>
        <row r="2012">
          <cell r="A2012" t="str">
            <v>N87319K-DS-XL</v>
          </cell>
          <cell r="B2012" t="str">
            <v>N87319K</v>
          </cell>
        </row>
        <row r="2013">
          <cell r="A2013" t="str">
            <v>N87319KHLL</v>
          </cell>
          <cell r="B2013" t="str">
            <v>N87319K</v>
          </cell>
        </row>
        <row r="2014">
          <cell r="A2014" t="str">
            <v>N87319KHLM</v>
          </cell>
          <cell r="B2014" t="str">
            <v>N87319K</v>
          </cell>
        </row>
        <row r="2015">
          <cell r="A2015" t="str">
            <v>N87319KHLXL</v>
          </cell>
          <cell r="B2015" t="str">
            <v>N87319K</v>
          </cell>
        </row>
        <row r="2016">
          <cell r="A2016" t="str">
            <v>N87319KK0L</v>
          </cell>
          <cell r="B2016" t="str">
            <v>N87319K</v>
          </cell>
        </row>
        <row r="2017">
          <cell r="A2017" t="str">
            <v>N87319KK0M</v>
          </cell>
          <cell r="B2017" t="str">
            <v>N87319K</v>
          </cell>
        </row>
        <row r="2018">
          <cell r="A2018" t="str">
            <v>N87319KK0XL</v>
          </cell>
          <cell r="B2018" t="str">
            <v>N87319K</v>
          </cell>
        </row>
        <row r="2019">
          <cell r="A2019" t="str">
            <v>N87319KR5L</v>
          </cell>
          <cell r="B2019" t="str">
            <v>N87319K</v>
          </cell>
        </row>
        <row r="2020">
          <cell r="A2020" t="str">
            <v>N87319KR5M</v>
          </cell>
          <cell r="B2020" t="str">
            <v>N87319K</v>
          </cell>
        </row>
        <row r="2021">
          <cell r="A2021" t="str">
            <v>N87319KR5XL</v>
          </cell>
          <cell r="B2021" t="str">
            <v>N87319K</v>
          </cell>
        </row>
        <row r="2022">
          <cell r="A2022" t="str">
            <v>N87319KW0L</v>
          </cell>
          <cell r="B2022" t="str">
            <v>N87319K</v>
          </cell>
        </row>
        <row r="2023">
          <cell r="A2023" t="str">
            <v>N87319KW0M</v>
          </cell>
          <cell r="B2023" t="str">
            <v>N87319K</v>
          </cell>
        </row>
        <row r="2024">
          <cell r="A2024" t="str">
            <v>N87319KW0XL</v>
          </cell>
          <cell r="B2024" t="str">
            <v>N87319K</v>
          </cell>
        </row>
        <row r="2025">
          <cell r="A2025" t="str">
            <v>N87319KXGHL</v>
          </cell>
          <cell r="B2025" t="str">
            <v>N87319K</v>
          </cell>
        </row>
        <row r="2026">
          <cell r="A2026" t="str">
            <v>N87319KXGHM</v>
          </cell>
          <cell r="B2026" t="str">
            <v>N87319K</v>
          </cell>
        </row>
        <row r="2027">
          <cell r="A2027" t="str">
            <v>N87319KXGHXL</v>
          </cell>
          <cell r="B2027" t="str">
            <v>N87319K</v>
          </cell>
        </row>
        <row r="2028">
          <cell r="A2028" t="str">
            <v>N87319KXSL</v>
          </cell>
          <cell r="B2028" t="str">
            <v>N87319K</v>
          </cell>
        </row>
        <row r="2029">
          <cell r="A2029" t="str">
            <v>N87319KXSM</v>
          </cell>
          <cell r="B2029" t="str">
            <v>N87319K</v>
          </cell>
        </row>
        <row r="2030">
          <cell r="A2030" t="str">
            <v>N87319KXSXL</v>
          </cell>
          <cell r="B2030" t="str">
            <v>N87319K</v>
          </cell>
        </row>
        <row r="2031">
          <cell r="A2031" t="str">
            <v>N888YK036</v>
          </cell>
          <cell r="B2031" t="str">
            <v>N888Y</v>
          </cell>
        </row>
        <row r="2032">
          <cell r="A2032" t="str">
            <v>N888YK038</v>
          </cell>
          <cell r="B2032" t="str">
            <v>N888Y</v>
          </cell>
        </row>
        <row r="2033">
          <cell r="A2033" t="str">
            <v>N888YK040</v>
          </cell>
          <cell r="B2033" t="str">
            <v>N888Y</v>
          </cell>
        </row>
        <row r="2034">
          <cell r="A2034" t="str">
            <v>N888YK042</v>
          </cell>
          <cell r="B2034" t="str">
            <v>N888Y</v>
          </cell>
        </row>
        <row r="2035">
          <cell r="A2035" t="str">
            <v>N888YR536</v>
          </cell>
          <cell r="B2035" t="str">
            <v>N888Y</v>
          </cell>
        </row>
        <row r="2036">
          <cell r="A2036" t="str">
            <v>N888YR538</v>
          </cell>
          <cell r="B2036" t="str">
            <v>N888Y</v>
          </cell>
        </row>
        <row r="2037">
          <cell r="A2037" t="str">
            <v>N888YR540</v>
          </cell>
          <cell r="B2037" t="str">
            <v>N888Y</v>
          </cell>
        </row>
        <row r="2038">
          <cell r="A2038" t="str">
            <v>N888YR542</v>
          </cell>
          <cell r="B2038" t="str">
            <v>N888Y</v>
          </cell>
        </row>
        <row r="2039">
          <cell r="A2039" t="str">
            <v>N888YXS36</v>
          </cell>
          <cell r="B2039" t="str">
            <v>N888Y</v>
          </cell>
        </row>
        <row r="2040">
          <cell r="A2040" t="str">
            <v>N888YXS38</v>
          </cell>
          <cell r="B2040" t="str">
            <v>N888Y</v>
          </cell>
        </row>
        <row r="2041">
          <cell r="A2041" t="str">
            <v>N888YXS40</v>
          </cell>
          <cell r="B2041" t="str">
            <v>N888Y</v>
          </cell>
        </row>
        <row r="2042">
          <cell r="A2042" t="str">
            <v>N888YXS42</v>
          </cell>
          <cell r="B2042" t="str">
            <v>N888Y</v>
          </cell>
        </row>
        <row r="2043">
          <cell r="A2043" t="str">
            <v>N89103KBLL</v>
          </cell>
          <cell r="B2043" t="str">
            <v>N89103K</v>
          </cell>
        </row>
        <row r="2044">
          <cell r="A2044" t="str">
            <v>N89103KBLM</v>
          </cell>
          <cell r="B2044" t="str">
            <v>N89103K</v>
          </cell>
        </row>
        <row r="2045">
          <cell r="A2045" t="str">
            <v>N89103KBLXL</v>
          </cell>
          <cell r="B2045" t="str">
            <v>N89103K</v>
          </cell>
        </row>
        <row r="2046">
          <cell r="A2046" t="str">
            <v>N89103K-DS-L</v>
          </cell>
          <cell r="B2046" t="str">
            <v>N89103K</v>
          </cell>
        </row>
        <row r="2047">
          <cell r="A2047" t="str">
            <v>N89103K-DS-M</v>
          </cell>
          <cell r="B2047" t="str">
            <v>N89103K</v>
          </cell>
        </row>
        <row r="2048">
          <cell r="A2048" t="str">
            <v>N89103K-DS-XL</v>
          </cell>
          <cell r="B2048" t="str">
            <v>N89103K</v>
          </cell>
        </row>
        <row r="2049">
          <cell r="A2049" t="str">
            <v>N89103KHLL</v>
          </cell>
          <cell r="B2049" t="str">
            <v>N89103K</v>
          </cell>
        </row>
        <row r="2050">
          <cell r="A2050" t="str">
            <v>N89103KHLM</v>
          </cell>
          <cell r="B2050" t="str">
            <v>N89103K</v>
          </cell>
        </row>
        <row r="2051">
          <cell r="A2051" t="str">
            <v>N89103KHLXL</v>
          </cell>
          <cell r="B2051" t="str">
            <v>N89103K</v>
          </cell>
        </row>
        <row r="2052">
          <cell r="A2052" t="str">
            <v>N89103KK0L</v>
          </cell>
          <cell r="B2052" t="str">
            <v>N89103K</v>
          </cell>
        </row>
        <row r="2053">
          <cell r="A2053" t="str">
            <v>N89103KK0M</v>
          </cell>
          <cell r="B2053" t="str">
            <v>N89103K</v>
          </cell>
        </row>
        <row r="2054">
          <cell r="A2054" t="str">
            <v>N89103KK0XL</v>
          </cell>
          <cell r="B2054" t="str">
            <v>N89103K</v>
          </cell>
        </row>
        <row r="2055">
          <cell r="A2055" t="str">
            <v>N89103KMHL</v>
          </cell>
          <cell r="B2055" t="str">
            <v>N89103K</v>
          </cell>
        </row>
        <row r="2056">
          <cell r="A2056" t="str">
            <v>N89103KMHM</v>
          </cell>
          <cell r="B2056" t="str">
            <v>N89103K</v>
          </cell>
        </row>
        <row r="2057">
          <cell r="A2057" t="str">
            <v>N89103KMHXL</v>
          </cell>
          <cell r="B2057" t="str">
            <v>N89103K</v>
          </cell>
        </row>
        <row r="2058">
          <cell r="A2058" t="str">
            <v>N89103KP0L</v>
          </cell>
          <cell r="B2058" t="str">
            <v>N89103K</v>
          </cell>
        </row>
        <row r="2059">
          <cell r="A2059" t="str">
            <v>N89103KP0M</v>
          </cell>
          <cell r="B2059" t="str">
            <v>N89103K</v>
          </cell>
        </row>
        <row r="2060">
          <cell r="A2060" t="str">
            <v>N89103KP0XL</v>
          </cell>
          <cell r="B2060" t="str">
            <v>N89103K</v>
          </cell>
        </row>
        <row r="2061">
          <cell r="A2061" t="str">
            <v>N89103KW0L</v>
          </cell>
          <cell r="B2061" t="str">
            <v>N89103K</v>
          </cell>
        </row>
        <row r="2062">
          <cell r="A2062" t="str">
            <v>N89103KW0M</v>
          </cell>
          <cell r="B2062" t="str">
            <v>N89103K</v>
          </cell>
        </row>
        <row r="2063">
          <cell r="A2063" t="str">
            <v>N89103KW0XL</v>
          </cell>
          <cell r="B2063" t="str">
            <v>N89103K</v>
          </cell>
        </row>
        <row r="2064">
          <cell r="A2064" t="str">
            <v>N89105KBLL</v>
          </cell>
          <cell r="B2064" t="str">
            <v>N89105K</v>
          </cell>
        </row>
        <row r="2065">
          <cell r="A2065" t="str">
            <v>N89105KBLM</v>
          </cell>
          <cell r="B2065" t="str">
            <v>N89105K</v>
          </cell>
        </row>
        <row r="2066">
          <cell r="A2066" t="str">
            <v>N89105KBLXL</v>
          </cell>
          <cell r="B2066" t="str">
            <v>N89105K</v>
          </cell>
        </row>
        <row r="2067">
          <cell r="A2067" t="str">
            <v>N89105K-DS-L</v>
          </cell>
          <cell r="B2067" t="str">
            <v>N89105K</v>
          </cell>
        </row>
        <row r="2068">
          <cell r="A2068" t="str">
            <v>N89105K-DS-M</v>
          </cell>
          <cell r="B2068" t="str">
            <v>N89105K</v>
          </cell>
        </row>
        <row r="2069">
          <cell r="A2069" t="str">
            <v>N89105K-DS-XL</v>
          </cell>
          <cell r="B2069" t="str">
            <v>N89105K</v>
          </cell>
        </row>
        <row r="2070">
          <cell r="A2070" t="str">
            <v>N89105KHLL</v>
          </cell>
          <cell r="B2070" t="str">
            <v>N89105K</v>
          </cell>
        </row>
        <row r="2071">
          <cell r="A2071" t="str">
            <v>N89105KHLM</v>
          </cell>
          <cell r="B2071" t="str">
            <v>N89105K</v>
          </cell>
        </row>
        <row r="2072">
          <cell r="A2072" t="str">
            <v>N89105KHLXL</v>
          </cell>
          <cell r="B2072" t="str">
            <v>N89105K</v>
          </cell>
        </row>
        <row r="2073">
          <cell r="A2073" t="str">
            <v>N89105KK0L</v>
          </cell>
          <cell r="B2073" t="str">
            <v>N89105K</v>
          </cell>
        </row>
        <row r="2074">
          <cell r="A2074" t="str">
            <v>N89105KK0M</v>
          </cell>
          <cell r="B2074" t="str">
            <v>N89105K</v>
          </cell>
        </row>
        <row r="2075">
          <cell r="A2075" t="str">
            <v>N89105KK0XL</v>
          </cell>
          <cell r="B2075" t="str">
            <v>N89105K</v>
          </cell>
        </row>
        <row r="2076">
          <cell r="A2076" t="str">
            <v>N89105KMHL</v>
          </cell>
          <cell r="B2076" t="str">
            <v>N89105K</v>
          </cell>
        </row>
        <row r="2077">
          <cell r="A2077" t="str">
            <v>N89105KMHM</v>
          </cell>
          <cell r="B2077" t="str">
            <v>N89105K</v>
          </cell>
        </row>
        <row r="2078">
          <cell r="A2078" t="str">
            <v>N89105KMHXL</v>
          </cell>
          <cell r="B2078" t="str">
            <v>N89105K</v>
          </cell>
        </row>
        <row r="2079">
          <cell r="A2079" t="str">
            <v>N89105KP0L</v>
          </cell>
          <cell r="B2079" t="str">
            <v>N89105K</v>
          </cell>
        </row>
        <row r="2080">
          <cell r="A2080" t="str">
            <v>N89105KP0M</v>
          </cell>
          <cell r="B2080" t="str">
            <v>N89105K</v>
          </cell>
        </row>
        <row r="2081">
          <cell r="A2081" t="str">
            <v>N89105KP0XL</v>
          </cell>
          <cell r="B2081" t="str">
            <v>N89105K</v>
          </cell>
        </row>
        <row r="2082">
          <cell r="A2082" t="str">
            <v>N89105KW0L</v>
          </cell>
          <cell r="B2082" t="str">
            <v>N89105K</v>
          </cell>
        </row>
        <row r="2083">
          <cell r="A2083" t="str">
            <v>N89105KW0M</v>
          </cell>
          <cell r="B2083" t="str">
            <v>N89105K</v>
          </cell>
        </row>
        <row r="2084">
          <cell r="A2084" t="str">
            <v>N89105KW0XL</v>
          </cell>
          <cell r="B2084" t="str">
            <v>N89105K</v>
          </cell>
        </row>
        <row r="2085">
          <cell r="A2085" t="str">
            <v>N89118K-DS-L</v>
          </cell>
          <cell r="B2085" t="str">
            <v>N89118K</v>
          </cell>
        </row>
        <row r="2086">
          <cell r="A2086" t="str">
            <v>N89118K-DS-M</v>
          </cell>
          <cell r="B2086" t="str">
            <v>N89118K</v>
          </cell>
        </row>
        <row r="2087">
          <cell r="A2087" t="str">
            <v>N89118K-DS-XL</v>
          </cell>
          <cell r="B2087" t="str">
            <v>N89118K</v>
          </cell>
        </row>
        <row r="2088">
          <cell r="A2088" t="str">
            <v>N89118KHLL</v>
          </cell>
          <cell r="B2088" t="str">
            <v>N89118K</v>
          </cell>
        </row>
        <row r="2089">
          <cell r="A2089" t="str">
            <v>N89118KHLM</v>
          </cell>
          <cell r="B2089" t="str">
            <v>N89118K</v>
          </cell>
        </row>
        <row r="2090">
          <cell r="A2090" t="str">
            <v>N89118KHLXL</v>
          </cell>
          <cell r="B2090" t="str">
            <v>N89118K</v>
          </cell>
        </row>
        <row r="2091">
          <cell r="A2091" t="str">
            <v>N89118KK0L</v>
          </cell>
          <cell r="B2091" t="str">
            <v>N89118K</v>
          </cell>
        </row>
        <row r="2092">
          <cell r="A2092" t="str">
            <v>N89118KK0M</v>
          </cell>
          <cell r="B2092" t="str">
            <v>N89118K</v>
          </cell>
        </row>
        <row r="2093">
          <cell r="A2093" t="str">
            <v>N89118KK0XL</v>
          </cell>
          <cell r="B2093" t="str">
            <v>N89118K</v>
          </cell>
        </row>
        <row r="2094">
          <cell r="A2094" t="str">
            <v>N89118KMLSL</v>
          </cell>
          <cell r="B2094" t="str">
            <v>N89118K</v>
          </cell>
        </row>
        <row r="2095">
          <cell r="A2095" t="str">
            <v>N89118KMLSM</v>
          </cell>
          <cell r="B2095" t="str">
            <v>N89118K</v>
          </cell>
        </row>
        <row r="2096">
          <cell r="A2096" t="str">
            <v>N89118KMLSXL</v>
          </cell>
          <cell r="B2096" t="str">
            <v>N89118K</v>
          </cell>
        </row>
        <row r="2097">
          <cell r="A2097" t="str">
            <v>N89118KR5L</v>
          </cell>
          <cell r="B2097" t="str">
            <v>N89118K</v>
          </cell>
        </row>
        <row r="2098">
          <cell r="A2098" t="str">
            <v>N89118KR5M</v>
          </cell>
          <cell r="B2098" t="str">
            <v>N89118K</v>
          </cell>
        </row>
        <row r="2099">
          <cell r="A2099" t="str">
            <v>N89118KR5XL</v>
          </cell>
          <cell r="B2099" t="str">
            <v>N89118K</v>
          </cell>
        </row>
        <row r="2100">
          <cell r="A2100" t="str">
            <v>N89118KW0L</v>
          </cell>
          <cell r="B2100" t="str">
            <v>N89118K</v>
          </cell>
        </row>
        <row r="2101">
          <cell r="A2101" t="str">
            <v>N89118KW0M</v>
          </cell>
          <cell r="B2101" t="str">
            <v>N89118K</v>
          </cell>
        </row>
        <row r="2102">
          <cell r="A2102" t="str">
            <v>N89118KW0XL</v>
          </cell>
          <cell r="B2102" t="str">
            <v>N89118K</v>
          </cell>
        </row>
        <row r="2103">
          <cell r="A2103" t="str">
            <v>N89118KXSL</v>
          </cell>
          <cell r="B2103" t="str">
            <v>N89118K</v>
          </cell>
        </row>
        <row r="2104">
          <cell r="A2104" t="str">
            <v>N89118KXSM</v>
          </cell>
          <cell r="B2104" t="str">
            <v>N89118K</v>
          </cell>
        </row>
        <row r="2105">
          <cell r="A2105" t="str">
            <v>N89118KXSXL</v>
          </cell>
          <cell r="B2105" t="str">
            <v>N89118K</v>
          </cell>
        </row>
        <row r="2106">
          <cell r="A2106" t="str">
            <v>N89119KBLL</v>
          </cell>
          <cell r="B2106" t="str">
            <v>N89119K</v>
          </cell>
        </row>
        <row r="2107">
          <cell r="A2107" t="str">
            <v>N89119KBLM</v>
          </cell>
          <cell r="B2107" t="str">
            <v>N89119K</v>
          </cell>
        </row>
        <row r="2108">
          <cell r="A2108" t="str">
            <v>N89119KBLXL</v>
          </cell>
          <cell r="B2108" t="str">
            <v>N89119K</v>
          </cell>
        </row>
        <row r="2109">
          <cell r="A2109" t="str">
            <v>N89119K-DS-L</v>
          </cell>
          <cell r="B2109" t="str">
            <v>N89119K</v>
          </cell>
        </row>
        <row r="2110">
          <cell r="A2110" t="str">
            <v>N89119K-DS-M</v>
          </cell>
          <cell r="B2110" t="str">
            <v>N89119K</v>
          </cell>
        </row>
        <row r="2111">
          <cell r="A2111" t="str">
            <v>N89119K-DS-XL</v>
          </cell>
          <cell r="B2111" t="str">
            <v>N89119K</v>
          </cell>
        </row>
        <row r="2112">
          <cell r="A2112" t="str">
            <v>N89119KHLL</v>
          </cell>
          <cell r="B2112" t="str">
            <v>N89119K</v>
          </cell>
        </row>
        <row r="2113">
          <cell r="A2113" t="str">
            <v>N89119KHLM</v>
          </cell>
          <cell r="B2113" t="str">
            <v>N89119K</v>
          </cell>
        </row>
        <row r="2114">
          <cell r="A2114" t="str">
            <v>N89119KHLXL</v>
          </cell>
          <cell r="B2114" t="str">
            <v>N89119K</v>
          </cell>
        </row>
        <row r="2115">
          <cell r="A2115" t="str">
            <v>N89119KK0L</v>
          </cell>
          <cell r="B2115" t="str">
            <v>N89119K</v>
          </cell>
        </row>
        <row r="2116">
          <cell r="A2116" t="str">
            <v>N89119KK0M</v>
          </cell>
          <cell r="B2116" t="str">
            <v>N89119K</v>
          </cell>
        </row>
        <row r="2117">
          <cell r="A2117" t="str">
            <v>N89119KK0XL</v>
          </cell>
          <cell r="B2117" t="str">
            <v>N89119K</v>
          </cell>
        </row>
        <row r="2118">
          <cell r="A2118" t="str">
            <v>N89119KMHL</v>
          </cell>
          <cell r="B2118" t="str">
            <v>N89119K</v>
          </cell>
        </row>
        <row r="2119">
          <cell r="A2119" t="str">
            <v>N89119KMHM</v>
          </cell>
          <cell r="B2119" t="str">
            <v>N89119K</v>
          </cell>
        </row>
        <row r="2120">
          <cell r="A2120" t="str">
            <v>N89119KMHXL</v>
          </cell>
          <cell r="B2120" t="str">
            <v>N89119K</v>
          </cell>
        </row>
        <row r="2121">
          <cell r="A2121" t="str">
            <v>N89119KR5L</v>
          </cell>
          <cell r="B2121" t="str">
            <v>N89119K</v>
          </cell>
        </row>
        <row r="2122">
          <cell r="A2122" t="str">
            <v>N89119KR5M</v>
          </cell>
          <cell r="B2122" t="str">
            <v>N89119K</v>
          </cell>
        </row>
        <row r="2123">
          <cell r="A2123" t="str">
            <v>N89119KR5XL</v>
          </cell>
          <cell r="B2123" t="str">
            <v>N89119K</v>
          </cell>
        </row>
        <row r="2124">
          <cell r="A2124" t="str">
            <v>N89119KXSL</v>
          </cell>
          <cell r="B2124" t="str">
            <v>N89119K</v>
          </cell>
        </row>
        <row r="2125">
          <cell r="A2125" t="str">
            <v>N89119KXSM</v>
          </cell>
          <cell r="B2125" t="str">
            <v>N89119K</v>
          </cell>
        </row>
        <row r="2126">
          <cell r="A2126" t="str">
            <v>N89119KXSXL</v>
          </cell>
          <cell r="B2126" t="str">
            <v>N89119K</v>
          </cell>
        </row>
        <row r="2127">
          <cell r="A2127" t="str">
            <v>N89122KBL2XL</v>
          </cell>
          <cell r="B2127" t="str">
            <v>N89122K</v>
          </cell>
        </row>
        <row r="2128">
          <cell r="A2128" t="str">
            <v>N89122KBL3XL</v>
          </cell>
          <cell r="B2128" t="str">
            <v>N89122K</v>
          </cell>
        </row>
        <row r="2129">
          <cell r="A2129" t="str">
            <v>N89122KBL4XL</v>
          </cell>
          <cell r="B2129" t="str">
            <v>N89122K</v>
          </cell>
        </row>
        <row r="2130">
          <cell r="A2130" t="str">
            <v>N89122K-DS-2XL</v>
          </cell>
          <cell r="B2130" t="str">
            <v>N89122K</v>
          </cell>
        </row>
        <row r="2131">
          <cell r="A2131" t="str">
            <v>N89122K-DS-3XL</v>
          </cell>
          <cell r="B2131" t="str">
            <v>N89122K</v>
          </cell>
        </row>
        <row r="2132">
          <cell r="A2132" t="str">
            <v>N89122K-DS-4XL</v>
          </cell>
          <cell r="B2132" t="str">
            <v>N89122K</v>
          </cell>
        </row>
        <row r="2133">
          <cell r="A2133" t="str">
            <v>N89122KHL2XL</v>
          </cell>
          <cell r="B2133" t="str">
            <v>N89122K</v>
          </cell>
        </row>
        <row r="2134">
          <cell r="A2134" t="str">
            <v>N89122KHL3XL</v>
          </cell>
          <cell r="B2134" t="str">
            <v>N89122K</v>
          </cell>
        </row>
        <row r="2135">
          <cell r="A2135" t="str">
            <v>N89122KHL4XL</v>
          </cell>
          <cell r="B2135" t="str">
            <v>N89122K</v>
          </cell>
        </row>
        <row r="2136">
          <cell r="A2136" t="str">
            <v>N89122KK02XL</v>
          </cell>
          <cell r="B2136" t="str">
            <v>N89122K</v>
          </cell>
        </row>
        <row r="2137">
          <cell r="A2137" t="str">
            <v>N89122KK03XL</v>
          </cell>
          <cell r="B2137" t="str">
            <v>N89122K</v>
          </cell>
        </row>
        <row r="2138">
          <cell r="A2138" t="str">
            <v>N89122KK04XL</v>
          </cell>
          <cell r="B2138" t="str">
            <v>N89122K</v>
          </cell>
        </row>
        <row r="2139">
          <cell r="A2139" t="str">
            <v>N89122KMH2XL</v>
          </cell>
          <cell r="B2139" t="str">
            <v>N89122K</v>
          </cell>
        </row>
        <row r="2140">
          <cell r="A2140" t="str">
            <v>N89122KMH3XL</v>
          </cell>
          <cell r="B2140" t="str">
            <v>N89122K</v>
          </cell>
        </row>
        <row r="2141">
          <cell r="A2141" t="str">
            <v>N89122KMH4XL</v>
          </cell>
          <cell r="B2141" t="str">
            <v>N89122K</v>
          </cell>
        </row>
        <row r="2142">
          <cell r="A2142" t="str">
            <v>N89122KW02XL</v>
          </cell>
          <cell r="B2142" t="str">
            <v>N89122K</v>
          </cell>
        </row>
        <row r="2143">
          <cell r="A2143" t="str">
            <v>N89122KW03XL</v>
          </cell>
          <cell r="B2143" t="str">
            <v>N89122K</v>
          </cell>
        </row>
        <row r="2144">
          <cell r="A2144" t="str">
            <v>N89122KW04XL</v>
          </cell>
          <cell r="B2144" t="str">
            <v>N89122K</v>
          </cell>
        </row>
        <row r="2145">
          <cell r="A2145" t="str">
            <v>N89122KXS2XL</v>
          </cell>
          <cell r="B2145" t="str">
            <v>N89122K</v>
          </cell>
        </row>
        <row r="2146">
          <cell r="A2146" t="str">
            <v>N89122KXS3XL</v>
          </cell>
          <cell r="B2146" t="str">
            <v>N89122K</v>
          </cell>
        </row>
        <row r="2147">
          <cell r="A2147" t="str">
            <v>N89122KXS4XL</v>
          </cell>
          <cell r="B2147" t="str">
            <v>N89122K</v>
          </cell>
        </row>
        <row r="2148">
          <cell r="A2148" t="str">
            <v>N9383YB038</v>
          </cell>
          <cell r="B2148" t="str">
            <v>N9383Y</v>
          </cell>
        </row>
        <row r="2149">
          <cell r="A2149" t="str">
            <v>N9383YB040</v>
          </cell>
          <cell r="B2149" t="str">
            <v>N9383Y</v>
          </cell>
        </row>
        <row r="2150">
          <cell r="A2150" t="str">
            <v>N9383YB042</v>
          </cell>
          <cell r="B2150" t="str">
            <v>N9383Y</v>
          </cell>
        </row>
        <row r="2151">
          <cell r="A2151" t="str">
            <v>N9383YB044</v>
          </cell>
          <cell r="B2151" t="str">
            <v>N9383Y</v>
          </cell>
        </row>
        <row r="2152">
          <cell r="A2152" t="str">
            <v>N9383YB046</v>
          </cell>
          <cell r="B2152" t="str">
            <v>N9383Y</v>
          </cell>
        </row>
        <row r="2153">
          <cell r="A2153" t="str">
            <v>N9383YB048</v>
          </cell>
          <cell r="B2153" t="str">
            <v>N9383Y</v>
          </cell>
        </row>
        <row r="2154">
          <cell r="A2154" t="str">
            <v>N9383YG038</v>
          </cell>
          <cell r="B2154" t="str">
            <v>N9383Y</v>
          </cell>
        </row>
        <row r="2155">
          <cell r="A2155" t="str">
            <v>N9383YG040</v>
          </cell>
          <cell r="B2155" t="str">
            <v>N9383Y</v>
          </cell>
        </row>
        <row r="2156">
          <cell r="A2156" t="str">
            <v>N9383YG042</v>
          </cell>
          <cell r="B2156" t="str">
            <v>N9383Y</v>
          </cell>
        </row>
        <row r="2157">
          <cell r="A2157" t="str">
            <v>N9383YG044</v>
          </cell>
          <cell r="B2157" t="str">
            <v>N9383Y</v>
          </cell>
        </row>
        <row r="2158">
          <cell r="A2158" t="str">
            <v>N9383YG046</v>
          </cell>
          <cell r="B2158" t="str">
            <v>N9383Y</v>
          </cell>
        </row>
        <row r="2159">
          <cell r="A2159" t="str">
            <v>N9383YG048</v>
          </cell>
          <cell r="B2159" t="str">
            <v>N9383Y</v>
          </cell>
        </row>
        <row r="2160">
          <cell r="A2160" t="str">
            <v>N9383YMH38</v>
          </cell>
          <cell r="B2160" t="str">
            <v>N9383Y</v>
          </cell>
        </row>
        <row r="2161">
          <cell r="A2161" t="str">
            <v>N9383YMH40</v>
          </cell>
          <cell r="B2161" t="str">
            <v>N9383Y</v>
          </cell>
        </row>
        <row r="2162">
          <cell r="A2162" t="str">
            <v>N9383YMH42</v>
          </cell>
          <cell r="B2162" t="str">
            <v>N9383Y</v>
          </cell>
        </row>
        <row r="2163">
          <cell r="A2163" t="str">
            <v>N9383YMH44</v>
          </cell>
          <cell r="B2163" t="str">
            <v>N9383Y</v>
          </cell>
        </row>
        <row r="2164">
          <cell r="A2164" t="str">
            <v>N9383YMH46</v>
          </cell>
          <cell r="B2164" t="str">
            <v>N9383Y</v>
          </cell>
        </row>
        <row r="2165">
          <cell r="A2165" t="str">
            <v>N9383YMH48</v>
          </cell>
          <cell r="B2165" t="str">
            <v>N9383Y</v>
          </cell>
        </row>
        <row r="2166">
          <cell r="A2166" t="str">
            <v>N9383YP038</v>
          </cell>
          <cell r="B2166" t="str">
            <v>N9383Y</v>
          </cell>
        </row>
        <row r="2167">
          <cell r="A2167" t="str">
            <v>N9383YP040</v>
          </cell>
          <cell r="B2167" t="str">
            <v>N9383Y</v>
          </cell>
        </row>
        <row r="2168">
          <cell r="A2168" t="str">
            <v>N9383YP042</v>
          </cell>
          <cell r="B2168" t="str">
            <v>N9383Y</v>
          </cell>
        </row>
        <row r="2169">
          <cell r="A2169" t="str">
            <v>N9383YP044</v>
          </cell>
          <cell r="B2169" t="str">
            <v>N9383Y</v>
          </cell>
        </row>
        <row r="2170">
          <cell r="A2170" t="str">
            <v>N9383YP046</v>
          </cell>
          <cell r="B2170" t="str">
            <v>N9383Y</v>
          </cell>
        </row>
        <row r="2171">
          <cell r="A2171" t="str">
            <v>N9383YP048</v>
          </cell>
          <cell r="B2171" t="str">
            <v>N9383Y</v>
          </cell>
        </row>
        <row r="2172">
          <cell r="A2172" t="str">
            <v>N9383YR038</v>
          </cell>
          <cell r="B2172" t="str">
            <v>N9383Y</v>
          </cell>
        </row>
        <row r="2173">
          <cell r="A2173" t="str">
            <v>N9383YR040</v>
          </cell>
          <cell r="B2173" t="str">
            <v>N9383Y</v>
          </cell>
        </row>
        <row r="2174">
          <cell r="A2174" t="str">
            <v>N9383YR042</v>
          </cell>
          <cell r="B2174" t="str">
            <v>N9383Y</v>
          </cell>
        </row>
        <row r="2175">
          <cell r="A2175" t="str">
            <v>N9383YR044</v>
          </cell>
          <cell r="B2175" t="str">
            <v>N9383Y</v>
          </cell>
        </row>
        <row r="2176">
          <cell r="A2176" t="str">
            <v>N9383YR046</v>
          </cell>
          <cell r="B2176" t="str">
            <v>N9383Y</v>
          </cell>
        </row>
        <row r="2177">
          <cell r="A2177" t="str">
            <v>N9383YR048</v>
          </cell>
          <cell r="B2177" t="str">
            <v>N9383Y</v>
          </cell>
        </row>
        <row r="2178">
          <cell r="A2178" t="str">
            <v>N9383YXGH38</v>
          </cell>
          <cell r="B2178" t="str">
            <v>N9383Y</v>
          </cell>
        </row>
        <row r="2179">
          <cell r="A2179" t="str">
            <v>N9383YXGH40</v>
          </cell>
          <cell r="B2179" t="str">
            <v>N9383Y</v>
          </cell>
        </row>
        <row r="2180">
          <cell r="A2180" t="str">
            <v>N9383YXGH42</v>
          </cell>
          <cell r="B2180" t="str">
            <v>N9383Y</v>
          </cell>
        </row>
        <row r="2181">
          <cell r="A2181" t="str">
            <v>N9383YXGH44</v>
          </cell>
          <cell r="B2181" t="str">
            <v>N9383Y</v>
          </cell>
        </row>
        <row r="2182">
          <cell r="A2182" t="str">
            <v>N9383YXGH46</v>
          </cell>
          <cell r="B2182" t="str">
            <v>N9383Y</v>
          </cell>
        </row>
        <row r="2183">
          <cell r="A2183" t="str">
            <v>N9383YXGH48</v>
          </cell>
          <cell r="B2183" t="str">
            <v>N9383Y</v>
          </cell>
        </row>
        <row r="2184">
          <cell r="A2184" t="str">
            <v>N9932YK034</v>
          </cell>
          <cell r="B2184" t="str">
            <v>N9932Y</v>
          </cell>
        </row>
        <row r="2185">
          <cell r="A2185" t="str">
            <v>N9932YK036</v>
          </cell>
          <cell r="B2185" t="str">
            <v>N9932Y</v>
          </cell>
        </row>
        <row r="2186">
          <cell r="A2186" t="str">
            <v>N9932YK038</v>
          </cell>
          <cell r="B2186" t="str">
            <v>N9932Y</v>
          </cell>
        </row>
        <row r="2187">
          <cell r="A2187" t="str">
            <v>N9932YR034</v>
          </cell>
          <cell r="B2187" t="str">
            <v>N9932Y</v>
          </cell>
        </row>
        <row r="2188">
          <cell r="A2188" t="str">
            <v>N9932YR036</v>
          </cell>
          <cell r="B2188" t="str">
            <v>N9932Y</v>
          </cell>
        </row>
        <row r="2189">
          <cell r="A2189" t="str">
            <v>N9932YR038</v>
          </cell>
          <cell r="B2189" t="str">
            <v>N9932Y</v>
          </cell>
        </row>
        <row r="2190">
          <cell r="A2190" t="str">
            <v>N9932YR534</v>
          </cell>
          <cell r="B2190" t="str">
            <v>N9932Y</v>
          </cell>
        </row>
        <row r="2191">
          <cell r="A2191" t="str">
            <v>N9932YR536</v>
          </cell>
          <cell r="B2191" t="str">
            <v>N9932Y</v>
          </cell>
        </row>
        <row r="2192">
          <cell r="A2192" t="str">
            <v>N9932YR538</v>
          </cell>
          <cell r="B2192" t="str">
            <v>N9932Y</v>
          </cell>
        </row>
        <row r="2193">
          <cell r="A2193" t="str">
            <v>N9932YXS34</v>
          </cell>
          <cell r="B2193" t="str">
            <v>N9932Y</v>
          </cell>
        </row>
        <row r="2194">
          <cell r="A2194" t="str">
            <v>N9932YXS36</v>
          </cell>
          <cell r="B2194" t="str">
            <v>N9932Y</v>
          </cell>
        </row>
        <row r="2195">
          <cell r="A2195" t="str">
            <v>N9932YXS38</v>
          </cell>
          <cell r="B2195" t="str">
            <v>N9932Y</v>
          </cell>
        </row>
        <row r="2196">
          <cell r="A2196" t="str">
            <v>NC11YK038</v>
          </cell>
          <cell r="B2196" t="str">
            <v>NC11Y</v>
          </cell>
        </row>
        <row r="2197">
          <cell r="A2197" t="str">
            <v>NC11YK040</v>
          </cell>
          <cell r="B2197" t="str">
            <v>NC11Y</v>
          </cell>
        </row>
        <row r="2198">
          <cell r="A2198" t="str">
            <v>NC11YK042</v>
          </cell>
          <cell r="B2198" t="str">
            <v>NC11Y</v>
          </cell>
        </row>
        <row r="2199">
          <cell r="A2199" t="str">
            <v>NC11YXS38</v>
          </cell>
          <cell r="B2199" t="str">
            <v>NC11Y</v>
          </cell>
        </row>
        <row r="2200">
          <cell r="A2200" t="str">
            <v>NC11YXS40</v>
          </cell>
          <cell r="B2200" t="str">
            <v>ZIMUYH</v>
          </cell>
        </row>
        <row r="2201">
          <cell r="A2201" t="str">
            <v>NC11YXS42</v>
          </cell>
          <cell r="B2201" t="str">
            <v>ZSNW</v>
          </cell>
        </row>
        <row r="2202">
          <cell r="A2202" t="str">
            <v>NHDZR0</v>
          </cell>
          <cell r="B2202" t="str">
            <v>ZZTS</v>
          </cell>
        </row>
        <row r="2203">
          <cell r="A2203" t="str">
            <v>NK-XUHM001-K0-L</v>
          </cell>
          <cell r="B2203" t="str">
            <v>NK-XUHM001</v>
          </cell>
        </row>
        <row r="2204">
          <cell r="A2204" t="str">
            <v>NK-XUHM001-K0-M</v>
          </cell>
          <cell r="B2204" t="str">
            <v>NK-XUHM001</v>
          </cell>
        </row>
        <row r="2205">
          <cell r="A2205" t="str">
            <v>NK-XUHM001-K0-S</v>
          </cell>
          <cell r="B2205" t="str">
            <v>NK-XUJF001</v>
          </cell>
        </row>
        <row r="2206">
          <cell r="A2206" t="str">
            <v>NK-XUHM001-K0-XL</v>
          </cell>
          <cell r="B2206" t="str">
            <v>NK-XUJF001</v>
          </cell>
        </row>
        <row r="2207">
          <cell r="A2207" t="str">
            <v>NK-XUHM001-K0-XXL</v>
          </cell>
          <cell r="B2207" t="str">
            <v>NK-XUJF001</v>
          </cell>
        </row>
        <row r="2208">
          <cell r="A2208" t="str">
            <v>NK-XUJF001-K0-L</v>
          </cell>
          <cell r="B2208" t="str">
            <v>NK-XUJF001</v>
          </cell>
        </row>
        <row r="2209">
          <cell r="A2209" t="str">
            <v>NK-XUJF001-K0-M</v>
          </cell>
          <cell r="B2209" t="str">
            <v>NK-XUJF001</v>
          </cell>
        </row>
        <row r="2210">
          <cell r="A2210" t="str">
            <v>NK-XUJF001-K0-S</v>
          </cell>
          <cell r="B2210" t="str">
            <v>NC11Y</v>
          </cell>
        </row>
        <row r="2211">
          <cell r="A2211" t="str">
            <v>NK-XUJF001-K0-XL</v>
          </cell>
          <cell r="B2211" t="str">
            <v>NC11Y</v>
          </cell>
        </row>
        <row r="2212">
          <cell r="A2212" t="str">
            <v>NK-XUJF001-K0-XXL</v>
          </cell>
          <cell r="B2212" t="str">
            <v>NHDZ</v>
          </cell>
        </row>
        <row r="2213">
          <cell r="A2213" t="str">
            <v>NWZEGL2XL</v>
          </cell>
          <cell r="B2213" t="str">
            <v>NWZE</v>
          </cell>
        </row>
        <row r="2214">
          <cell r="A2214" t="str">
            <v>NWZEGL3XL</v>
          </cell>
          <cell r="B2214" t="str">
            <v>NWZE</v>
          </cell>
        </row>
        <row r="2215">
          <cell r="A2215" t="str">
            <v>NWZEGL4XL</v>
          </cell>
          <cell r="B2215" t="str">
            <v>NWZE</v>
          </cell>
        </row>
        <row r="2216">
          <cell r="A2216" t="str">
            <v>NWZEGL5XL</v>
          </cell>
          <cell r="B2216" t="str">
            <v>NWZE</v>
          </cell>
        </row>
        <row r="2217">
          <cell r="A2217" t="str">
            <v>NWZEGLL</v>
          </cell>
          <cell r="B2217" t="str">
            <v>NWZE</v>
          </cell>
        </row>
        <row r="2218">
          <cell r="A2218" t="str">
            <v>NWZEGLXL</v>
          </cell>
          <cell r="B2218" t="str">
            <v>NWZE</v>
          </cell>
        </row>
        <row r="2219">
          <cell r="A2219" t="str">
            <v>NWZEKQS2XL</v>
          </cell>
          <cell r="B2219" t="str">
            <v>NWZE</v>
          </cell>
        </row>
        <row r="2220">
          <cell r="A2220" t="str">
            <v>NWZEKQS3XL</v>
          </cell>
          <cell r="B2220" t="str">
            <v>NWZE</v>
          </cell>
        </row>
        <row r="2221">
          <cell r="A2221" t="str">
            <v>NWZEKQS4XL</v>
          </cell>
          <cell r="B2221" t="str">
            <v>NWZE</v>
          </cell>
        </row>
        <row r="2222">
          <cell r="A2222" t="str">
            <v>NWZEKQS5XL</v>
          </cell>
          <cell r="B2222" t="str">
            <v>NWZE</v>
          </cell>
        </row>
        <row r="2223">
          <cell r="A2223" t="str">
            <v>NWZEKQSL</v>
          </cell>
          <cell r="B2223" t="str">
            <v>NWZE</v>
          </cell>
        </row>
        <row r="2224">
          <cell r="A2224" t="str">
            <v>NWZEKQSXL</v>
          </cell>
          <cell r="B2224" t="str">
            <v>NWZE</v>
          </cell>
        </row>
        <row r="2225">
          <cell r="A2225" t="str">
            <v>NWZEOR2XL</v>
          </cell>
          <cell r="B2225" t="str">
            <v>NWZE</v>
          </cell>
        </row>
        <row r="2226">
          <cell r="A2226" t="str">
            <v>NWZEOR3XL</v>
          </cell>
          <cell r="B2226" t="str">
            <v>NWZE</v>
          </cell>
        </row>
        <row r="2227">
          <cell r="A2227" t="str">
            <v>NWZEOR4XL</v>
          </cell>
          <cell r="B2227" t="str">
            <v>NWZE</v>
          </cell>
        </row>
        <row r="2228">
          <cell r="A2228" t="str">
            <v>NWZEOR5XL</v>
          </cell>
          <cell r="B2228" t="str">
            <v>NWZE</v>
          </cell>
        </row>
        <row r="2229">
          <cell r="A2229" t="str">
            <v>NWZEORL</v>
          </cell>
          <cell r="B2229" t="str">
            <v>NWZE</v>
          </cell>
        </row>
        <row r="2230">
          <cell r="A2230" t="str">
            <v>NWZEORXL</v>
          </cell>
          <cell r="B2230" t="str">
            <v>NWZE</v>
          </cell>
        </row>
        <row r="2231">
          <cell r="A2231" t="str">
            <v>NWZEQHS2XL</v>
          </cell>
          <cell r="B2231" t="str">
            <v>NWZE</v>
          </cell>
        </row>
        <row r="2232">
          <cell r="A2232" t="str">
            <v>NWZEQHS3XL</v>
          </cell>
          <cell r="B2232" t="str">
            <v>NWZE</v>
          </cell>
        </row>
        <row r="2233">
          <cell r="A2233" t="str">
            <v>NWZEQHS4XL</v>
          </cell>
          <cell r="B2233" t="str">
            <v>NWZE</v>
          </cell>
        </row>
        <row r="2234">
          <cell r="A2234" t="str">
            <v>NWZEQHS5XL</v>
          </cell>
          <cell r="B2234" t="str">
            <v>NWZE</v>
          </cell>
        </row>
        <row r="2235">
          <cell r="A2235" t="str">
            <v>NWZEQHSL</v>
          </cell>
          <cell r="B2235" t="str">
            <v>NWZE</v>
          </cell>
        </row>
        <row r="2236">
          <cell r="A2236" t="str">
            <v>NWZEQHSXL</v>
          </cell>
          <cell r="B2236" t="str">
            <v>NWZE</v>
          </cell>
        </row>
        <row r="2237">
          <cell r="A2237" t="str">
            <v>NWZEQLS2XL</v>
          </cell>
          <cell r="B2237" t="str">
            <v>NWZE</v>
          </cell>
        </row>
        <row r="2238">
          <cell r="A2238" t="str">
            <v>NWZEQLS3XL</v>
          </cell>
          <cell r="B2238" t="str">
            <v>NWZE</v>
          </cell>
        </row>
        <row r="2239">
          <cell r="A2239" t="str">
            <v>NWZEQLS4XL</v>
          </cell>
          <cell r="B2239" t="str">
            <v>NWZE</v>
          </cell>
        </row>
        <row r="2240">
          <cell r="A2240" t="str">
            <v>NWZEQLS5XL</v>
          </cell>
          <cell r="B2240" t="str">
            <v>NWZE</v>
          </cell>
        </row>
        <row r="2241">
          <cell r="A2241" t="str">
            <v>NWZEQLSL</v>
          </cell>
          <cell r="B2241" t="str">
            <v>NWZE</v>
          </cell>
        </row>
        <row r="2242">
          <cell r="A2242" t="str">
            <v>NWZEQLSXL</v>
          </cell>
          <cell r="B2242" t="str">
            <v>NWZE</v>
          </cell>
        </row>
        <row r="2243">
          <cell r="A2243" t="str">
            <v>NWZEW02XL</v>
          </cell>
          <cell r="B2243" t="str">
            <v>NWZE</v>
          </cell>
        </row>
        <row r="2244">
          <cell r="A2244" t="str">
            <v>NWZEW03XL</v>
          </cell>
          <cell r="B2244" t="str">
            <v>NWZE</v>
          </cell>
        </row>
        <row r="2245">
          <cell r="A2245" t="str">
            <v>NWZEW04XL</v>
          </cell>
          <cell r="B2245" t="str">
            <v>NWZE</v>
          </cell>
        </row>
        <row r="2246">
          <cell r="A2246" t="str">
            <v>NWZEW05XL</v>
          </cell>
          <cell r="B2246" t="str">
            <v>NWZE</v>
          </cell>
        </row>
        <row r="2247">
          <cell r="A2247" t="str">
            <v>NWZEW0L</v>
          </cell>
          <cell r="B2247" t="str">
            <v>NWZE</v>
          </cell>
        </row>
        <row r="2248">
          <cell r="A2248" t="str">
            <v>NWZEW0XL</v>
          </cell>
          <cell r="B2248" t="str">
            <v>NWZE</v>
          </cell>
        </row>
        <row r="2249">
          <cell r="A2249" t="str">
            <v>NWZEZQ2XL</v>
          </cell>
          <cell r="B2249" t="str">
            <v>NWZE</v>
          </cell>
        </row>
        <row r="2250">
          <cell r="A2250" t="str">
            <v>NWZEZQ3XL</v>
          </cell>
          <cell r="B2250" t="str">
            <v>NWZE</v>
          </cell>
        </row>
        <row r="2251">
          <cell r="A2251" t="str">
            <v>NWZEZQ4XL</v>
          </cell>
          <cell r="B2251" t="str">
            <v>NWZE</v>
          </cell>
        </row>
        <row r="2252">
          <cell r="A2252" t="str">
            <v>NWZEZQ5XL</v>
          </cell>
          <cell r="B2252" t="str">
            <v>NY-029</v>
          </cell>
        </row>
        <row r="2253">
          <cell r="A2253" t="str">
            <v>NWZEZQL</v>
          </cell>
          <cell r="B2253" t="str">
            <v>NY-029</v>
          </cell>
        </row>
        <row r="2254">
          <cell r="A2254" t="str">
            <v>NWZEZQXL</v>
          </cell>
          <cell r="B2254" t="str">
            <v>NY-029</v>
          </cell>
        </row>
        <row r="2255">
          <cell r="A2255" t="str">
            <v>NY-029-YE0-36</v>
          </cell>
          <cell r="B2255" t="str">
            <v>NY-029</v>
          </cell>
        </row>
        <row r="2256">
          <cell r="A2256" t="str">
            <v>NY-029-YE0-38</v>
          </cell>
          <cell r="B2256" t="str">
            <v>NY-029</v>
          </cell>
        </row>
        <row r="2257">
          <cell r="A2257" t="str">
            <v>NY-029-YE0-40</v>
          </cell>
          <cell r="B2257" t="str">
            <v>NY-029</v>
          </cell>
        </row>
        <row r="2258">
          <cell r="A2258" t="str">
            <v>NY-029-YHL-36</v>
          </cell>
          <cell r="B2258" t="str">
            <v>NY-029</v>
          </cell>
        </row>
        <row r="2259">
          <cell r="A2259" t="str">
            <v>NY-029-YHL-38</v>
          </cell>
          <cell r="B2259" t="str">
            <v>NY-029</v>
          </cell>
        </row>
        <row r="2260">
          <cell r="A2260" t="str">
            <v>NY-029-YHL-40</v>
          </cell>
          <cell r="B2260" t="str">
            <v>NY-029</v>
          </cell>
        </row>
        <row r="2261">
          <cell r="A2261" t="str">
            <v>NY-029-YMH-36</v>
          </cell>
          <cell r="B2261" t="str">
            <v>NY-039</v>
          </cell>
        </row>
        <row r="2262">
          <cell r="A2262" t="str">
            <v>NY-029-YMH-38</v>
          </cell>
          <cell r="B2262" t="str">
            <v>NY-039</v>
          </cell>
        </row>
        <row r="2263">
          <cell r="A2263" t="str">
            <v>NY-029-YMH-40</v>
          </cell>
          <cell r="B2263" t="str">
            <v>NY-039</v>
          </cell>
        </row>
        <row r="2264">
          <cell r="A2264" t="str">
            <v>NY-039-YB0-36</v>
          </cell>
          <cell r="B2264" t="str">
            <v>NY-039</v>
          </cell>
        </row>
        <row r="2265">
          <cell r="A2265" t="str">
            <v>NY-039-YB0-38</v>
          </cell>
          <cell r="B2265" t="str">
            <v>NY-039</v>
          </cell>
        </row>
        <row r="2266">
          <cell r="A2266" t="str">
            <v>NY-039-YB0-40</v>
          </cell>
          <cell r="B2266" t="str">
            <v>NY-039</v>
          </cell>
        </row>
        <row r="2267">
          <cell r="A2267" t="str">
            <v>NY-039-YG0-36</v>
          </cell>
          <cell r="B2267" t="str">
            <v>NY-039</v>
          </cell>
        </row>
        <row r="2268">
          <cell r="A2268" t="str">
            <v>NY-039-YG0-38</v>
          </cell>
          <cell r="B2268" t="str">
            <v>NY-039</v>
          </cell>
        </row>
        <row r="2269">
          <cell r="A2269" t="str">
            <v>NY-039-YG0-40</v>
          </cell>
          <cell r="B2269" t="str">
            <v>NY-039</v>
          </cell>
        </row>
        <row r="2270">
          <cell r="A2270" t="str">
            <v>NY-039-YP0-36</v>
          </cell>
          <cell r="B2270" t="str">
            <v>NY-039</v>
          </cell>
        </row>
        <row r="2271">
          <cell r="A2271" t="str">
            <v>NY-039-YP0-38</v>
          </cell>
          <cell r="B2271" t="str">
            <v>NY-039</v>
          </cell>
        </row>
        <row r="2272">
          <cell r="A2272" t="str">
            <v>NY-039-YP0-40</v>
          </cell>
          <cell r="B2272" t="str">
            <v>NY-039</v>
          </cell>
        </row>
        <row r="2273">
          <cell r="A2273" t="str">
            <v>NY-039-YR0-36</v>
          </cell>
          <cell r="B2273" t="str">
            <v>NY-039</v>
          </cell>
        </row>
        <row r="2274">
          <cell r="A2274" t="str">
            <v>NY-039-YR0-40</v>
          </cell>
          <cell r="B2274" t="str">
            <v>NY-039</v>
          </cell>
        </row>
        <row r="2275">
          <cell r="A2275" t="str">
            <v>NY-039-YTHS-36</v>
          </cell>
          <cell r="B2275" t="str">
            <v>NY-039</v>
          </cell>
        </row>
        <row r="2276">
          <cell r="A2276" t="str">
            <v>NY-039-YTHS-38</v>
          </cell>
          <cell r="B2276" t="str">
            <v>NY-039</v>
          </cell>
        </row>
        <row r="2277">
          <cell r="A2277" t="str">
            <v>NY-039-YTHS-40</v>
          </cell>
          <cell r="B2277" t="str">
            <v>NY-039</v>
          </cell>
        </row>
        <row r="2278">
          <cell r="A2278" t="str">
            <v>NY-039-YXGH-36</v>
          </cell>
          <cell r="B2278" t="str">
            <v>NY-158</v>
          </cell>
        </row>
        <row r="2279">
          <cell r="A2279" t="str">
            <v>NY-039-YXGH-38</v>
          </cell>
          <cell r="B2279" t="str">
            <v>NY-158</v>
          </cell>
        </row>
        <row r="2280">
          <cell r="A2280" t="str">
            <v>NY-039-YXGH-40</v>
          </cell>
          <cell r="B2280" t="str">
            <v>NY-158</v>
          </cell>
        </row>
        <row r="2281">
          <cell r="A2281" t="str">
            <v>NY-158-YB0-38</v>
          </cell>
          <cell r="B2281" t="str">
            <v>NY-1709</v>
          </cell>
        </row>
        <row r="2282">
          <cell r="A2282" t="str">
            <v>NY-158-YK0-38</v>
          </cell>
          <cell r="B2282" t="str">
            <v>NY-1709</v>
          </cell>
        </row>
        <row r="2283">
          <cell r="A2283" t="str">
            <v>NY-158-YR0-38</v>
          </cell>
          <cell r="B2283" t="str">
            <v>NY-1709</v>
          </cell>
        </row>
        <row r="2284">
          <cell r="A2284" t="str">
            <v>NY-1709-YR0-42</v>
          </cell>
          <cell r="B2284" t="str">
            <v>NY-1709</v>
          </cell>
        </row>
        <row r="2285">
          <cell r="A2285" t="str">
            <v>NY-1709-YR0-46</v>
          </cell>
          <cell r="B2285" t="str">
            <v>NY-1709</v>
          </cell>
        </row>
        <row r="2286">
          <cell r="A2286" t="str">
            <v>NY-1709-YR0-48</v>
          </cell>
          <cell r="B2286" t="str">
            <v>NY-1709</v>
          </cell>
        </row>
        <row r="2287">
          <cell r="A2287" t="str">
            <v>NY-1709-YZS-44</v>
          </cell>
          <cell r="B2287" t="str">
            <v>NY-2033</v>
          </cell>
        </row>
        <row r="2288">
          <cell r="A2288" t="str">
            <v>NY-1709-YZS-46</v>
          </cell>
          <cell r="B2288" t="str">
            <v>NY-2082</v>
          </cell>
        </row>
        <row r="2289">
          <cell r="A2289" t="str">
            <v>NY-1709-YZS-48</v>
          </cell>
          <cell r="B2289" t="str">
            <v>NY-2082</v>
          </cell>
        </row>
        <row r="2290">
          <cell r="A2290" t="str">
            <v>NY-2033-YK0-36</v>
          </cell>
          <cell r="B2290" t="str">
            <v>NY-2716</v>
          </cell>
        </row>
        <row r="2291">
          <cell r="A2291" t="str">
            <v>NY-2082-YK0-34</v>
          </cell>
          <cell r="B2291" t="str">
            <v>NY-2716</v>
          </cell>
        </row>
        <row r="2292">
          <cell r="A2292" t="str">
            <v>NY-2082-YK0-38</v>
          </cell>
          <cell r="B2292" t="str">
            <v>NY-2716</v>
          </cell>
        </row>
        <row r="2293">
          <cell r="A2293" t="str">
            <v>NY-2716-YHL-34</v>
          </cell>
          <cell r="B2293" t="str">
            <v>NY-2716</v>
          </cell>
        </row>
        <row r="2294">
          <cell r="A2294" t="str">
            <v>NY-2716-YHL-36</v>
          </cell>
          <cell r="B2294" t="str">
            <v>NY-2716</v>
          </cell>
        </row>
        <row r="2295">
          <cell r="A2295" t="str">
            <v>NY-2716-YHL-38</v>
          </cell>
          <cell r="B2295" t="str">
            <v>NY-2716</v>
          </cell>
        </row>
        <row r="2296">
          <cell r="A2296" t="str">
            <v>NY-2716-YMH-34</v>
          </cell>
          <cell r="B2296" t="str">
            <v>NY-2716</v>
          </cell>
        </row>
        <row r="2297">
          <cell r="A2297" t="str">
            <v>NY-2716-YMH-36</v>
          </cell>
          <cell r="B2297" t="str">
            <v>NY-2716</v>
          </cell>
        </row>
        <row r="2298">
          <cell r="A2298" t="str">
            <v>NY-2716-YMH-38</v>
          </cell>
          <cell r="B2298" t="str">
            <v>NY-2716</v>
          </cell>
        </row>
        <row r="2299">
          <cell r="A2299" t="str">
            <v>NY-2716-YR0-34</v>
          </cell>
          <cell r="B2299" t="str">
            <v>NY-2716</v>
          </cell>
        </row>
        <row r="2300">
          <cell r="A2300" t="str">
            <v>NY-2716-YR0-36</v>
          </cell>
          <cell r="B2300" t="str">
            <v>NY-2716</v>
          </cell>
        </row>
        <row r="2301">
          <cell r="A2301" t="str">
            <v>NY-2716-YR0-38</v>
          </cell>
          <cell r="B2301" t="str">
            <v>NY-2716</v>
          </cell>
        </row>
        <row r="2302">
          <cell r="A2302" t="str">
            <v>NY-2716-YYGL-34</v>
          </cell>
          <cell r="B2302" t="str">
            <v>NY-31459</v>
          </cell>
        </row>
        <row r="2303">
          <cell r="A2303" t="str">
            <v>NY-2716-YYGL-36</v>
          </cell>
          <cell r="B2303" t="str">
            <v>NY-31459</v>
          </cell>
        </row>
        <row r="2304">
          <cell r="A2304" t="str">
            <v>NY-2716-YYGL-38</v>
          </cell>
          <cell r="B2304" t="str">
            <v>NY-31459</v>
          </cell>
        </row>
        <row r="2305">
          <cell r="A2305" t="str">
            <v>NY-31459-YB0-40</v>
          </cell>
          <cell r="B2305" t="str">
            <v>NY-31459</v>
          </cell>
        </row>
        <row r="2306">
          <cell r="A2306" t="str">
            <v>NY-31459-YB0-42</v>
          </cell>
          <cell r="B2306" t="str">
            <v>NY-31459</v>
          </cell>
        </row>
        <row r="2307">
          <cell r="A2307" t="str">
            <v>NY-31459-YJS-42</v>
          </cell>
          <cell r="B2307" t="str">
            <v>NY-31459</v>
          </cell>
        </row>
        <row r="2308">
          <cell r="A2308" t="str">
            <v>NY-31459-YJS-46</v>
          </cell>
          <cell r="B2308" t="str">
            <v>NY-31459</v>
          </cell>
        </row>
        <row r="2309">
          <cell r="A2309" t="str">
            <v>NY-31459-YMH-42</v>
          </cell>
          <cell r="B2309" t="str">
            <v>NY-31459</v>
          </cell>
        </row>
        <row r="2310">
          <cell r="A2310" t="str">
            <v>NY-31459-YMH-44</v>
          </cell>
          <cell r="B2310" t="str">
            <v>NY-31459</v>
          </cell>
        </row>
        <row r="2311">
          <cell r="A2311" t="str">
            <v>NY-31459-YMH-46</v>
          </cell>
          <cell r="B2311" t="str">
            <v>NY-31459</v>
          </cell>
        </row>
        <row r="2312">
          <cell r="A2312" t="str">
            <v>NY-31459-YMH-48</v>
          </cell>
          <cell r="B2312" t="str">
            <v>NY-38182</v>
          </cell>
        </row>
        <row r="2313">
          <cell r="A2313" t="str">
            <v>NY-31459-YR0-38</v>
          </cell>
          <cell r="B2313" t="str">
            <v>NY-38182</v>
          </cell>
        </row>
        <row r="2314">
          <cell r="A2314" t="str">
            <v>NY-31459-YR0-44</v>
          </cell>
          <cell r="B2314" t="str">
            <v>NY-38182</v>
          </cell>
        </row>
        <row r="2315">
          <cell r="A2315" t="str">
            <v>NY-38182-YW0-38</v>
          </cell>
          <cell r="B2315" t="str">
            <v>NY-38182</v>
          </cell>
        </row>
        <row r="2316">
          <cell r="A2316" t="str">
            <v>NY-38182-YW0-40</v>
          </cell>
          <cell r="B2316" t="str">
            <v>NY-38182</v>
          </cell>
        </row>
        <row r="2317">
          <cell r="A2317" t="str">
            <v>NY-38182-YW0-44</v>
          </cell>
          <cell r="B2317" t="str">
            <v>NY-531</v>
          </cell>
        </row>
        <row r="2318">
          <cell r="A2318" t="str">
            <v>NY-38182-YW0-46</v>
          </cell>
          <cell r="B2318" t="str">
            <v>NY-531</v>
          </cell>
        </row>
        <row r="2319">
          <cell r="A2319" t="str">
            <v>NY-38182-YW0-48</v>
          </cell>
          <cell r="B2319" t="str">
            <v>NY-531</v>
          </cell>
        </row>
        <row r="2320">
          <cell r="A2320" t="str">
            <v>NY-531-YB0-36</v>
          </cell>
          <cell r="B2320" t="str">
            <v>NY-531</v>
          </cell>
        </row>
        <row r="2321">
          <cell r="A2321" t="str">
            <v>NY-531-YB0-38</v>
          </cell>
          <cell r="B2321" t="str">
            <v>NY-531</v>
          </cell>
        </row>
        <row r="2322">
          <cell r="A2322" t="str">
            <v>NY-531-YB0-40</v>
          </cell>
          <cell r="B2322" t="str">
            <v>NY-531</v>
          </cell>
        </row>
        <row r="2323">
          <cell r="A2323" t="str">
            <v>NY-531-YK0-34</v>
          </cell>
          <cell r="B2323" t="str">
            <v>NY-531</v>
          </cell>
        </row>
        <row r="2324">
          <cell r="A2324" t="str">
            <v>NY-531-YK0-36</v>
          </cell>
          <cell r="B2324" t="str">
            <v>NY-531</v>
          </cell>
        </row>
        <row r="2325">
          <cell r="A2325" t="str">
            <v>NY-531-YK0-38</v>
          </cell>
          <cell r="B2325" t="str">
            <v>NY-531</v>
          </cell>
        </row>
        <row r="2326">
          <cell r="A2326" t="str">
            <v>NY-531-YK0-40</v>
          </cell>
          <cell r="B2326" t="str">
            <v>NY-531</v>
          </cell>
        </row>
        <row r="2327">
          <cell r="A2327" t="str">
            <v>NY-531-YQL-34</v>
          </cell>
          <cell r="B2327" t="str">
            <v>NY-531</v>
          </cell>
        </row>
        <row r="2328">
          <cell r="A2328" t="str">
            <v>NY-531-YQL-36</v>
          </cell>
          <cell r="B2328" t="str">
            <v>NY-531</v>
          </cell>
        </row>
        <row r="2329">
          <cell r="A2329" t="str">
            <v>NY-531-YQL-38</v>
          </cell>
          <cell r="B2329" t="str">
            <v>NY-531</v>
          </cell>
        </row>
        <row r="2330">
          <cell r="A2330" t="str">
            <v>NY-531-YQL-40</v>
          </cell>
          <cell r="B2330" t="str">
            <v>NY-531</v>
          </cell>
        </row>
        <row r="2331">
          <cell r="A2331" t="str">
            <v>NY-531-YR0-34</v>
          </cell>
          <cell r="B2331" t="str">
            <v>NY-531</v>
          </cell>
        </row>
        <row r="2332">
          <cell r="A2332" t="str">
            <v>NY-531-YR0-36</v>
          </cell>
          <cell r="B2332" t="str">
            <v>NY-531</v>
          </cell>
        </row>
        <row r="2333">
          <cell r="A2333" t="str">
            <v>NY-531-YR0-38</v>
          </cell>
          <cell r="B2333" t="str">
            <v>NY-531</v>
          </cell>
        </row>
        <row r="2334">
          <cell r="A2334" t="str">
            <v>NY-531-YR0-40</v>
          </cell>
          <cell r="B2334" t="str">
            <v>NY-531</v>
          </cell>
        </row>
        <row r="2335">
          <cell r="A2335" t="str">
            <v>NY-531-YXS-34</v>
          </cell>
          <cell r="B2335" t="str">
            <v>NY-531</v>
          </cell>
        </row>
        <row r="2336">
          <cell r="A2336" t="str">
            <v>NY-531-YXS-36</v>
          </cell>
          <cell r="B2336" t="str">
            <v>NY-583</v>
          </cell>
        </row>
        <row r="2337">
          <cell r="A2337" t="str">
            <v>NY-531-YXS-38</v>
          </cell>
          <cell r="B2337" t="str">
            <v>NY-583</v>
          </cell>
        </row>
        <row r="2338">
          <cell r="A2338" t="str">
            <v>NY-531-YXS-40</v>
          </cell>
          <cell r="B2338" t="str">
            <v>NY-888</v>
          </cell>
        </row>
        <row r="2339">
          <cell r="A2339" t="str">
            <v>NY-583-YQZ-40</v>
          </cell>
          <cell r="B2339" t="str">
            <v>NY-888</v>
          </cell>
        </row>
        <row r="2340">
          <cell r="A2340" t="str">
            <v>NY-583-YQZ-42</v>
          </cell>
          <cell r="B2340" t="str">
            <v>NY-888</v>
          </cell>
        </row>
        <row r="2341">
          <cell r="A2341" t="str">
            <v>NY-888-YK0-36</v>
          </cell>
          <cell r="B2341" t="str">
            <v>NY-888</v>
          </cell>
        </row>
        <row r="2342">
          <cell r="A2342" t="str">
            <v>NY-888-YK0-38</v>
          </cell>
          <cell r="B2342" t="str">
            <v>NY-888</v>
          </cell>
        </row>
        <row r="2343">
          <cell r="A2343" t="str">
            <v>NY-888-YK0-42</v>
          </cell>
          <cell r="B2343" t="str">
            <v>NY-888</v>
          </cell>
        </row>
        <row r="2344">
          <cell r="A2344" t="str">
            <v>NY-888-YR5-36</v>
          </cell>
          <cell r="B2344" t="str">
            <v>NY-888</v>
          </cell>
        </row>
        <row r="2345">
          <cell r="A2345" t="str">
            <v>NY-888-YR5-38</v>
          </cell>
          <cell r="B2345" t="str">
            <v>NY-888</v>
          </cell>
        </row>
        <row r="2346">
          <cell r="A2346" t="str">
            <v>NY-888-YR5-40</v>
          </cell>
          <cell r="B2346" t="str">
            <v>NY-888</v>
          </cell>
        </row>
        <row r="2347">
          <cell r="A2347" t="str">
            <v>NY-888-YR5-42</v>
          </cell>
          <cell r="B2347" t="str">
            <v>NY-9383</v>
          </cell>
        </row>
        <row r="2348">
          <cell r="A2348" t="str">
            <v>NY-888-YXS-36</v>
          </cell>
          <cell r="B2348" t="str">
            <v>NY-9383</v>
          </cell>
        </row>
        <row r="2349">
          <cell r="A2349" t="str">
            <v>NY-888-YXS-38</v>
          </cell>
          <cell r="B2349" t="str">
            <v>NY-9383</v>
          </cell>
        </row>
        <row r="2350">
          <cell r="A2350" t="str">
            <v>NY-9383-YB0-40</v>
          </cell>
          <cell r="B2350" t="str">
            <v>NY-9383</v>
          </cell>
        </row>
        <row r="2351">
          <cell r="A2351" t="str">
            <v>NY-9383-YB0-46</v>
          </cell>
          <cell r="B2351" t="str">
            <v>NY-9383</v>
          </cell>
        </row>
        <row r="2352">
          <cell r="A2352" t="str">
            <v>NY-9383-YG0-42</v>
          </cell>
          <cell r="B2352" t="str">
            <v>NY-9383</v>
          </cell>
        </row>
        <row r="2353">
          <cell r="A2353" t="str">
            <v>NY-9383-YG0-44</v>
          </cell>
          <cell r="B2353" t="str">
            <v>NY-9383</v>
          </cell>
        </row>
        <row r="2354">
          <cell r="A2354" t="str">
            <v>NY-9383-YG0-46</v>
          </cell>
          <cell r="B2354" t="str">
            <v>NY-9383</v>
          </cell>
        </row>
        <row r="2355">
          <cell r="A2355" t="str">
            <v>NY-9383-YMH-40</v>
          </cell>
          <cell r="B2355" t="str">
            <v>NY-9383</v>
          </cell>
        </row>
        <row r="2356">
          <cell r="A2356" t="str">
            <v>NY-9383-YP0-40</v>
          </cell>
          <cell r="B2356" t="str">
            <v>NY-9383</v>
          </cell>
        </row>
        <row r="2357">
          <cell r="A2357" t="str">
            <v>NY-9383-YP0-42</v>
          </cell>
          <cell r="B2357" t="str">
            <v>NY-9383</v>
          </cell>
        </row>
        <row r="2358">
          <cell r="A2358" t="str">
            <v>NY-9383-YR0-40</v>
          </cell>
          <cell r="B2358" t="str">
            <v>NY-9383</v>
          </cell>
        </row>
        <row r="2359">
          <cell r="A2359" t="str">
            <v>NY-9383-YR0-42</v>
          </cell>
          <cell r="B2359" t="str">
            <v>NY-9383</v>
          </cell>
        </row>
        <row r="2360">
          <cell r="A2360" t="str">
            <v>NY-9383-YXGH-38</v>
          </cell>
          <cell r="B2360" t="str">
            <v>NY-9932</v>
          </cell>
        </row>
        <row r="2361">
          <cell r="A2361" t="str">
            <v>NY-9383-YXGH-42</v>
          </cell>
          <cell r="B2361" t="str">
            <v>NY-9932</v>
          </cell>
        </row>
        <row r="2362">
          <cell r="A2362" t="str">
            <v>NY-9383-YXGH-44</v>
          </cell>
          <cell r="B2362" t="str">
            <v>NY-9932</v>
          </cell>
        </row>
        <row r="2363">
          <cell r="A2363" t="str">
            <v>NY-9932-YR0-36</v>
          </cell>
          <cell r="B2363" t="str">
            <v>NY-9932</v>
          </cell>
        </row>
        <row r="2364">
          <cell r="A2364" t="str">
            <v>NY-9932-YR0-38</v>
          </cell>
          <cell r="B2364" t="str">
            <v>NY-9932</v>
          </cell>
        </row>
        <row r="2365">
          <cell r="A2365" t="str">
            <v>NY-9932-YR5-38</v>
          </cell>
          <cell r="B2365" t="str">
            <v>NWZE</v>
          </cell>
        </row>
        <row r="2366">
          <cell r="A2366" t="str">
            <v>NY-9932-YXS-34</v>
          </cell>
          <cell r="B2366" t="str">
            <v>NWZE</v>
          </cell>
        </row>
        <row r="2367">
          <cell r="A2367" t="str">
            <v>NY-9932-YXS-38</v>
          </cell>
          <cell r="B2367" t="str">
            <v>NWZE</v>
          </cell>
        </row>
        <row r="2368">
          <cell r="A2368" t="str">
            <v>NY-B15016-K0-L</v>
          </cell>
          <cell r="B2368" t="str">
            <v>NY-B15016</v>
          </cell>
        </row>
        <row r="2369">
          <cell r="A2369" t="str">
            <v>NY-B15016-K0-M</v>
          </cell>
          <cell r="B2369" t="str">
            <v>NY-B15016</v>
          </cell>
        </row>
        <row r="2370">
          <cell r="A2370" t="str">
            <v>NY-B15016-K0-S</v>
          </cell>
          <cell r="B2370" t="str">
            <v>NY-B15016</v>
          </cell>
        </row>
        <row r="2371">
          <cell r="A2371" t="str">
            <v>NY-B15016-W0-L</v>
          </cell>
          <cell r="B2371" t="str">
            <v>NY-B15016</v>
          </cell>
        </row>
        <row r="2372">
          <cell r="A2372" t="str">
            <v>NY-B15016-W0-M</v>
          </cell>
          <cell r="B2372" t="str">
            <v>NY-B15016</v>
          </cell>
        </row>
        <row r="2373">
          <cell r="A2373" t="str">
            <v>NY-B15016-W0-S</v>
          </cell>
          <cell r="B2373" t="str">
            <v>NY-B15016</v>
          </cell>
        </row>
        <row r="2374">
          <cell r="A2374" t="str">
            <v>NY-B15016-Y0-L</v>
          </cell>
          <cell r="B2374" t="str">
            <v>NY-B15016</v>
          </cell>
        </row>
        <row r="2375">
          <cell r="A2375" t="str">
            <v>NY-B15016-Y0-M</v>
          </cell>
          <cell r="B2375" t="str">
            <v>NY-B15016</v>
          </cell>
        </row>
        <row r="2376">
          <cell r="A2376" t="str">
            <v>NY-B15016-Y0-S</v>
          </cell>
          <cell r="B2376" t="str">
            <v>NY-B15016</v>
          </cell>
        </row>
        <row r="2377">
          <cell r="A2377" t="str">
            <v>NY-B15021-B0-L</v>
          </cell>
          <cell r="B2377" t="str">
            <v>NY-B15021</v>
          </cell>
        </row>
        <row r="2378">
          <cell r="A2378" t="str">
            <v>NY-B15021-B0-M</v>
          </cell>
          <cell r="B2378" t="str">
            <v>NY-B15021</v>
          </cell>
        </row>
        <row r="2379">
          <cell r="A2379" t="str">
            <v>NY-B15021-B0-S</v>
          </cell>
          <cell r="B2379" t="str">
            <v>NY-B15021</v>
          </cell>
        </row>
        <row r="2380">
          <cell r="A2380" t="str">
            <v>NY-B15021-B0-XL</v>
          </cell>
          <cell r="B2380" t="str">
            <v>NY-B15021</v>
          </cell>
        </row>
        <row r="2381">
          <cell r="A2381" t="str">
            <v>NY-B15021-K0-L</v>
          </cell>
          <cell r="B2381" t="str">
            <v>NY-B15021</v>
          </cell>
        </row>
        <row r="2382">
          <cell r="A2382" t="str">
            <v>NY-B15021-K0-M</v>
          </cell>
          <cell r="B2382" t="str">
            <v>NY-B15021</v>
          </cell>
        </row>
        <row r="2383">
          <cell r="A2383" t="str">
            <v>NY-B15021-K0-S</v>
          </cell>
          <cell r="B2383" t="str">
            <v>NY-B15021</v>
          </cell>
        </row>
        <row r="2384">
          <cell r="A2384" t="str">
            <v>NY-B15021-K0-XL</v>
          </cell>
          <cell r="B2384" t="str">
            <v>NY-B15021</v>
          </cell>
        </row>
        <row r="2385">
          <cell r="A2385" t="str">
            <v>NY-B15021-PI-L</v>
          </cell>
          <cell r="B2385" t="str">
            <v>NY-B15021</v>
          </cell>
        </row>
        <row r="2386">
          <cell r="A2386" t="str">
            <v>NY-B15021-PI-M</v>
          </cell>
          <cell r="B2386" t="str">
            <v>NK-XUHM011</v>
          </cell>
        </row>
        <row r="2387">
          <cell r="A2387" t="str">
            <v>NY-B15021-PI-S</v>
          </cell>
          <cell r="B2387" t="str">
            <v>NK-XUHM011</v>
          </cell>
        </row>
        <row r="2388">
          <cell r="A2388" t="str">
            <v>NY-B15021-PI-XL</v>
          </cell>
          <cell r="B2388" t="str">
            <v>NK-XUHM011</v>
          </cell>
        </row>
        <row r="2389">
          <cell r="A2389" t="str">
            <v>NY-B15021-W0-L</v>
          </cell>
          <cell r="B2389" t="str">
            <v>NY-B15021</v>
          </cell>
        </row>
        <row r="2390">
          <cell r="A2390" t="str">
            <v>NY-B15021-W0-M</v>
          </cell>
          <cell r="B2390" t="str">
            <v>NY-XUHM001</v>
          </cell>
        </row>
        <row r="2391">
          <cell r="A2391" t="str">
            <v>NY-B15021-W0-S</v>
          </cell>
          <cell r="B2391" t="str">
            <v>NK-XUHM001</v>
          </cell>
        </row>
        <row r="2392">
          <cell r="A2392" t="str">
            <v>NY-B15021-W0-XL</v>
          </cell>
          <cell r="B2392" t="str">
            <v>NY-XUHM001</v>
          </cell>
        </row>
        <row r="2393">
          <cell r="A2393" t="str">
            <v>NY-XUHM001-K0-36</v>
          </cell>
          <cell r="B2393" t="str">
            <v>NY-XUHM001</v>
          </cell>
        </row>
        <row r="2394">
          <cell r="A2394" t="str">
            <v>NY-XUHM001-K0-36C</v>
          </cell>
          <cell r="B2394" t="str">
            <v>NY-XUHM001</v>
          </cell>
        </row>
        <row r="2395">
          <cell r="A2395" t="str">
            <v>NY-XUHM001-K0-38</v>
          </cell>
          <cell r="B2395" t="str">
            <v>NY-XUHM001</v>
          </cell>
        </row>
        <row r="2396">
          <cell r="A2396" t="str">
            <v>NY-XUHM001-K0-38C</v>
          </cell>
          <cell r="B2396" t="str">
            <v>NY-XUHM001</v>
          </cell>
        </row>
        <row r="2397">
          <cell r="A2397" t="str">
            <v>NY-XUHM001-K0-40</v>
          </cell>
          <cell r="B2397" t="str">
            <v>NY-XUHM001</v>
          </cell>
        </row>
        <row r="2398">
          <cell r="A2398" t="str">
            <v>NY-XUHM001-K0-40C</v>
          </cell>
          <cell r="B2398" t="str">
            <v>NY-XUHM001</v>
          </cell>
        </row>
        <row r="2399">
          <cell r="A2399" t="str">
            <v>NY-XUHM001-K0-42</v>
          </cell>
          <cell r="B2399" t="str">
            <v>NK-XUHM001</v>
          </cell>
        </row>
        <row r="2400">
          <cell r="A2400" t="str">
            <v>NY-XUHM001-K0-42C</v>
          </cell>
          <cell r="B2400" t="str">
            <v>NY-B15021</v>
          </cell>
        </row>
        <row r="2401">
          <cell r="A2401" t="str">
            <v>NY-XUHM001-K0-44</v>
          </cell>
          <cell r="B2401" t="str">
            <v>NY-B15021</v>
          </cell>
        </row>
        <row r="2402">
          <cell r="A2402" t="str">
            <v>NY-XUHM001-K0-44C</v>
          </cell>
          <cell r="B2402" t="str">
            <v>NY-B15021</v>
          </cell>
        </row>
        <row r="2403">
          <cell r="A2403" t="str">
            <v>NY-XUHM002-K0-L</v>
          </cell>
          <cell r="B2403" t="str">
            <v>NY-B15021</v>
          </cell>
        </row>
        <row r="2404">
          <cell r="A2404" t="str">
            <v>NY-XUHM002-K0-M</v>
          </cell>
          <cell r="B2404" t="str">
            <v>NY-B15021</v>
          </cell>
        </row>
        <row r="2405">
          <cell r="A2405" t="str">
            <v>NY-XUHM002-K0-S</v>
          </cell>
          <cell r="B2405" t="str">
            <v>NY-B15021</v>
          </cell>
        </row>
        <row r="2406">
          <cell r="A2406" t="str">
            <v>NY-XUHM002-PI-L</v>
          </cell>
          <cell r="B2406" t="str">
            <v>NY-B15021</v>
          </cell>
        </row>
        <row r="2407">
          <cell r="A2407" t="str">
            <v>NY-XUHM002-PI-M</v>
          </cell>
          <cell r="B2407" t="str">
            <v>NY-B15021</v>
          </cell>
        </row>
        <row r="2408">
          <cell r="A2408" t="str">
            <v>NY-XUHM002-PI-S</v>
          </cell>
          <cell r="B2408" t="str">
            <v>NY-B15021</v>
          </cell>
        </row>
        <row r="2409">
          <cell r="A2409" t="str">
            <v>NY-XUHM005-GA-L</v>
          </cell>
          <cell r="B2409" t="str">
            <v>NY-B15021</v>
          </cell>
        </row>
        <row r="2410">
          <cell r="A2410" t="str">
            <v>NY-XUHM005-GA-M</v>
          </cell>
          <cell r="B2410" t="str">
            <v>NY-B15021</v>
          </cell>
        </row>
        <row r="2411">
          <cell r="A2411" t="str">
            <v>NY-XUHM005-GA-S</v>
          </cell>
          <cell r="B2411" t="str">
            <v>NY-B15021</v>
          </cell>
        </row>
        <row r="2412">
          <cell r="A2412" t="str">
            <v>NY-XUHM005-K0-L</v>
          </cell>
          <cell r="B2412" t="str">
            <v>NY-XUHM011</v>
          </cell>
        </row>
        <row r="2413">
          <cell r="A2413" t="str">
            <v>NY-XUHM005-K0-M</v>
          </cell>
          <cell r="B2413" t="str">
            <v>NK-XUHM001</v>
          </cell>
        </row>
        <row r="2414">
          <cell r="A2414" t="str">
            <v>NY-XUHM005-K0-S</v>
          </cell>
          <cell r="B2414" t="str">
            <v>NY-XUHM011</v>
          </cell>
        </row>
        <row r="2415">
          <cell r="A2415" t="str">
            <v>NY-XUHM011-K0-36</v>
          </cell>
          <cell r="B2415" t="str">
            <v>NY-XUHM011</v>
          </cell>
        </row>
        <row r="2416">
          <cell r="A2416" t="str">
            <v>NY-XUHM011-K0-36C</v>
          </cell>
          <cell r="B2416" t="str">
            <v>NY-XUHM011</v>
          </cell>
        </row>
        <row r="2417">
          <cell r="A2417" t="str">
            <v>NY-XUHM011-K0-38</v>
          </cell>
          <cell r="B2417" t="str">
            <v>NY-XUHM011</v>
          </cell>
        </row>
        <row r="2418">
          <cell r="A2418" t="str">
            <v>NY-XUHM011-K0-38C</v>
          </cell>
          <cell r="B2418" t="str">
            <v>NY-XUHM011</v>
          </cell>
        </row>
        <row r="2419">
          <cell r="A2419" t="str">
            <v>NY-XUHM011-K0-40</v>
          </cell>
          <cell r="B2419" t="str">
            <v>NY-XUHM011</v>
          </cell>
        </row>
        <row r="2420">
          <cell r="A2420" t="str">
            <v>NY-XUHM011-K0-40C</v>
          </cell>
          <cell r="B2420" t="str">
            <v>NY-XUHM011</v>
          </cell>
        </row>
        <row r="2421">
          <cell r="A2421" t="str">
            <v>NY-XUHM011-K0-42</v>
          </cell>
          <cell r="B2421" t="str">
            <v>NK-XUHM011</v>
          </cell>
        </row>
        <row r="2422">
          <cell r="A2422" t="str">
            <v>NY-XUHM011-K0-42C</v>
          </cell>
          <cell r="B2422" t="str">
            <v>NY-XUHM331</v>
          </cell>
        </row>
        <row r="2423">
          <cell r="A2423" t="str">
            <v>NY-XUHM011-K0-44</v>
          </cell>
          <cell r="B2423" t="str">
            <v>NY-XUHM331</v>
          </cell>
        </row>
        <row r="2424">
          <cell r="A2424" t="str">
            <v>NY-XUHM011-K0-44C</v>
          </cell>
          <cell r="B2424" t="str">
            <v>NY-XUHM332</v>
          </cell>
        </row>
        <row r="2425">
          <cell r="A2425" t="str">
            <v>NY-XUHM331-B0-L</v>
          </cell>
          <cell r="B2425" t="str">
            <v>NY-XUHM333</v>
          </cell>
        </row>
        <row r="2426">
          <cell r="A2426" t="str">
            <v>NY-XUHM331-P0-L</v>
          </cell>
          <cell r="B2426" t="str">
            <v>NY-XUHM333</v>
          </cell>
        </row>
        <row r="2427">
          <cell r="A2427" t="str">
            <v>NY-XUHM332-HS-M</v>
          </cell>
          <cell r="B2427" t="str">
            <v>NY-XUHM333</v>
          </cell>
        </row>
        <row r="2428">
          <cell r="A2428" t="str">
            <v>NY-XUHM333-HS-L</v>
          </cell>
          <cell r="B2428" t="str">
            <v>NY-XUHM463</v>
          </cell>
        </row>
        <row r="2429">
          <cell r="A2429" t="str">
            <v>NY-XUHM333-HS-M</v>
          </cell>
          <cell r="B2429" t="str">
            <v>NY-XUHM463</v>
          </cell>
        </row>
        <row r="2430">
          <cell r="A2430" t="str">
            <v>NY-XUHM333-HS-S</v>
          </cell>
          <cell r="B2430" t="str">
            <v>NY-XUHM463</v>
          </cell>
        </row>
        <row r="2431">
          <cell r="A2431" t="str">
            <v>NY-XUHM463-K0-L</v>
          </cell>
          <cell r="B2431" t="str">
            <v>NY-XUHM463</v>
          </cell>
        </row>
        <row r="2432">
          <cell r="A2432" t="str">
            <v>NY-XUHM463-K0-M</v>
          </cell>
          <cell r="B2432" t="str">
            <v>NY-XUHM463</v>
          </cell>
        </row>
        <row r="2433">
          <cell r="A2433" t="str">
            <v>NY-XUHM463-K0-S</v>
          </cell>
          <cell r="B2433" t="str">
            <v>NY-XUHM463</v>
          </cell>
        </row>
        <row r="2434">
          <cell r="A2434" t="str">
            <v>NY-XUHM463-K0-XL</v>
          </cell>
          <cell r="B2434" t="str">
            <v>NY-XUHM463</v>
          </cell>
        </row>
        <row r="2435">
          <cell r="A2435" t="str">
            <v>NY-XUHM463-P0-L</v>
          </cell>
          <cell r="B2435" t="str">
            <v>NY-XUHM463</v>
          </cell>
        </row>
        <row r="2436">
          <cell r="A2436" t="str">
            <v>NY-XUHM463-P0-M</v>
          </cell>
          <cell r="B2436" t="str">
            <v>NY-B15021</v>
          </cell>
        </row>
        <row r="2437">
          <cell r="A2437" t="str">
            <v>NY-XUHM463-P0-S</v>
          </cell>
          <cell r="B2437" t="str">
            <v>NY-B15021</v>
          </cell>
        </row>
        <row r="2438">
          <cell r="A2438" t="str">
            <v>NY-XUHM463-P0-XL</v>
          </cell>
          <cell r="B2438" t="str">
            <v>NY-B15021</v>
          </cell>
        </row>
        <row r="2439">
          <cell r="A2439" t="str">
            <v>NZFSE0L</v>
          </cell>
          <cell r="B2439" t="str">
            <v>NZFS</v>
          </cell>
        </row>
        <row r="2440">
          <cell r="A2440" t="str">
            <v>NZFSE0M</v>
          </cell>
          <cell r="B2440" t="str">
            <v>NZFS</v>
          </cell>
        </row>
        <row r="2441">
          <cell r="A2441" t="str">
            <v>NZFSE0S</v>
          </cell>
          <cell r="B2441" t="str">
            <v>NZFS</v>
          </cell>
        </row>
        <row r="2442">
          <cell r="A2442" t="str">
            <v>NZFSK0L</v>
          </cell>
          <cell r="B2442" t="str">
            <v>NZFS</v>
          </cell>
        </row>
        <row r="2443">
          <cell r="A2443" t="str">
            <v>NZFSK0M</v>
          </cell>
          <cell r="B2443" t="str">
            <v>NZFS</v>
          </cell>
        </row>
        <row r="2444">
          <cell r="A2444" t="str">
            <v>NZFSK0S</v>
          </cell>
          <cell r="B2444" t="str">
            <v>NZFS</v>
          </cell>
        </row>
        <row r="2445">
          <cell r="A2445" t="str">
            <v>NZFSMHL</v>
          </cell>
          <cell r="B2445" t="str">
            <v>NZFS</v>
          </cell>
        </row>
        <row r="2446">
          <cell r="A2446" t="str">
            <v>NZFSMHM</v>
          </cell>
          <cell r="B2446" t="str">
            <v>NZFS</v>
          </cell>
        </row>
        <row r="2447">
          <cell r="A2447" t="str">
            <v>NZFSMHS</v>
          </cell>
          <cell r="B2447" t="str">
            <v>NZFS</v>
          </cell>
        </row>
        <row r="2448">
          <cell r="A2448" t="str">
            <v>NZFSW0L</v>
          </cell>
          <cell r="B2448" t="str">
            <v>ONYH</v>
          </cell>
        </row>
        <row r="2449">
          <cell r="A2449" t="str">
            <v>NZFSW0M</v>
          </cell>
          <cell r="B2449" t="str">
            <v>OUYUNYH</v>
          </cell>
        </row>
        <row r="2450">
          <cell r="A2450" t="str">
            <v>NZFSW0S</v>
          </cell>
          <cell r="B2450" t="str">
            <v>OUYUNYH</v>
          </cell>
        </row>
        <row r="2451">
          <cell r="A2451" t="str">
            <v>ONYHHHD2XL</v>
          </cell>
          <cell r="B2451" t="str">
            <v>OUYUNYH</v>
          </cell>
        </row>
        <row r="2452">
          <cell r="A2452" t="str">
            <v>OUYUNYH0L</v>
          </cell>
          <cell r="B2452" t="str">
            <v>OUYUNYH</v>
          </cell>
        </row>
        <row r="2453">
          <cell r="A2453" t="str">
            <v>OUYUNYH0M</v>
          </cell>
          <cell r="B2453" t="str">
            <v>OUYUNYH</v>
          </cell>
        </row>
        <row r="2454">
          <cell r="A2454" t="str">
            <v>OUYUNYH0S</v>
          </cell>
          <cell r="B2454" t="str">
            <v>OUYUNYH</v>
          </cell>
        </row>
        <row r="2455">
          <cell r="A2455" t="str">
            <v>OUYUNYH0XL</v>
          </cell>
          <cell r="B2455" t="str">
            <v>OUYUNYH</v>
          </cell>
        </row>
        <row r="2456">
          <cell r="A2456" t="str">
            <v>OUYUNYH10L</v>
          </cell>
          <cell r="B2456" t="str">
            <v>OUYUNYH</v>
          </cell>
        </row>
        <row r="2457">
          <cell r="A2457" t="str">
            <v>OUYUNYH10M</v>
          </cell>
          <cell r="B2457" t="str">
            <v>OUYUNYH</v>
          </cell>
        </row>
        <row r="2458">
          <cell r="A2458" t="str">
            <v>OUYUNYH10S</v>
          </cell>
          <cell r="B2458" t="str">
            <v>OUYUNYH</v>
          </cell>
        </row>
        <row r="2459">
          <cell r="A2459" t="str">
            <v>OUYUNYH10XL</v>
          </cell>
          <cell r="B2459" t="str">
            <v>OUYUNYH</v>
          </cell>
        </row>
        <row r="2460">
          <cell r="A2460" t="str">
            <v>OUYUNYH11L</v>
          </cell>
          <cell r="B2460" t="str">
            <v>OUYUNYH</v>
          </cell>
        </row>
        <row r="2461">
          <cell r="A2461" t="str">
            <v>OUYUNYH11M</v>
          </cell>
          <cell r="B2461" t="str">
            <v>OUYUNYH</v>
          </cell>
        </row>
        <row r="2462">
          <cell r="A2462" t="str">
            <v>OUYUNYH11S</v>
          </cell>
          <cell r="B2462" t="str">
            <v>OUYUNYH</v>
          </cell>
        </row>
        <row r="2463">
          <cell r="A2463" t="str">
            <v>OUYUNYH11XL</v>
          </cell>
          <cell r="B2463" t="str">
            <v>OUYUNYH</v>
          </cell>
        </row>
        <row r="2464">
          <cell r="A2464" t="str">
            <v>OUYUNYH1L</v>
          </cell>
          <cell r="B2464" t="str">
            <v>OUYUNYH</v>
          </cell>
        </row>
        <row r="2465">
          <cell r="A2465" t="str">
            <v>OUYUNYH1M</v>
          </cell>
          <cell r="B2465" t="str">
            <v>OUYUNYH</v>
          </cell>
        </row>
        <row r="2466">
          <cell r="A2466" t="str">
            <v>OUYUNYH1S</v>
          </cell>
          <cell r="B2466" t="str">
            <v>OUYUNYH</v>
          </cell>
        </row>
        <row r="2467">
          <cell r="A2467" t="str">
            <v>OUYUNYH1XL</v>
          </cell>
          <cell r="B2467" t="str">
            <v>OUYUNYH</v>
          </cell>
        </row>
        <row r="2468">
          <cell r="A2468" t="str">
            <v>OUYUNYH20L</v>
          </cell>
          <cell r="B2468" t="str">
            <v>OUYUNYH</v>
          </cell>
        </row>
        <row r="2469">
          <cell r="A2469" t="str">
            <v>OUYUNYH20M</v>
          </cell>
          <cell r="B2469" t="str">
            <v>OUYUNYH</v>
          </cell>
        </row>
        <row r="2470">
          <cell r="A2470" t="str">
            <v>OUYUNYH20S</v>
          </cell>
          <cell r="B2470" t="str">
            <v>OUYUNYH</v>
          </cell>
        </row>
        <row r="2471">
          <cell r="A2471" t="str">
            <v>OUYUNYH20XL</v>
          </cell>
          <cell r="B2471" t="str">
            <v>OUYUNYH</v>
          </cell>
        </row>
        <row r="2472">
          <cell r="A2472" t="str">
            <v>OUYUNYH21L</v>
          </cell>
          <cell r="B2472" t="str">
            <v>OUYUNYH</v>
          </cell>
        </row>
        <row r="2473">
          <cell r="A2473" t="str">
            <v>OUYUNYH21M</v>
          </cell>
          <cell r="B2473" t="str">
            <v>OUYUNYH</v>
          </cell>
        </row>
        <row r="2474">
          <cell r="A2474" t="str">
            <v>OUYUNYH21S</v>
          </cell>
          <cell r="B2474" t="str">
            <v>OUYUNYH</v>
          </cell>
        </row>
        <row r="2475">
          <cell r="A2475" t="str">
            <v>OUYUNYH21XL</v>
          </cell>
          <cell r="B2475" t="str">
            <v>OUYUNYH</v>
          </cell>
        </row>
        <row r="2476">
          <cell r="A2476" t="str">
            <v>OUYUNYH2L</v>
          </cell>
          <cell r="B2476" t="str">
            <v>OUYUNYH</v>
          </cell>
        </row>
        <row r="2477">
          <cell r="A2477" t="str">
            <v>OUYUNYH2M</v>
          </cell>
          <cell r="B2477" t="str">
            <v>OUYUNYH</v>
          </cell>
        </row>
        <row r="2478">
          <cell r="A2478" t="str">
            <v>OUYUNYH2S</v>
          </cell>
          <cell r="B2478" t="str">
            <v>OUYUNYH</v>
          </cell>
        </row>
        <row r="2479">
          <cell r="A2479" t="str">
            <v>OUYUNYH2XL</v>
          </cell>
          <cell r="B2479" t="str">
            <v>OUYUNYH</v>
          </cell>
        </row>
        <row r="2480">
          <cell r="A2480" t="str">
            <v>OUYUNYH30L</v>
          </cell>
          <cell r="B2480" t="str">
            <v>OUYUNYH</v>
          </cell>
        </row>
        <row r="2481">
          <cell r="A2481" t="str">
            <v>OUYUNYH30M</v>
          </cell>
          <cell r="B2481" t="str">
            <v>OUYUNYH</v>
          </cell>
        </row>
        <row r="2482">
          <cell r="A2482" t="str">
            <v>OUYUNYH30S</v>
          </cell>
          <cell r="B2482" t="str">
            <v>OUYUNYH</v>
          </cell>
        </row>
        <row r="2483">
          <cell r="A2483" t="str">
            <v>OUYUNYH30XL</v>
          </cell>
          <cell r="B2483" t="str">
            <v>OUYUNYH</v>
          </cell>
        </row>
        <row r="2484">
          <cell r="A2484" t="str">
            <v>OUYUNYH3L</v>
          </cell>
          <cell r="B2484" t="str">
            <v>OUYUNYH</v>
          </cell>
        </row>
        <row r="2485">
          <cell r="A2485" t="str">
            <v>OUYUNYH3M</v>
          </cell>
          <cell r="B2485" t="str">
            <v>OUYUNYH</v>
          </cell>
        </row>
        <row r="2486">
          <cell r="A2486" t="str">
            <v>OUYUNYH3S</v>
          </cell>
          <cell r="B2486" t="str">
            <v>OUYUNYH</v>
          </cell>
        </row>
        <row r="2487">
          <cell r="A2487" t="str">
            <v>OUYUNYH3XL</v>
          </cell>
          <cell r="B2487" t="str">
            <v>OUYUNYH</v>
          </cell>
        </row>
        <row r="2488">
          <cell r="A2488" t="str">
            <v>OUYUNYHL</v>
          </cell>
          <cell r="B2488" t="str">
            <v>OUYUNYH</v>
          </cell>
        </row>
        <row r="2489">
          <cell r="A2489" t="str">
            <v>OUYUNYHM</v>
          </cell>
          <cell r="B2489" t="str">
            <v>OUYUNYH</v>
          </cell>
        </row>
        <row r="2490">
          <cell r="A2490" t="str">
            <v>OUYUNYHML</v>
          </cell>
          <cell r="B2490" t="str">
            <v>OUYUNYH</v>
          </cell>
        </row>
        <row r="2491">
          <cell r="A2491" t="str">
            <v>OUYUNYHMM</v>
          </cell>
          <cell r="B2491" t="str">
            <v>OUYUNYH</v>
          </cell>
        </row>
        <row r="2492">
          <cell r="A2492" t="str">
            <v>OUYUNYHMS</v>
          </cell>
          <cell r="B2492" t="str">
            <v>OUYUNYH</v>
          </cell>
        </row>
        <row r="2493">
          <cell r="A2493" t="str">
            <v>OUYUNYHMXL</v>
          </cell>
          <cell r="B2493" t="str">
            <v>OUYUNYH</v>
          </cell>
        </row>
        <row r="2494">
          <cell r="A2494" t="str">
            <v>OUYUNYHS</v>
          </cell>
          <cell r="B2494" t="str">
            <v>OUYUNYH</v>
          </cell>
        </row>
        <row r="2495">
          <cell r="A2495" t="str">
            <v>OUYUNYHXL</v>
          </cell>
          <cell r="B2495" t="str">
            <v>OUYUNYH</v>
          </cell>
        </row>
        <row r="2496">
          <cell r="A2496" t="str">
            <v>PJ-DDPFW0</v>
          </cell>
          <cell r="B2496" t="str">
            <v>PJ-DDPF</v>
          </cell>
        </row>
        <row r="2497">
          <cell r="A2497" t="str">
            <v>PJ-FPCXW0</v>
          </cell>
          <cell r="B2497" t="str">
            <v>PJ-FPCX</v>
          </cell>
        </row>
        <row r="2498">
          <cell r="A2498" t="str">
            <v>PJ-FSDMW0</v>
          </cell>
          <cell r="B2498" t="str">
            <v>PJ-FSDM</v>
          </cell>
        </row>
        <row r="2499">
          <cell r="A2499" t="str">
            <v>PJ-FTMZW0</v>
          </cell>
          <cell r="B2499" t="str">
            <v>PJ-FTMZ</v>
          </cell>
        </row>
        <row r="2500">
          <cell r="A2500" t="str">
            <v>PJ-LJMXW0</v>
          </cell>
          <cell r="B2500" t="str">
            <v>PJ-LJMX</v>
          </cell>
        </row>
        <row r="2501">
          <cell r="A2501" t="str">
            <v>PJ-MRYXW0</v>
          </cell>
          <cell r="B2501" t="str">
            <v>PJ-MRYX</v>
          </cell>
        </row>
        <row r="2502">
          <cell r="A2502" t="str">
            <v>PJ-RLOSW0</v>
          </cell>
          <cell r="B2502" t="str">
            <v>PJ-RLOS</v>
          </cell>
        </row>
        <row r="2503">
          <cell r="A2503" t="str">
            <v>PJ-SRXDW0</v>
          </cell>
          <cell r="B2503" t="str">
            <v>PJ-SRXD</v>
          </cell>
        </row>
        <row r="2504">
          <cell r="A2504" t="str">
            <v>PJ-XWYXW0</v>
          </cell>
          <cell r="B2504" t="str">
            <v>PJ-XWYX</v>
          </cell>
        </row>
        <row r="2505">
          <cell r="A2505" t="str">
            <v>PJ-YMDPW0</v>
          </cell>
          <cell r="B2505" t="str">
            <v>PJ-YMDP</v>
          </cell>
        </row>
        <row r="2506">
          <cell r="A2506" t="str">
            <v>PQSLB0L</v>
          </cell>
          <cell r="B2506" t="str">
            <v>PQSL</v>
          </cell>
        </row>
        <row r="2507">
          <cell r="A2507" t="str">
            <v>PQSLB0M</v>
          </cell>
          <cell r="B2507" t="str">
            <v>PQSL</v>
          </cell>
        </row>
        <row r="2508">
          <cell r="A2508" t="str">
            <v>PQSLB0S</v>
          </cell>
          <cell r="B2508" t="str">
            <v>PQSL</v>
          </cell>
        </row>
        <row r="2509">
          <cell r="A2509" t="str">
            <v>PQSLE0L</v>
          </cell>
          <cell r="B2509" t="str">
            <v>PQSL</v>
          </cell>
        </row>
        <row r="2510">
          <cell r="A2510" t="str">
            <v>PQSLE0M</v>
          </cell>
          <cell r="B2510" t="str">
            <v>PQSL</v>
          </cell>
        </row>
        <row r="2511">
          <cell r="A2511" t="str">
            <v>PQSLE0S</v>
          </cell>
          <cell r="B2511" t="str">
            <v>PQSL</v>
          </cell>
        </row>
        <row r="2512">
          <cell r="A2512" t="str">
            <v>PQSLG0L</v>
          </cell>
          <cell r="B2512" t="str">
            <v>PQSL</v>
          </cell>
        </row>
        <row r="2513">
          <cell r="A2513" t="str">
            <v>PQSLG0M</v>
          </cell>
          <cell r="B2513" t="str">
            <v>PQSL</v>
          </cell>
        </row>
        <row r="2514">
          <cell r="A2514" t="str">
            <v>PQSLG0S</v>
          </cell>
          <cell r="B2514" t="str">
            <v>PQSL</v>
          </cell>
        </row>
        <row r="2515">
          <cell r="A2515" t="str">
            <v>PQSLJSL</v>
          </cell>
          <cell r="B2515" t="str">
            <v>PQSL</v>
          </cell>
        </row>
        <row r="2516">
          <cell r="A2516" t="str">
            <v>PQSLJSM</v>
          </cell>
          <cell r="B2516" t="str">
            <v>PQSL</v>
          </cell>
        </row>
        <row r="2517">
          <cell r="A2517" t="str">
            <v>PQSLJSS</v>
          </cell>
          <cell r="B2517" t="str">
            <v>PQSL</v>
          </cell>
        </row>
        <row r="2518">
          <cell r="A2518" t="str">
            <v>PQSLK0L</v>
          </cell>
          <cell r="B2518" t="str">
            <v>PQSL</v>
          </cell>
        </row>
        <row r="2519">
          <cell r="A2519" t="str">
            <v>PQSLK0M</v>
          </cell>
          <cell r="B2519" t="str">
            <v>PQSL</v>
          </cell>
        </row>
        <row r="2520">
          <cell r="A2520" t="str">
            <v>PQSLK0S</v>
          </cell>
          <cell r="B2520" t="str">
            <v>PQSL</v>
          </cell>
        </row>
        <row r="2521">
          <cell r="A2521" t="str">
            <v>PQSLP0L</v>
          </cell>
          <cell r="B2521" t="str">
            <v>PQSL</v>
          </cell>
        </row>
        <row r="2522">
          <cell r="A2522" t="str">
            <v>PQSLP0M</v>
          </cell>
          <cell r="B2522" t="str">
            <v>PQSL</v>
          </cell>
        </row>
        <row r="2523">
          <cell r="A2523" t="str">
            <v>PQSLP0S</v>
          </cell>
          <cell r="B2523" t="str">
            <v>PQSL</v>
          </cell>
        </row>
        <row r="2524">
          <cell r="A2524" t="str">
            <v>PYJKCXK0L</v>
          </cell>
          <cell r="B2524" t="str">
            <v>PYJKCX</v>
          </cell>
        </row>
        <row r="2525">
          <cell r="A2525" t="str">
            <v>PYJKCXK0M</v>
          </cell>
          <cell r="B2525" t="str">
            <v>PYJKCX</v>
          </cell>
        </row>
        <row r="2526">
          <cell r="A2526" t="str">
            <v>PYJKCXK0XL</v>
          </cell>
          <cell r="B2526" t="str">
            <v>PYJKCX</v>
          </cell>
        </row>
        <row r="2527">
          <cell r="A2527" t="str">
            <v>PYJKCXK0XXL</v>
          </cell>
          <cell r="B2527" t="str">
            <v>PYJKCX</v>
          </cell>
        </row>
        <row r="2528">
          <cell r="A2528" t="str">
            <v>PYJKCXK0XXXL</v>
          </cell>
          <cell r="B2528" t="str">
            <v>PYJKCX</v>
          </cell>
        </row>
        <row r="2529">
          <cell r="A2529" t="str">
            <v>PYJKDKB0L</v>
          </cell>
          <cell r="B2529" t="str">
            <v>PYJKDK</v>
          </cell>
        </row>
        <row r="2530">
          <cell r="A2530" t="str">
            <v>PYJK-DKB0-L</v>
          </cell>
          <cell r="B2530" t="str">
            <v>PYJKDK</v>
          </cell>
        </row>
        <row r="2531">
          <cell r="A2531" t="str">
            <v>PYJKDKB0M</v>
          </cell>
          <cell r="B2531" t="str">
            <v>PYJKDK</v>
          </cell>
        </row>
        <row r="2532">
          <cell r="A2532" t="str">
            <v>PYJKDKB0XL</v>
          </cell>
          <cell r="B2532" t="str">
            <v>PYJKDK</v>
          </cell>
        </row>
        <row r="2533">
          <cell r="A2533" t="str">
            <v>PYJKDKB0XXL</v>
          </cell>
          <cell r="B2533" t="str">
            <v>PYJKDK</v>
          </cell>
        </row>
        <row r="2534">
          <cell r="A2534" t="str">
            <v>PYJKDKB0XXXL</v>
          </cell>
          <cell r="B2534" t="str">
            <v>PYJKDK</v>
          </cell>
        </row>
        <row r="2535">
          <cell r="A2535" t="str">
            <v>PYJKDKK0L</v>
          </cell>
          <cell r="B2535" t="str">
            <v>PYJKDK</v>
          </cell>
        </row>
        <row r="2536">
          <cell r="A2536" t="str">
            <v>PYJKDKK0M</v>
          </cell>
          <cell r="B2536" t="str">
            <v>PYJKDK</v>
          </cell>
        </row>
        <row r="2537">
          <cell r="A2537" t="str">
            <v>PYJKDKK0XL</v>
          </cell>
          <cell r="B2537" t="str">
            <v>PYJKDK</v>
          </cell>
        </row>
        <row r="2538">
          <cell r="A2538" t="str">
            <v>PYJKDKK0XXL</v>
          </cell>
          <cell r="B2538" t="str">
            <v>PYJKDK</v>
          </cell>
        </row>
        <row r="2539">
          <cell r="A2539" t="str">
            <v>PYJKDKK0XXXL</v>
          </cell>
          <cell r="B2539" t="str">
            <v>PYJKDK</v>
          </cell>
        </row>
        <row r="2540">
          <cell r="A2540" t="str">
            <v>PYJKDKR0L</v>
          </cell>
          <cell r="B2540" t="str">
            <v>PYJKDK</v>
          </cell>
        </row>
        <row r="2541">
          <cell r="A2541" t="str">
            <v>PYJKDKR0M</v>
          </cell>
          <cell r="B2541" t="str">
            <v>PYJKDK</v>
          </cell>
        </row>
        <row r="2542">
          <cell r="A2542" t="str">
            <v>PYJKDKR0XL</v>
          </cell>
          <cell r="B2542" t="str">
            <v>PYJKDK</v>
          </cell>
        </row>
        <row r="2543">
          <cell r="A2543" t="str">
            <v>PYJKDKR0XXL</v>
          </cell>
          <cell r="B2543" t="str">
            <v>PYJKDK</v>
          </cell>
        </row>
        <row r="2544">
          <cell r="A2544" t="str">
            <v>PYJKDKR0XXXL</v>
          </cell>
          <cell r="B2544" t="str">
            <v>PYJKDK</v>
          </cell>
        </row>
        <row r="2545">
          <cell r="A2545" t="str">
            <v>PYJKDKY0L</v>
          </cell>
          <cell r="B2545" t="str">
            <v>PYJKDK</v>
          </cell>
        </row>
        <row r="2546">
          <cell r="A2546" t="str">
            <v>PYJKDKY0M</v>
          </cell>
          <cell r="B2546" t="str">
            <v>PYJKDK</v>
          </cell>
        </row>
        <row r="2547">
          <cell r="A2547" t="str">
            <v>PYJKDKY0XL</v>
          </cell>
          <cell r="B2547" t="str">
            <v>PYJKDK</v>
          </cell>
        </row>
        <row r="2548">
          <cell r="A2548" t="str">
            <v>PYJKDKY0XXL</v>
          </cell>
          <cell r="B2548" t="str">
            <v>PYJKDK</v>
          </cell>
        </row>
        <row r="2549">
          <cell r="A2549" t="str">
            <v>PYJKDKY0XXXL</v>
          </cell>
          <cell r="B2549" t="str">
            <v>PYJKDK</v>
          </cell>
        </row>
        <row r="2550">
          <cell r="A2550" t="str">
            <v>PYJKGZZQL</v>
          </cell>
          <cell r="B2550" t="str">
            <v>PYJKDK</v>
          </cell>
        </row>
        <row r="2551">
          <cell r="A2551" t="str">
            <v>PYJKGZZQM</v>
          </cell>
          <cell r="B2551" t="str">
            <v>PYJKDK</v>
          </cell>
        </row>
        <row r="2552">
          <cell r="A2552" t="str">
            <v>PYJKGZZQXL</v>
          </cell>
          <cell r="B2552" t="str">
            <v>PYJKDK</v>
          </cell>
        </row>
        <row r="2553">
          <cell r="A2553" t="str">
            <v>PYJKGZZQXXL</v>
          </cell>
          <cell r="B2553" t="str">
            <v>PYJKGZ</v>
          </cell>
        </row>
        <row r="2554">
          <cell r="A2554" t="str">
            <v>PYJKGZZQXXXL</v>
          </cell>
          <cell r="B2554" t="str">
            <v>PYJKGZ</v>
          </cell>
        </row>
        <row r="2555">
          <cell r="A2555" t="str">
            <v>PYJKHSK0L</v>
          </cell>
          <cell r="B2555" t="str">
            <v>PYJKHS</v>
          </cell>
        </row>
        <row r="2556">
          <cell r="A2556" t="str">
            <v>PYJKHSK0M</v>
          </cell>
          <cell r="B2556" t="str">
            <v>PYJKHS</v>
          </cell>
        </row>
        <row r="2557">
          <cell r="A2557" t="str">
            <v>PYJKHSK0XL</v>
          </cell>
          <cell r="B2557" t="str">
            <v>PYJKHS</v>
          </cell>
        </row>
        <row r="2558">
          <cell r="A2558" t="str">
            <v>PYJKHSK0XXL</v>
          </cell>
          <cell r="B2558" t="str">
            <v>PYJKHS</v>
          </cell>
        </row>
        <row r="2559">
          <cell r="A2559" t="str">
            <v>PYJKHSKFL</v>
          </cell>
          <cell r="B2559" t="str">
            <v>PYJKHS</v>
          </cell>
        </row>
        <row r="2560">
          <cell r="A2560" t="str">
            <v>PYJKHSKFM</v>
          </cell>
          <cell r="B2560" t="str">
            <v>PYJKHS</v>
          </cell>
        </row>
        <row r="2561">
          <cell r="A2561" t="str">
            <v>PYJKHSKFXL</v>
          </cell>
          <cell r="B2561" t="str">
            <v>PYJKHS</v>
          </cell>
        </row>
        <row r="2562">
          <cell r="A2562" t="str">
            <v>PYJKHSKFXXL</v>
          </cell>
          <cell r="B2562" t="str">
            <v>PYJKHS</v>
          </cell>
        </row>
        <row r="2563">
          <cell r="A2563" t="str">
            <v>PYJKJSB0L</v>
          </cell>
          <cell r="B2563" t="str">
            <v>PYJKJS</v>
          </cell>
        </row>
        <row r="2564">
          <cell r="A2564" t="str">
            <v>PYJKJSB0M</v>
          </cell>
          <cell r="B2564" t="str">
            <v>PYJKJS</v>
          </cell>
        </row>
        <row r="2565">
          <cell r="A2565" t="str">
            <v>PYJKJSB0XL</v>
          </cell>
          <cell r="B2565" t="str">
            <v>PYJKJS</v>
          </cell>
        </row>
        <row r="2566">
          <cell r="A2566" t="str">
            <v>PYJKJSB0XXL</v>
          </cell>
          <cell r="B2566" t="str">
            <v>PYJKJS</v>
          </cell>
        </row>
        <row r="2567">
          <cell r="A2567" t="str">
            <v>PYJKJSB0XXXL</v>
          </cell>
          <cell r="B2567" t="str">
            <v>PYJKJS</v>
          </cell>
        </row>
        <row r="2568">
          <cell r="A2568" t="str">
            <v>PYJKJSK0L</v>
          </cell>
          <cell r="B2568" t="str">
            <v>PYJKJS</v>
          </cell>
        </row>
        <row r="2569">
          <cell r="A2569" t="str">
            <v>PYJK-JSK0-L</v>
          </cell>
          <cell r="B2569" t="str">
            <v>PYJKJS</v>
          </cell>
        </row>
        <row r="2570">
          <cell r="A2570" t="str">
            <v>PYJKJSK0M</v>
          </cell>
          <cell r="B2570" t="str">
            <v>PYJKJS</v>
          </cell>
        </row>
        <row r="2571">
          <cell r="A2571" t="str">
            <v>PYJK-JSK0-M</v>
          </cell>
          <cell r="B2571" t="str">
            <v>PYJKJS</v>
          </cell>
        </row>
        <row r="2572">
          <cell r="A2572" t="str">
            <v>PYJKJSK0XL</v>
          </cell>
          <cell r="B2572" t="str">
            <v>PYJKJS</v>
          </cell>
        </row>
        <row r="2573">
          <cell r="A2573" t="str">
            <v>PYJK-JSK0-XL</v>
          </cell>
          <cell r="B2573" t="str">
            <v>PYJKJS</v>
          </cell>
        </row>
        <row r="2574">
          <cell r="A2574" t="str">
            <v>PYJKJSK0XXL</v>
          </cell>
          <cell r="B2574" t="str">
            <v>PYJKJS</v>
          </cell>
        </row>
        <row r="2575">
          <cell r="A2575" t="str">
            <v>PYJKJSK0XXXL</v>
          </cell>
          <cell r="B2575" t="str">
            <v>PYJKJS</v>
          </cell>
        </row>
        <row r="2576">
          <cell r="A2576" t="str">
            <v>PYJK-JSK0-XXXL</v>
          </cell>
          <cell r="B2576" t="str">
            <v>PYJKJS</v>
          </cell>
        </row>
        <row r="2577">
          <cell r="A2577" t="str">
            <v>PYJKJSR0L</v>
          </cell>
          <cell r="B2577" t="str">
            <v>PYJKJS</v>
          </cell>
        </row>
        <row r="2578">
          <cell r="A2578" t="str">
            <v>PYJK-JSR0-L</v>
          </cell>
          <cell r="B2578" t="str">
            <v>PYJKJS</v>
          </cell>
        </row>
        <row r="2579">
          <cell r="A2579" t="str">
            <v>PYJKJSR0M</v>
          </cell>
          <cell r="B2579" t="str">
            <v>PYJKJS</v>
          </cell>
        </row>
        <row r="2580">
          <cell r="A2580" t="str">
            <v>PYJKJSR0XL</v>
          </cell>
          <cell r="B2580" t="str">
            <v>PYJKJS</v>
          </cell>
        </row>
        <row r="2581">
          <cell r="A2581" t="str">
            <v>PYJKJSR0XXL</v>
          </cell>
          <cell r="B2581" t="str">
            <v>PYJKJS</v>
          </cell>
        </row>
        <row r="2582">
          <cell r="A2582" t="str">
            <v>PYJKJSR0XXXL</v>
          </cell>
          <cell r="B2582" t="str">
            <v>PYJKJS</v>
          </cell>
        </row>
        <row r="2583">
          <cell r="A2583" t="str">
            <v>PYJKJSY0L</v>
          </cell>
          <cell r="B2583" t="str">
            <v>PYJKJS</v>
          </cell>
        </row>
        <row r="2584">
          <cell r="A2584" t="str">
            <v>PYJKJSY0M</v>
          </cell>
          <cell r="B2584" t="str">
            <v>PYJKJS</v>
          </cell>
        </row>
        <row r="2585">
          <cell r="A2585" t="str">
            <v>PYJKJSY0XL</v>
          </cell>
          <cell r="B2585" t="str">
            <v>PYJKJS</v>
          </cell>
        </row>
        <row r="2586">
          <cell r="A2586" t="str">
            <v>PYJKJSY0XXL</v>
          </cell>
          <cell r="B2586" t="str">
            <v>PYJKJS</v>
          </cell>
        </row>
        <row r="2587">
          <cell r="A2587" t="str">
            <v>PYJKJSY0XXXL</v>
          </cell>
          <cell r="B2587" t="str">
            <v>PYJKJS</v>
          </cell>
        </row>
        <row r="2588">
          <cell r="A2588" t="str">
            <v>PYJK-JSY0-XXXL</v>
          </cell>
          <cell r="B2588" t="str">
            <v>PYJKJS</v>
          </cell>
        </row>
        <row r="2589">
          <cell r="A2589" t="str">
            <v>PYJKTSK0L</v>
          </cell>
          <cell r="B2589" t="str">
            <v>PYJKJS</v>
          </cell>
        </row>
        <row r="2590">
          <cell r="A2590" t="str">
            <v>PYJK-TSK0-L</v>
          </cell>
          <cell r="B2590" t="str">
            <v>PYJKJS</v>
          </cell>
        </row>
        <row r="2591">
          <cell r="A2591" t="str">
            <v>PYJKTSK0M</v>
          </cell>
          <cell r="B2591" t="str">
            <v>PYJKJS</v>
          </cell>
        </row>
        <row r="2592">
          <cell r="A2592" t="str">
            <v>PYJKTSK0XL</v>
          </cell>
          <cell r="B2592" t="str">
            <v>PYJKJS</v>
          </cell>
        </row>
        <row r="2593">
          <cell r="A2593" t="str">
            <v>PYJKTSK0XXL</v>
          </cell>
          <cell r="B2593" t="str">
            <v>PYJKJS</v>
          </cell>
        </row>
        <row r="2594">
          <cell r="A2594" t="str">
            <v>PYJKTSK0XXXL</v>
          </cell>
          <cell r="B2594" t="str">
            <v>PYJKJS</v>
          </cell>
        </row>
        <row r="2595">
          <cell r="A2595" t="str">
            <v>PYJKTSKFL</v>
          </cell>
          <cell r="B2595" t="str">
            <v>PYJKJS</v>
          </cell>
        </row>
        <row r="2596">
          <cell r="A2596" t="str">
            <v>PYJK-TSKF-L</v>
          </cell>
          <cell r="B2596" t="str">
            <v>PYJKJS</v>
          </cell>
        </row>
        <row r="2597">
          <cell r="A2597" t="str">
            <v>PYJKTSKFM</v>
          </cell>
          <cell r="B2597" t="str">
            <v>PYJKJS</v>
          </cell>
        </row>
        <row r="2598">
          <cell r="A2598" t="str">
            <v>PYJKTSKFXL</v>
          </cell>
          <cell r="B2598" t="str">
            <v>PYJKJS</v>
          </cell>
        </row>
        <row r="2599">
          <cell r="A2599" t="str">
            <v>PYJKTSKFXXL</v>
          </cell>
          <cell r="B2599" t="str">
            <v>PYJKJS</v>
          </cell>
        </row>
        <row r="2600">
          <cell r="A2600" t="str">
            <v>PYJKTSKFXXXL</v>
          </cell>
          <cell r="B2600" t="str">
            <v>PYJKJS</v>
          </cell>
        </row>
        <row r="2601">
          <cell r="A2601" t="str">
            <v>PYJKTSR0L</v>
          </cell>
          <cell r="B2601" t="str">
            <v>PYJKJS</v>
          </cell>
        </row>
        <row r="2602">
          <cell r="A2602" t="str">
            <v>PYJK-TSR0-L</v>
          </cell>
          <cell r="B2602" t="str">
            <v>PYJKJS</v>
          </cell>
        </row>
        <row r="2603">
          <cell r="A2603" t="str">
            <v>PYJKTSR0M</v>
          </cell>
          <cell r="B2603" t="str">
            <v>PYJKJS</v>
          </cell>
        </row>
        <row r="2604">
          <cell r="A2604" t="str">
            <v>PYJKTSR0XL</v>
          </cell>
          <cell r="B2604" t="str">
            <v>PYJKJS</v>
          </cell>
        </row>
        <row r="2605">
          <cell r="A2605" t="str">
            <v>PYJKTSR0XXL</v>
          </cell>
          <cell r="B2605" t="str">
            <v>PYJKJS</v>
          </cell>
        </row>
        <row r="2606">
          <cell r="A2606" t="str">
            <v>PYJKTSR0XXXL</v>
          </cell>
          <cell r="B2606" t="str">
            <v>PYJKJS</v>
          </cell>
        </row>
        <row r="2607">
          <cell r="A2607" t="str">
            <v>PYJKTSY0L</v>
          </cell>
          <cell r="B2607" t="str">
            <v>PYJKJS</v>
          </cell>
        </row>
        <row r="2608">
          <cell r="A2608" t="str">
            <v>PYJK-TSY0-L</v>
          </cell>
          <cell r="B2608" t="str">
            <v>PYJKJS</v>
          </cell>
        </row>
        <row r="2609">
          <cell r="A2609" t="str">
            <v>PYJKTSY0M</v>
          </cell>
          <cell r="B2609" t="str">
            <v>PYJKTS</v>
          </cell>
        </row>
        <row r="2610">
          <cell r="A2610" t="str">
            <v>PYJKTSY0XL</v>
          </cell>
          <cell r="B2610" t="str">
            <v>PYJKTS</v>
          </cell>
        </row>
        <row r="2611">
          <cell r="A2611" t="str">
            <v>PYJKTSY0XXL</v>
          </cell>
          <cell r="B2611" t="str">
            <v>PYJKTS</v>
          </cell>
        </row>
        <row r="2612">
          <cell r="A2612" t="str">
            <v>PYJKTSY0XXXL</v>
          </cell>
          <cell r="B2612" t="str">
            <v>PYJKTS</v>
          </cell>
        </row>
        <row r="2613">
          <cell r="A2613" t="str">
            <v>PYJKXSK0L</v>
          </cell>
          <cell r="B2613" t="str">
            <v>PYJKTS</v>
          </cell>
        </row>
        <row r="2614">
          <cell r="A2614" t="str">
            <v>PYJKXSK0M</v>
          </cell>
          <cell r="B2614" t="str">
            <v>PYJKTS</v>
          </cell>
        </row>
        <row r="2615">
          <cell r="A2615" t="str">
            <v>PYJKXSK0XL</v>
          </cell>
          <cell r="B2615" t="str">
            <v>PYJKTS</v>
          </cell>
        </row>
        <row r="2616">
          <cell r="A2616" t="str">
            <v>PYJKXSK0XXL</v>
          </cell>
          <cell r="B2616" t="str">
            <v>PYJKXS</v>
          </cell>
        </row>
        <row r="2617">
          <cell r="A2617" t="str">
            <v>PYJKXSK0XXXL</v>
          </cell>
          <cell r="B2617" t="str">
            <v>PYJKXS</v>
          </cell>
        </row>
        <row r="2618">
          <cell r="A2618" t="str">
            <v>PYJKZCB0L</v>
          </cell>
          <cell r="B2618" t="str">
            <v>PYJKXS</v>
          </cell>
        </row>
        <row r="2619">
          <cell r="A2619" t="str">
            <v>PYJKZCB0M</v>
          </cell>
          <cell r="B2619" t="str">
            <v>PYJKXS</v>
          </cell>
        </row>
        <row r="2620">
          <cell r="A2620" t="str">
            <v>PYJKZCB0XL</v>
          </cell>
          <cell r="B2620" t="str">
            <v>PYJKXS</v>
          </cell>
        </row>
        <row r="2621">
          <cell r="A2621" t="str">
            <v>PYJKZCB0XXL</v>
          </cell>
          <cell r="B2621" t="str">
            <v>PYJKZC</v>
          </cell>
        </row>
        <row r="2622">
          <cell r="A2622" t="str">
            <v>PYJKZCB0XXXL</v>
          </cell>
          <cell r="B2622" t="str">
            <v>PYJKZC</v>
          </cell>
        </row>
        <row r="2623">
          <cell r="A2623" t="str">
            <v>PYJKZCK0L</v>
          </cell>
          <cell r="B2623" t="str">
            <v>PYJKZC</v>
          </cell>
        </row>
        <row r="2624">
          <cell r="A2624" t="str">
            <v>PYJKZCK0M</v>
          </cell>
          <cell r="B2624" t="str">
            <v>PYJKZC</v>
          </cell>
        </row>
        <row r="2625">
          <cell r="A2625" t="str">
            <v>PYJKZCK0XL</v>
          </cell>
          <cell r="B2625" t="str">
            <v>PYJKZC</v>
          </cell>
        </row>
        <row r="2626">
          <cell r="A2626" t="str">
            <v>PYJKZCK0XXL</v>
          </cell>
          <cell r="B2626" t="str">
            <v>PYJKZC</v>
          </cell>
        </row>
        <row r="2627">
          <cell r="A2627" t="str">
            <v>PYJKZCK0XXXL</v>
          </cell>
          <cell r="B2627" t="str">
            <v>PYJKZC</v>
          </cell>
        </row>
        <row r="2628">
          <cell r="A2628" t="str">
            <v>PYJKZCR0L</v>
          </cell>
          <cell r="B2628" t="str">
            <v>PYJKZC</v>
          </cell>
        </row>
        <row r="2629">
          <cell r="A2629" t="str">
            <v>PYJKZCR0M</v>
          </cell>
          <cell r="B2629" t="str">
            <v>PYJKZC</v>
          </cell>
        </row>
        <row r="2630">
          <cell r="A2630" t="str">
            <v>PYJKZCR0XL</v>
          </cell>
          <cell r="B2630" t="str">
            <v>PYJKZC</v>
          </cell>
        </row>
        <row r="2631">
          <cell r="A2631" t="str">
            <v>PYJKZCR0XXL</v>
          </cell>
          <cell r="B2631" t="str">
            <v>PYJKZC</v>
          </cell>
        </row>
        <row r="2632">
          <cell r="A2632" t="str">
            <v>PYJKZCR0XXXL</v>
          </cell>
          <cell r="B2632" t="str">
            <v>PYJKZC</v>
          </cell>
        </row>
        <row r="2633">
          <cell r="A2633" t="str">
            <v>PYJKZCY0L</v>
          </cell>
          <cell r="B2633" t="str">
            <v>PYJKZC</v>
          </cell>
        </row>
        <row r="2634">
          <cell r="A2634" t="str">
            <v>PYJKZCY0M</v>
          </cell>
          <cell r="B2634" t="str">
            <v>PYJKZC</v>
          </cell>
        </row>
        <row r="2635">
          <cell r="A2635" t="str">
            <v>PYJKZCY0XL</v>
          </cell>
          <cell r="B2635" t="str">
            <v>PYJKZC</v>
          </cell>
        </row>
        <row r="2636">
          <cell r="A2636" t="str">
            <v>PYJKZCY0XXL</v>
          </cell>
          <cell r="B2636" t="str">
            <v>PYJKZC</v>
          </cell>
        </row>
        <row r="2637">
          <cell r="A2637" t="str">
            <v>PYJKZCY0XXXL</v>
          </cell>
          <cell r="B2637" t="str">
            <v>PYJKZC</v>
          </cell>
        </row>
        <row r="2638">
          <cell r="A2638" t="str">
            <v>PYWMJKK0L</v>
          </cell>
          <cell r="B2638" t="str">
            <v>PYWMJK</v>
          </cell>
        </row>
        <row r="2639">
          <cell r="A2639" t="str">
            <v>PYWMJKK0M</v>
          </cell>
          <cell r="B2639" t="str">
            <v>PYWMJK</v>
          </cell>
        </row>
        <row r="2640">
          <cell r="A2640" t="str">
            <v>PYWMJKK0XL</v>
          </cell>
          <cell r="B2640" t="str">
            <v>PYWMJK</v>
          </cell>
        </row>
        <row r="2641">
          <cell r="A2641" t="str">
            <v>PYWMJKK0XXL</v>
          </cell>
          <cell r="B2641" t="str">
            <v>PYWMJK</v>
          </cell>
        </row>
        <row r="2642">
          <cell r="A2642" t="str">
            <v>PYWMJKK0XXXL</v>
          </cell>
          <cell r="B2642" t="str">
            <v>PYWMJK</v>
          </cell>
        </row>
        <row r="2643">
          <cell r="A2643" t="str">
            <v>QFFSB0L</v>
          </cell>
          <cell r="B2643" t="str">
            <v>QFFS</v>
          </cell>
        </row>
        <row r="2644">
          <cell r="A2644" t="str">
            <v>QFFSB0M</v>
          </cell>
          <cell r="B2644" t="str">
            <v>QFFS</v>
          </cell>
        </row>
        <row r="2645">
          <cell r="A2645" t="str">
            <v>QFFSB0XL</v>
          </cell>
          <cell r="B2645" t="str">
            <v>QFFS</v>
          </cell>
        </row>
        <row r="2646">
          <cell r="A2646" t="str">
            <v>QFFSE0L</v>
          </cell>
          <cell r="B2646" t="str">
            <v>QFFS</v>
          </cell>
        </row>
        <row r="2647">
          <cell r="A2647" t="str">
            <v>QFFSE0M</v>
          </cell>
          <cell r="B2647" t="str">
            <v>QFFS</v>
          </cell>
        </row>
        <row r="2648">
          <cell r="A2648" t="str">
            <v>QFFSE0XL</v>
          </cell>
          <cell r="B2648" t="str">
            <v>QFFS</v>
          </cell>
        </row>
        <row r="2649">
          <cell r="A2649" t="str">
            <v>QFFSG0L</v>
          </cell>
          <cell r="B2649" t="str">
            <v>QFFS</v>
          </cell>
        </row>
        <row r="2650">
          <cell r="A2650" t="str">
            <v>QFFSG0M</v>
          </cell>
          <cell r="B2650" t="str">
            <v>QFFS</v>
          </cell>
        </row>
        <row r="2651">
          <cell r="A2651" t="str">
            <v>QFFSG0XL</v>
          </cell>
          <cell r="B2651" t="str">
            <v>QFFS</v>
          </cell>
        </row>
        <row r="2652">
          <cell r="A2652" t="str">
            <v>QFFSP0L</v>
          </cell>
          <cell r="B2652" t="str">
            <v>QFFS</v>
          </cell>
        </row>
        <row r="2653">
          <cell r="A2653" t="str">
            <v>QFFSP0M</v>
          </cell>
          <cell r="B2653" t="str">
            <v>QFFS</v>
          </cell>
        </row>
        <row r="2654">
          <cell r="A2654" t="str">
            <v>QFFSP0XL</v>
          </cell>
          <cell r="B2654" t="str">
            <v>QFFS</v>
          </cell>
        </row>
        <row r="2655">
          <cell r="A2655" t="str">
            <v>QFFSR0L</v>
          </cell>
          <cell r="B2655" t="str">
            <v>QFFS</v>
          </cell>
        </row>
        <row r="2656">
          <cell r="A2656" t="str">
            <v>QFFSR0M</v>
          </cell>
          <cell r="B2656" t="str">
            <v>QFFS</v>
          </cell>
        </row>
        <row r="2657">
          <cell r="A2657" t="str">
            <v>QFFSR0XL</v>
          </cell>
          <cell r="B2657" t="str">
            <v>QFFS</v>
          </cell>
        </row>
        <row r="2658">
          <cell r="A2658" t="str">
            <v>QQADB02XL</v>
          </cell>
          <cell r="B2658" t="str">
            <v>QQAD</v>
          </cell>
        </row>
        <row r="2659">
          <cell r="A2659" t="str">
            <v>QQADB03XL</v>
          </cell>
          <cell r="B2659" t="str">
            <v>QQAD</v>
          </cell>
        </row>
        <row r="2660">
          <cell r="A2660" t="str">
            <v>QQADB04XL</v>
          </cell>
          <cell r="B2660" t="str">
            <v>QQAD</v>
          </cell>
        </row>
        <row r="2661">
          <cell r="A2661" t="str">
            <v>QQADB05XL</v>
          </cell>
          <cell r="B2661" t="str">
            <v>QQAD</v>
          </cell>
        </row>
        <row r="2662">
          <cell r="A2662" t="str">
            <v>QQADB0L</v>
          </cell>
          <cell r="B2662" t="str">
            <v>QQAD</v>
          </cell>
        </row>
        <row r="2663">
          <cell r="A2663" t="str">
            <v>QQADB0M</v>
          </cell>
          <cell r="B2663" t="str">
            <v>QQAD</v>
          </cell>
        </row>
        <row r="2664">
          <cell r="A2664" t="str">
            <v>QQADB0S</v>
          </cell>
          <cell r="B2664" t="str">
            <v>QQAD</v>
          </cell>
        </row>
        <row r="2665">
          <cell r="A2665" t="str">
            <v>QQADB0XL</v>
          </cell>
          <cell r="B2665" t="str">
            <v>QQAD</v>
          </cell>
        </row>
        <row r="2666">
          <cell r="A2666" t="str">
            <v>QQADG02XL</v>
          </cell>
          <cell r="B2666" t="str">
            <v>QQAD</v>
          </cell>
        </row>
        <row r="2667">
          <cell r="A2667" t="str">
            <v>QQADG03XL</v>
          </cell>
          <cell r="B2667" t="str">
            <v>QQAD</v>
          </cell>
        </row>
        <row r="2668">
          <cell r="A2668" t="str">
            <v>QQADG04XL</v>
          </cell>
          <cell r="B2668" t="str">
            <v>QQAD</v>
          </cell>
        </row>
        <row r="2669">
          <cell r="A2669" t="str">
            <v>QQADG05XL</v>
          </cell>
          <cell r="B2669" t="str">
            <v>QQAD</v>
          </cell>
        </row>
        <row r="2670">
          <cell r="A2670" t="str">
            <v>QQADG0L</v>
          </cell>
          <cell r="B2670" t="str">
            <v>QQAD</v>
          </cell>
        </row>
        <row r="2671">
          <cell r="A2671" t="str">
            <v>QQADG0M</v>
          </cell>
          <cell r="B2671" t="str">
            <v>QQAD</v>
          </cell>
        </row>
        <row r="2672">
          <cell r="A2672" t="str">
            <v>QQADG0S</v>
          </cell>
          <cell r="B2672" t="str">
            <v>QQAD</v>
          </cell>
        </row>
        <row r="2673">
          <cell r="A2673" t="str">
            <v>QQADG0XL</v>
          </cell>
          <cell r="B2673" t="str">
            <v>QQAD</v>
          </cell>
        </row>
        <row r="2674">
          <cell r="A2674" t="str">
            <v>QQADK02XL</v>
          </cell>
          <cell r="B2674" t="str">
            <v>QQAD</v>
          </cell>
        </row>
        <row r="2675">
          <cell r="A2675" t="str">
            <v>QQADK03XL</v>
          </cell>
          <cell r="B2675" t="str">
            <v>QQAD</v>
          </cell>
        </row>
        <row r="2676">
          <cell r="A2676" t="str">
            <v>QQADK04XL</v>
          </cell>
          <cell r="B2676" t="str">
            <v>QQAD</v>
          </cell>
        </row>
        <row r="2677">
          <cell r="A2677" t="str">
            <v>QQADK05XL</v>
          </cell>
          <cell r="B2677" t="str">
            <v>QQAD</v>
          </cell>
        </row>
        <row r="2678">
          <cell r="A2678" t="str">
            <v>QQADK0L</v>
          </cell>
          <cell r="B2678" t="str">
            <v>QQAD</v>
          </cell>
        </row>
        <row r="2679">
          <cell r="A2679" t="str">
            <v>QQADK0M</v>
          </cell>
          <cell r="B2679" t="str">
            <v>QQAD</v>
          </cell>
        </row>
        <row r="2680">
          <cell r="A2680" t="str">
            <v>QQADK0S</v>
          </cell>
          <cell r="B2680" t="str">
            <v>QQAD</v>
          </cell>
        </row>
        <row r="2681">
          <cell r="A2681" t="str">
            <v>QQADK0XL</v>
          </cell>
          <cell r="B2681" t="str">
            <v>QQAD</v>
          </cell>
        </row>
        <row r="2682">
          <cell r="A2682" t="str">
            <v>QQADMH2XL</v>
          </cell>
          <cell r="B2682" t="str">
            <v>QQAD</v>
          </cell>
        </row>
        <row r="2683">
          <cell r="A2683" t="str">
            <v>QQADMH3XL</v>
          </cell>
          <cell r="B2683" t="str">
            <v>QQAD</v>
          </cell>
        </row>
        <row r="2684">
          <cell r="A2684" t="str">
            <v>QQADMH4XL</v>
          </cell>
          <cell r="B2684" t="str">
            <v>QQAD</v>
          </cell>
        </row>
        <row r="2685">
          <cell r="A2685" t="str">
            <v>QQADMH5XL</v>
          </cell>
          <cell r="B2685" t="str">
            <v>QQAD</v>
          </cell>
        </row>
        <row r="2686">
          <cell r="A2686" t="str">
            <v>QQADMHL</v>
          </cell>
          <cell r="B2686" t="str">
            <v>QQAD</v>
          </cell>
        </row>
        <row r="2687">
          <cell r="A2687" t="str">
            <v>QQADMHM</v>
          </cell>
          <cell r="B2687" t="str">
            <v>QQAD</v>
          </cell>
        </row>
        <row r="2688">
          <cell r="A2688" t="str">
            <v>QQADMHS</v>
          </cell>
          <cell r="B2688" t="str">
            <v>QQAD</v>
          </cell>
        </row>
        <row r="2689">
          <cell r="A2689" t="str">
            <v>QQADMHXL</v>
          </cell>
          <cell r="B2689" t="str">
            <v>QQAD</v>
          </cell>
        </row>
        <row r="2690">
          <cell r="A2690" t="str">
            <v>QQADP02XL</v>
          </cell>
          <cell r="B2690" t="str">
            <v>QQAD</v>
          </cell>
        </row>
        <row r="2691">
          <cell r="A2691" t="str">
            <v>QQADP03XL</v>
          </cell>
          <cell r="B2691" t="str">
            <v>QQAD</v>
          </cell>
        </row>
        <row r="2692">
          <cell r="A2692" t="str">
            <v>QQADP04XL</v>
          </cell>
          <cell r="B2692" t="str">
            <v>QQAD</v>
          </cell>
        </row>
        <row r="2693">
          <cell r="A2693" t="str">
            <v>QQADP05XL</v>
          </cell>
          <cell r="B2693" t="str">
            <v>QQAD</v>
          </cell>
        </row>
        <row r="2694">
          <cell r="A2694" t="str">
            <v>QQADP0L</v>
          </cell>
          <cell r="B2694" t="str">
            <v>QQAD</v>
          </cell>
        </row>
        <row r="2695">
          <cell r="A2695" t="str">
            <v>QQADP0M</v>
          </cell>
          <cell r="B2695" t="str">
            <v>QQAD</v>
          </cell>
        </row>
        <row r="2696">
          <cell r="A2696" t="str">
            <v>QQADP0S</v>
          </cell>
          <cell r="B2696" t="str">
            <v>QQAD</v>
          </cell>
        </row>
        <row r="2697">
          <cell r="A2697" t="str">
            <v>QQADP0XL</v>
          </cell>
          <cell r="B2697" t="str">
            <v>QQAD</v>
          </cell>
        </row>
        <row r="2698">
          <cell r="A2698" t="str">
            <v>QQADQL2XL</v>
          </cell>
          <cell r="B2698" t="str">
            <v>QQAD</v>
          </cell>
        </row>
        <row r="2699">
          <cell r="A2699" t="str">
            <v>QQADQL3XL</v>
          </cell>
          <cell r="B2699" t="str">
            <v>QQAD</v>
          </cell>
        </row>
        <row r="2700">
          <cell r="A2700" t="str">
            <v>QQADQL4XL</v>
          </cell>
          <cell r="B2700" t="str">
            <v>QQAD</v>
          </cell>
        </row>
        <row r="2701">
          <cell r="A2701" t="str">
            <v>QQADQL5XL</v>
          </cell>
          <cell r="B2701" t="str">
            <v>QQAD</v>
          </cell>
        </row>
        <row r="2702">
          <cell r="A2702" t="str">
            <v>QQADQLL</v>
          </cell>
          <cell r="B2702" t="str">
            <v>QQAD</v>
          </cell>
        </row>
        <row r="2703">
          <cell r="A2703" t="str">
            <v>QQADQLM</v>
          </cell>
          <cell r="B2703" t="str">
            <v>QQAD</v>
          </cell>
        </row>
        <row r="2704">
          <cell r="A2704" t="str">
            <v>QQADQLS</v>
          </cell>
          <cell r="B2704" t="str">
            <v>QQAD</v>
          </cell>
        </row>
        <row r="2705">
          <cell r="A2705" t="str">
            <v>QQADQLXL</v>
          </cell>
          <cell r="B2705" t="str">
            <v>QQAD</v>
          </cell>
        </row>
        <row r="2706">
          <cell r="A2706" t="str">
            <v>QQADR02XL</v>
          </cell>
          <cell r="B2706" t="str">
            <v>QQAD</v>
          </cell>
        </row>
        <row r="2707">
          <cell r="A2707" t="str">
            <v>QQADR03XL</v>
          </cell>
          <cell r="B2707" t="str">
            <v>QQAD</v>
          </cell>
        </row>
        <row r="2708">
          <cell r="A2708" t="str">
            <v>QQADR04XL</v>
          </cell>
          <cell r="B2708" t="str">
            <v>QQAD</v>
          </cell>
        </row>
        <row r="2709">
          <cell r="A2709" t="str">
            <v>QQADR05XL</v>
          </cell>
          <cell r="B2709" t="str">
            <v>QQAD</v>
          </cell>
        </row>
        <row r="2710">
          <cell r="A2710" t="str">
            <v>QQADR0L</v>
          </cell>
          <cell r="B2710" t="str">
            <v>QQAD</v>
          </cell>
        </row>
        <row r="2711">
          <cell r="A2711" t="str">
            <v>QQADR0M</v>
          </cell>
          <cell r="B2711" t="str">
            <v>QQAD</v>
          </cell>
        </row>
        <row r="2712">
          <cell r="A2712" t="str">
            <v>QQADR0S</v>
          </cell>
          <cell r="B2712" t="str">
            <v>QQAD</v>
          </cell>
        </row>
        <row r="2713">
          <cell r="A2713" t="str">
            <v>QQADR0XL</v>
          </cell>
          <cell r="B2713" t="str">
            <v>QQAD</v>
          </cell>
        </row>
        <row r="2714">
          <cell r="A2714" t="str">
            <v>QQADTL2XL</v>
          </cell>
          <cell r="B2714" t="str">
            <v>QQAD</v>
          </cell>
        </row>
        <row r="2715">
          <cell r="A2715" t="str">
            <v>QQADTL3XL</v>
          </cell>
          <cell r="B2715" t="str">
            <v>QQAD</v>
          </cell>
        </row>
        <row r="2716">
          <cell r="A2716" t="str">
            <v>QQADTL4XL</v>
          </cell>
          <cell r="B2716" t="str">
            <v>QQAD</v>
          </cell>
        </row>
        <row r="2717">
          <cell r="A2717" t="str">
            <v>QQADTL5XL</v>
          </cell>
          <cell r="B2717" t="str">
            <v>QQAD</v>
          </cell>
        </row>
        <row r="2718">
          <cell r="A2718" t="str">
            <v>QQADTLL</v>
          </cell>
          <cell r="B2718" t="str">
            <v>QQAD</v>
          </cell>
        </row>
        <row r="2719">
          <cell r="A2719" t="str">
            <v>QQADTLM</v>
          </cell>
          <cell r="B2719" t="str">
            <v>QQAD</v>
          </cell>
        </row>
        <row r="2720">
          <cell r="A2720" t="str">
            <v>QQADTLS</v>
          </cell>
          <cell r="B2720" t="str">
            <v>QQAD</v>
          </cell>
        </row>
        <row r="2721">
          <cell r="A2721" t="str">
            <v>QQADTLXL</v>
          </cell>
          <cell r="B2721" t="str">
            <v>QQAD</v>
          </cell>
        </row>
        <row r="2722">
          <cell r="A2722" t="str">
            <v>QQADW02XL</v>
          </cell>
          <cell r="B2722" t="str">
            <v>QQAD</v>
          </cell>
        </row>
        <row r="2723">
          <cell r="A2723" t="str">
            <v>QQADW03XL</v>
          </cell>
          <cell r="B2723" t="str">
            <v>QQAD</v>
          </cell>
        </row>
        <row r="2724">
          <cell r="A2724" t="str">
            <v>QQADW04XL</v>
          </cell>
          <cell r="B2724" t="str">
            <v>QQAD</v>
          </cell>
        </row>
        <row r="2725">
          <cell r="A2725" t="str">
            <v>QQADW05XL</v>
          </cell>
          <cell r="B2725" t="str">
            <v>QQAD</v>
          </cell>
        </row>
        <row r="2726">
          <cell r="A2726" t="str">
            <v>QQADW0L</v>
          </cell>
          <cell r="B2726" t="str">
            <v>QQAD</v>
          </cell>
        </row>
        <row r="2727">
          <cell r="A2727" t="str">
            <v>QQADW0M</v>
          </cell>
          <cell r="B2727" t="str">
            <v>QQAD</v>
          </cell>
        </row>
        <row r="2728">
          <cell r="A2728" t="str">
            <v>QQADW0S</v>
          </cell>
          <cell r="B2728" t="str">
            <v>QQAD</v>
          </cell>
        </row>
        <row r="2729">
          <cell r="A2729" t="str">
            <v>QQADW0XL</v>
          </cell>
          <cell r="B2729" t="str">
            <v>QQAD</v>
          </cell>
        </row>
        <row r="2730">
          <cell r="A2730" t="str">
            <v>QQADXGH2XL</v>
          </cell>
          <cell r="B2730" t="str">
            <v>QQAD</v>
          </cell>
        </row>
        <row r="2731">
          <cell r="A2731" t="str">
            <v>QQADXGH3XL</v>
          </cell>
          <cell r="B2731" t="str">
            <v>QQAD</v>
          </cell>
        </row>
        <row r="2732">
          <cell r="A2732" t="str">
            <v>QQADXGH4XL</v>
          </cell>
          <cell r="B2732" t="str">
            <v>QQAD</v>
          </cell>
        </row>
        <row r="2733">
          <cell r="A2733" t="str">
            <v>QQADXGH5XL</v>
          </cell>
          <cell r="B2733" t="str">
            <v>QQAD</v>
          </cell>
        </row>
        <row r="2734">
          <cell r="A2734" t="str">
            <v>QQADXGHL</v>
          </cell>
          <cell r="B2734" t="str">
            <v>QQAD</v>
          </cell>
        </row>
        <row r="2735">
          <cell r="A2735" t="str">
            <v>QQADXGHM</v>
          </cell>
          <cell r="B2735" t="str">
            <v>QQAD</v>
          </cell>
        </row>
        <row r="2736">
          <cell r="A2736" t="str">
            <v>QQADXGHS</v>
          </cell>
          <cell r="B2736" t="str">
            <v>QQAD</v>
          </cell>
        </row>
        <row r="2737">
          <cell r="A2737" t="str">
            <v>QQADXGHXL</v>
          </cell>
          <cell r="B2737" t="str">
            <v>QQAD</v>
          </cell>
        </row>
        <row r="2738">
          <cell r="A2738" t="str">
            <v>QQADZLS2XL</v>
          </cell>
          <cell r="B2738" t="str">
            <v>QQAD</v>
          </cell>
        </row>
        <row r="2739">
          <cell r="A2739" t="str">
            <v>QQADZLS3XL</v>
          </cell>
          <cell r="B2739" t="str">
            <v>QQAD</v>
          </cell>
        </row>
        <row r="2740">
          <cell r="A2740" t="str">
            <v>QQADZLS4XL</v>
          </cell>
          <cell r="B2740" t="str">
            <v>QQAD</v>
          </cell>
        </row>
        <row r="2741">
          <cell r="A2741" t="str">
            <v>QQADZLS5XL</v>
          </cell>
          <cell r="B2741" t="str">
            <v>QQAD</v>
          </cell>
        </row>
        <row r="2742">
          <cell r="A2742" t="str">
            <v>QQADZLSL</v>
          </cell>
          <cell r="B2742" t="str">
            <v>QQAD</v>
          </cell>
        </row>
        <row r="2743">
          <cell r="A2743" t="str">
            <v>QQADZLSM</v>
          </cell>
          <cell r="B2743" t="str">
            <v>QQAD</v>
          </cell>
        </row>
        <row r="2744">
          <cell r="A2744" t="str">
            <v>QQADZLSS</v>
          </cell>
          <cell r="B2744" t="str">
            <v>QQAD</v>
          </cell>
        </row>
        <row r="2745">
          <cell r="A2745" t="str">
            <v>QQADZLSXL</v>
          </cell>
          <cell r="B2745" t="str">
            <v>QQAD</v>
          </cell>
        </row>
        <row r="2746">
          <cell r="A2746" t="str">
            <v>QQAVB0L</v>
          </cell>
          <cell r="B2746" t="str">
            <v>QQAV</v>
          </cell>
        </row>
        <row r="2747">
          <cell r="A2747" t="str">
            <v>QQAVB0M</v>
          </cell>
          <cell r="B2747" t="str">
            <v>QQAV</v>
          </cell>
        </row>
        <row r="2748">
          <cell r="A2748" t="str">
            <v>QQAVB0S</v>
          </cell>
          <cell r="B2748" t="str">
            <v>QQAV</v>
          </cell>
        </row>
        <row r="2749">
          <cell r="A2749" t="str">
            <v>QQAVB0XL</v>
          </cell>
          <cell r="B2749" t="str">
            <v>QQAV</v>
          </cell>
        </row>
        <row r="2750">
          <cell r="A2750" t="str">
            <v>QQAVB0XXL</v>
          </cell>
          <cell r="B2750" t="str">
            <v>QQAV</v>
          </cell>
        </row>
        <row r="2751">
          <cell r="A2751" t="str">
            <v>QQAVG0L</v>
          </cell>
          <cell r="B2751" t="str">
            <v>QQAV</v>
          </cell>
        </row>
        <row r="2752">
          <cell r="A2752" t="str">
            <v>QQAVG0M</v>
          </cell>
          <cell r="B2752" t="str">
            <v>QQAV</v>
          </cell>
        </row>
        <row r="2753">
          <cell r="A2753" t="str">
            <v>QQAVG0S</v>
          </cell>
          <cell r="B2753" t="str">
            <v>QQAV</v>
          </cell>
        </row>
        <row r="2754">
          <cell r="A2754" t="str">
            <v>QQAVG0XL</v>
          </cell>
          <cell r="B2754" t="str">
            <v>QQAV</v>
          </cell>
        </row>
        <row r="2755">
          <cell r="A2755" t="str">
            <v>QQAVG0XXL</v>
          </cell>
          <cell r="B2755" t="str">
            <v>QQAV</v>
          </cell>
        </row>
        <row r="2756">
          <cell r="A2756" t="str">
            <v>QQAVJHL</v>
          </cell>
          <cell r="B2756" t="str">
            <v>QQAV</v>
          </cell>
        </row>
        <row r="2757">
          <cell r="A2757" t="str">
            <v>QQAVJHM</v>
          </cell>
          <cell r="B2757" t="str">
            <v>QQAV</v>
          </cell>
        </row>
        <row r="2758">
          <cell r="A2758" t="str">
            <v>QQAVJHS</v>
          </cell>
          <cell r="B2758" t="str">
            <v>QQAV</v>
          </cell>
        </row>
        <row r="2759">
          <cell r="A2759" t="str">
            <v>QQAVJHXL</v>
          </cell>
          <cell r="B2759" t="str">
            <v>QQAV</v>
          </cell>
        </row>
        <row r="2760">
          <cell r="A2760" t="str">
            <v>QQAVJHXXL</v>
          </cell>
          <cell r="B2760" t="str">
            <v>QQAV</v>
          </cell>
        </row>
        <row r="2761">
          <cell r="A2761" t="str">
            <v>QQAVK0L</v>
          </cell>
          <cell r="B2761" t="str">
            <v>QQAV</v>
          </cell>
        </row>
        <row r="2762">
          <cell r="A2762" t="str">
            <v>QQAVK0M</v>
          </cell>
          <cell r="B2762" t="str">
            <v>QQAV</v>
          </cell>
        </row>
        <row r="2763">
          <cell r="A2763" t="str">
            <v>QQAVK0S</v>
          </cell>
          <cell r="B2763" t="str">
            <v>QQAV</v>
          </cell>
        </row>
        <row r="2764">
          <cell r="A2764" t="str">
            <v>QQAVK0XL</v>
          </cell>
          <cell r="B2764" t="str">
            <v>QQAV</v>
          </cell>
        </row>
        <row r="2765">
          <cell r="A2765" t="str">
            <v>QQAVK0XXL</v>
          </cell>
          <cell r="B2765" t="str">
            <v>QQAV</v>
          </cell>
        </row>
        <row r="2766">
          <cell r="A2766" t="str">
            <v>QQAVMHL</v>
          </cell>
          <cell r="B2766" t="str">
            <v>QQAV</v>
          </cell>
        </row>
        <row r="2767">
          <cell r="A2767" t="str">
            <v>QQAVMHM</v>
          </cell>
          <cell r="B2767" t="str">
            <v>QQAV</v>
          </cell>
        </row>
        <row r="2768">
          <cell r="A2768" t="str">
            <v>QQAVMHS</v>
          </cell>
          <cell r="B2768" t="str">
            <v>QQAV</v>
          </cell>
        </row>
        <row r="2769">
          <cell r="A2769" t="str">
            <v>QQAVMHXL</v>
          </cell>
          <cell r="B2769" t="str">
            <v>QQAV</v>
          </cell>
        </row>
        <row r="2770">
          <cell r="A2770" t="str">
            <v>QQAVMHXXL</v>
          </cell>
          <cell r="B2770" t="str">
            <v>QQAV</v>
          </cell>
        </row>
        <row r="2771">
          <cell r="A2771" t="str">
            <v>QQAVP0L</v>
          </cell>
          <cell r="B2771" t="str">
            <v>QQAV</v>
          </cell>
        </row>
        <row r="2772">
          <cell r="A2772" t="str">
            <v>QQAVP0M</v>
          </cell>
          <cell r="B2772" t="str">
            <v>QQAV</v>
          </cell>
        </row>
        <row r="2773">
          <cell r="A2773" t="str">
            <v>QQAVP0S</v>
          </cell>
          <cell r="B2773" t="str">
            <v>QQAV</v>
          </cell>
        </row>
        <row r="2774">
          <cell r="A2774" t="str">
            <v>QQAVP0XL</v>
          </cell>
          <cell r="B2774" t="str">
            <v>QQAV</v>
          </cell>
        </row>
        <row r="2775">
          <cell r="A2775" t="str">
            <v>QQAVP0XXL</v>
          </cell>
          <cell r="B2775" t="str">
            <v>QQAV</v>
          </cell>
        </row>
        <row r="2776">
          <cell r="A2776" t="str">
            <v>QQAYB0L</v>
          </cell>
          <cell r="B2776" t="str">
            <v>QQAY</v>
          </cell>
        </row>
        <row r="2777">
          <cell r="A2777" t="str">
            <v>QQAYB0M</v>
          </cell>
          <cell r="B2777" t="str">
            <v>QQAY</v>
          </cell>
        </row>
        <row r="2778">
          <cell r="A2778" t="str">
            <v>QQAYB0S</v>
          </cell>
          <cell r="B2778" t="str">
            <v>QQAY</v>
          </cell>
        </row>
        <row r="2779">
          <cell r="A2779" t="str">
            <v>QQAYB0XL</v>
          </cell>
          <cell r="B2779" t="str">
            <v>QQAY</v>
          </cell>
        </row>
        <row r="2780">
          <cell r="A2780" t="str">
            <v>QQAYB0XXL</v>
          </cell>
          <cell r="B2780" t="str">
            <v>QQAY</v>
          </cell>
        </row>
        <row r="2781">
          <cell r="A2781" t="str">
            <v>QQAYK0L</v>
          </cell>
          <cell r="B2781" t="str">
            <v>QQAY</v>
          </cell>
        </row>
        <row r="2782">
          <cell r="A2782" t="str">
            <v>QQAYK0M</v>
          </cell>
          <cell r="B2782" t="str">
            <v>QQAY</v>
          </cell>
        </row>
        <row r="2783">
          <cell r="A2783" t="str">
            <v>QQAYK0S</v>
          </cell>
          <cell r="B2783" t="str">
            <v>QQAY</v>
          </cell>
        </row>
        <row r="2784">
          <cell r="A2784" t="str">
            <v>QQAYK0XL</v>
          </cell>
          <cell r="B2784" t="str">
            <v>QQAY</v>
          </cell>
        </row>
        <row r="2785">
          <cell r="A2785" t="str">
            <v>QQAYK0XXL</v>
          </cell>
          <cell r="B2785" t="str">
            <v>QQAY</v>
          </cell>
        </row>
        <row r="2786">
          <cell r="A2786" t="str">
            <v>QQAYP0L</v>
          </cell>
          <cell r="B2786" t="str">
            <v>QQAY</v>
          </cell>
        </row>
        <row r="2787">
          <cell r="A2787" t="str">
            <v>QQAYP0M</v>
          </cell>
          <cell r="B2787" t="str">
            <v>QQAY</v>
          </cell>
        </row>
        <row r="2788">
          <cell r="A2788" t="str">
            <v>QQAYP0S</v>
          </cell>
          <cell r="B2788" t="str">
            <v>QQAY</v>
          </cell>
        </row>
        <row r="2789">
          <cell r="A2789" t="str">
            <v>QQAYP0XL</v>
          </cell>
          <cell r="B2789" t="str">
            <v>QQAY</v>
          </cell>
        </row>
        <row r="2790">
          <cell r="A2790" t="str">
            <v>QQAYP0XXL</v>
          </cell>
          <cell r="B2790" t="str">
            <v>QQAY</v>
          </cell>
        </row>
        <row r="2791">
          <cell r="A2791" t="str">
            <v>QQAYR0L</v>
          </cell>
          <cell r="B2791" t="str">
            <v>QQAY</v>
          </cell>
        </row>
        <row r="2792">
          <cell r="A2792" t="str">
            <v>QQAYR0M</v>
          </cell>
          <cell r="B2792" t="str">
            <v>QQAY</v>
          </cell>
        </row>
        <row r="2793">
          <cell r="A2793" t="str">
            <v>QQAYR0S</v>
          </cell>
          <cell r="B2793" t="str">
            <v>QQAY</v>
          </cell>
        </row>
        <row r="2794">
          <cell r="A2794" t="str">
            <v>QQAYR0XL</v>
          </cell>
          <cell r="B2794" t="str">
            <v>QQAY</v>
          </cell>
        </row>
        <row r="2795">
          <cell r="A2795" t="str">
            <v>QQAYR0XXL</v>
          </cell>
          <cell r="B2795" t="str">
            <v>QQAY</v>
          </cell>
        </row>
        <row r="2796">
          <cell r="A2796" t="str">
            <v>QQAYR5L</v>
          </cell>
          <cell r="B2796" t="str">
            <v>QQAY</v>
          </cell>
        </row>
        <row r="2797">
          <cell r="A2797" t="str">
            <v>QQAYR5M</v>
          </cell>
          <cell r="B2797" t="str">
            <v>QQAY</v>
          </cell>
        </row>
        <row r="2798">
          <cell r="A2798" t="str">
            <v>QQAYR5S</v>
          </cell>
          <cell r="B2798" t="str">
            <v>QQAY</v>
          </cell>
        </row>
        <row r="2799">
          <cell r="A2799" t="str">
            <v>QQAYR5XL</v>
          </cell>
          <cell r="B2799" t="str">
            <v>QQAY</v>
          </cell>
        </row>
        <row r="2800">
          <cell r="A2800" t="str">
            <v>QQAYR5XXL</v>
          </cell>
          <cell r="B2800" t="str">
            <v>QQAY</v>
          </cell>
        </row>
        <row r="2801">
          <cell r="A2801" t="str">
            <v>QQRZK0M/L</v>
          </cell>
          <cell r="B2801" t="str">
            <v>QQRE</v>
          </cell>
        </row>
        <row r="2802">
          <cell r="A2802" t="str">
            <v>QQRZK0S/M</v>
          </cell>
          <cell r="B2802" t="str">
            <v>QQRE</v>
          </cell>
        </row>
        <row r="2803">
          <cell r="A2803" t="str">
            <v>QQRZR0M/L</v>
          </cell>
          <cell r="B2803" t="str">
            <v>QQRE</v>
          </cell>
        </row>
        <row r="2804">
          <cell r="A2804" t="str">
            <v>QQRZR0S/M</v>
          </cell>
          <cell r="B2804" t="str">
            <v>QQRE</v>
          </cell>
        </row>
        <row r="2805">
          <cell r="A2805" t="str">
            <v>QQRZR5M/L</v>
          </cell>
          <cell r="B2805" t="str">
            <v>QQRE</v>
          </cell>
        </row>
        <row r="2806">
          <cell r="A2806" t="str">
            <v>QQRZR5S/M</v>
          </cell>
          <cell r="B2806" t="str">
            <v>QQRE</v>
          </cell>
        </row>
        <row r="2807">
          <cell r="A2807" t="str">
            <v>QQRZW0L</v>
          </cell>
          <cell r="B2807" t="str">
            <v>QQRZ</v>
          </cell>
        </row>
        <row r="2808">
          <cell r="A2808" t="str">
            <v>QQRZW0M</v>
          </cell>
          <cell r="B2808" t="str">
            <v>QQRZ</v>
          </cell>
        </row>
        <row r="2809">
          <cell r="A2809" t="str">
            <v>QQRZW0XL</v>
          </cell>
          <cell r="B2809" t="str">
            <v>QQRZ</v>
          </cell>
        </row>
        <row r="2810">
          <cell r="A2810" t="str">
            <v>QQRZW0XXL</v>
          </cell>
          <cell r="B2810" t="str">
            <v>QQRZ</v>
          </cell>
        </row>
        <row r="2811">
          <cell r="A2811" t="str">
            <v>QSAJKTKB02XL</v>
          </cell>
          <cell r="B2811" t="str">
            <v>QSAJKTK</v>
          </cell>
        </row>
        <row r="2812">
          <cell r="A2812" t="str">
            <v>QSAJKTKB03XL</v>
          </cell>
          <cell r="B2812" t="str">
            <v>QSAJKTK</v>
          </cell>
        </row>
        <row r="2813">
          <cell r="A2813" t="str">
            <v>QSAJKTKB04XL</v>
          </cell>
          <cell r="B2813" t="str">
            <v>QSAJKTK</v>
          </cell>
        </row>
        <row r="2814">
          <cell r="A2814" t="str">
            <v>QSAJKTKB0XL</v>
          </cell>
          <cell r="B2814" t="str">
            <v>QSAJKTK</v>
          </cell>
        </row>
        <row r="2815">
          <cell r="A2815" t="str">
            <v>QSAJKTKJS2XL</v>
          </cell>
          <cell r="B2815" t="str">
            <v>QSAJKTK</v>
          </cell>
        </row>
        <row r="2816">
          <cell r="A2816" t="str">
            <v>QSAJKTKJS3XL</v>
          </cell>
          <cell r="B2816" t="str">
            <v>QSAJKTK</v>
          </cell>
        </row>
        <row r="2817">
          <cell r="A2817" t="str">
            <v>QSAJKTKJS4XL</v>
          </cell>
          <cell r="B2817" t="str">
            <v>QSAJKTK</v>
          </cell>
        </row>
        <row r="2818">
          <cell r="A2818" t="str">
            <v>QSAJKTKJSXL</v>
          </cell>
          <cell r="B2818" t="str">
            <v>QSAJKTK</v>
          </cell>
        </row>
        <row r="2819">
          <cell r="A2819" t="str">
            <v>QZHHDMS</v>
          </cell>
          <cell r="B2819" t="str">
            <v>QZHHD</v>
          </cell>
        </row>
        <row r="2820">
          <cell r="A2820" t="str">
            <v>QZHHDW0</v>
          </cell>
          <cell r="B2820" t="str">
            <v>QZHHD</v>
          </cell>
        </row>
        <row r="2821">
          <cell r="A2821" t="str">
            <v>QZYYB0L</v>
          </cell>
          <cell r="B2821" t="str">
            <v>QZYY</v>
          </cell>
        </row>
        <row r="2822">
          <cell r="A2822" t="str">
            <v>QZYYB0XL</v>
          </cell>
          <cell r="B2822" t="str">
            <v>QZYY</v>
          </cell>
        </row>
        <row r="2823">
          <cell r="A2823" t="str">
            <v>QZYYB0XXL</v>
          </cell>
          <cell r="B2823" t="str">
            <v>QZYY</v>
          </cell>
        </row>
        <row r="2824">
          <cell r="A2824" t="str">
            <v>QZYYG0L</v>
          </cell>
          <cell r="B2824" t="str">
            <v>QZYY</v>
          </cell>
        </row>
        <row r="2825">
          <cell r="A2825" t="str">
            <v>QZYYG0XL</v>
          </cell>
          <cell r="B2825" t="str">
            <v>QZYY</v>
          </cell>
        </row>
        <row r="2826">
          <cell r="A2826" t="str">
            <v>QZYYG0XXL</v>
          </cell>
          <cell r="B2826" t="str">
            <v>QZYY</v>
          </cell>
        </row>
        <row r="2827">
          <cell r="A2827" t="str">
            <v>QZYYHLL</v>
          </cell>
          <cell r="B2827" t="str">
            <v>QZYY</v>
          </cell>
        </row>
        <row r="2828">
          <cell r="A2828" t="str">
            <v>QZYYHLXL</v>
          </cell>
          <cell r="B2828" t="str">
            <v>QZYY</v>
          </cell>
        </row>
        <row r="2829">
          <cell r="A2829" t="str">
            <v>QZYYHLXXL</v>
          </cell>
          <cell r="B2829" t="str">
            <v>QZYY</v>
          </cell>
        </row>
        <row r="2830">
          <cell r="A2830" t="str">
            <v>QZYYK0L</v>
          </cell>
          <cell r="B2830" t="str">
            <v>QZYY</v>
          </cell>
        </row>
        <row r="2831">
          <cell r="A2831" t="str">
            <v>QZYYK0XL</v>
          </cell>
          <cell r="B2831" t="str">
            <v>QZYY</v>
          </cell>
        </row>
        <row r="2832">
          <cell r="A2832" t="str">
            <v>QZYYK0XXL</v>
          </cell>
          <cell r="B2832" t="str">
            <v>QZYY</v>
          </cell>
        </row>
        <row r="2833">
          <cell r="A2833" t="str">
            <v>QZYYLHSL</v>
          </cell>
          <cell r="B2833" t="str">
            <v>QZYY</v>
          </cell>
        </row>
        <row r="2834">
          <cell r="A2834" t="str">
            <v>QZYYLHSXL</v>
          </cell>
          <cell r="B2834" t="str">
            <v>QZYY</v>
          </cell>
        </row>
        <row r="2835">
          <cell r="A2835" t="str">
            <v>QZYYLHSXXL</v>
          </cell>
          <cell r="B2835" t="str">
            <v>QZYY</v>
          </cell>
        </row>
        <row r="2836">
          <cell r="A2836" t="str">
            <v>QZYYMHL</v>
          </cell>
          <cell r="B2836" t="str">
            <v>QZYY</v>
          </cell>
        </row>
        <row r="2837">
          <cell r="A2837" t="str">
            <v>QZYYMHXL</v>
          </cell>
          <cell r="B2837" t="str">
            <v>QZYY</v>
          </cell>
        </row>
        <row r="2838">
          <cell r="A2838" t="str">
            <v>QZYYMHXXL</v>
          </cell>
          <cell r="B2838" t="str">
            <v>QZYY</v>
          </cell>
        </row>
        <row r="2839">
          <cell r="A2839" t="str">
            <v>QZYYR0L</v>
          </cell>
          <cell r="B2839" t="str">
            <v>QZYY</v>
          </cell>
        </row>
        <row r="2840">
          <cell r="A2840" t="str">
            <v>QZYYR0XL</v>
          </cell>
          <cell r="B2840" t="str">
            <v>QZYY</v>
          </cell>
        </row>
        <row r="2841">
          <cell r="A2841" t="str">
            <v>QZYYR0XXL</v>
          </cell>
          <cell r="B2841" t="str">
            <v>QZYY</v>
          </cell>
        </row>
        <row r="2842">
          <cell r="A2842" t="str">
            <v>QZYYR5L</v>
          </cell>
          <cell r="B2842" t="str">
            <v>QZYY</v>
          </cell>
        </row>
        <row r="2843">
          <cell r="A2843" t="str">
            <v>QZYYR5M</v>
          </cell>
          <cell r="B2843" t="str">
            <v>QZYY</v>
          </cell>
        </row>
        <row r="2844">
          <cell r="A2844" t="str">
            <v>QZYYR5S</v>
          </cell>
          <cell r="B2844" t="str">
            <v>QZYY</v>
          </cell>
        </row>
        <row r="2845">
          <cell r="A2845" t="str">
            <v>QZYYR5XL</v>
          </cell>
          <cell r="B2845" t="str">
            <v>QZYY</v>
          </cell>
        </row>
        <row r="2846">
          <cell r="A2846" t="str">
            <v>QZYYR5XXL</v>
          </cell>
          <cell r="B2846" t="str">
            <v>QZYY</v>
          </cell>
        </row>
        <row r="2847">
          <cell r="A2847" t="str">
            <v>QZYYRHL</v>
          </cell>
          <cell r="B2847" t="str">
            <v>QZYY</v>
          </cell>
        </row>
        <row r="2848">
          <cell r="A2848" t="str">
            <v>QZYYRHXL</v>
          </cell>
          <cell r="B2848" t="str">
            <v>QZYY</v>
          </cell>
        </row>
        <row r="2849">
          <cell r="A2849" t="str">
            <v>QZYYRHXXL</v>
          </cell>
          <cell r="B2849" t="str">
            <v>QZYY</v>
          </cell>
        </row>
        <row r="2850">
          <cell r="A2850" t="str">
            <v>QZYYSLL</v>
          </cell>
          <cell r="B2850" t="str">
            <v>QZYY</v>
          </cell>
        </row>
        <row r="2851">
          <cell r="A2851" t="str">
            <v>QZYYSLM</v>
          </cell>
          <cell r="B2851" t="str">
            <v>QZYY</v>
          </cell>
        </row>
        <row r="2852">
          <cell r="A2852" t="str">
            <v>QZYYSLS</v>
          </cell>
          <cell r="B2852" t="str">
            <v>QZYY</v>
          </cell>
        </row>
        <row r="2853">
          <cell r="A2853" t="str">
            <v>QZYYSLXL</v>
          </cell>
          <cell r="B2853" t="str">
            <v>QZYY</v>
          </cell>
        </row>
        <row r="2854">
          <cell r="A2854" t="str">
            <v>QZYYSLXXL</v>
          </cell>
          <cell r="B2854" t="str">
            <v>QZYY</v>
          </cell>
        </row>
        <row r="2855">
          <cell r="A2855" t="str">
            <v>RZIMUYH1</v>
          </cell>
          <cell r="B2855" t="str">
            <v>RZIMUYH</v>
          </cell>
        </row>
        <row r="2856">
          <cell r="A2856" t="str">
            <v>RZIMUYH2</v>
          </cell>
          <cell r="B2856" t="str">
            <v>RZIMUYH</v>
          </cell>
        </row>
        <row r="2857">
          <cell r="A2857" t="str">
            <v>RZIMUYH3</v>
          </cell>
          <cell r="B2857" t="str">
            <v>RZIMUYH</v>
          </cell>
        </row>
        <row r="2858">
          <cell r="A2858" t="str">
            <v>RZIMUYH4</v>
          </cell>
          <cell r="B2858" t="str">
            <v>RZIMUYH</v>
          </cell>
        </row>
        <row r="2859">
          <cell r="A2859" t="str">
            <v>RZIMUYH5</v>
          </cell>
          <cell r="B2859" t="str">
            <v>RZIMUYH</v>
          </cell>
        </row>
        <row r="2860">
          <cell r="A2860" t="str">
            <v>RZIMUYH6</v>
          </cell>
          <cell r="B2860" t="str">
            <v>RZIMUYH</v>
          </cell>
        </row>
        <row r="2861">
          <cell r="A2861" t="str">
            <v>RZIMUYH7</v>
          </cell>
          <cell r="B2861" t="str">
            <v>RZIMUYH</v>
          </cell>
        </row>
        <row r="2862">
          <cell r="A2862" t="str">
            <v>RZIMUYH8</v>
          </cell>
          <cell r="B2862" t="str">
            <v>RZIMUYH</v>
          </cell>
        </row>
        <row r="2863">
          <cell r="A2863" t="str">
            <v>RZIMUYH9</v>
          </cell>
          <cell r="B2863" t="str">
            <v>RZIMUYH</v>
          </cell>
        </row>
        <row r="2864">
          <cell r="A2864" t="str">
            <v>RZSSK0</v>
          </cell>
          <cell r="B2864" t="str">
            <v>RZSS</v>
          </cell>
        </row>
        <row r="2865">
          <cell r="A2865" t="str">
            <v>SAJKTKG02XL</v>
          </cell>
          <cell r="B2865" t="str">
            <v>SAJKTK</v>
          </cell>
        </row>
        <row r="2866">
          <cell r="A2866" t="str">
            <v>SAJKTKG03XL</v>
          </cell>
          <cell r="B2866" t="str">
            <v>SAJKTK</v>
          </cell>
        </row>
        <row r="2867">
          <cell r="A2867" t="str">
            <v>SAJKTKG04XL</v>
          </cell>
          <cell r="B2867" t="str">
            <v>SAJKTK</v>
          </cell>
        </row>
        <row r="2868">
          <cell r="A2868" t="str">
            <v>SAJKTKG0XL</v>
          </cell>
          <cell r="B2868" t="str">
            <v>SAJKTK</v>
          </cell>
        </row>
        <row r="2869">
          <cell r="A2869" t="str">
            <v>SAJKTKR02XL</v>
          </cell>
          <cell r="B2869" t="str">
            <v>SAJKTK</v>
          </cell>
        </row>
        <row r="2870">
          <cell r="A2870" t="str">
            <v>SAJKTKR03XL</v>
          </cell>
          <cell r="B2870" t="str">
            <v>SAJKTK</v>
          </cell>
        </row>
        <row r="2871">
          <cell r="A2871" t="str">
            <v>SAJKTKR04XL</v>
          </cell>
          <cell r="B2871" t="str">
            <v>SAJKTK</v>
          </cell>
        </row>
        <row r="2872">
          <cell r="A2872" t="str">
            <v>SAJKTKR0XL</v>
          </cell>
          <cell r="B2872" t="str">
            <v>SAJKTK</v>
          </cell>
        </row>
        <row r="2873">
          <cell r="A2873" t="str">
            <v>SBGZKK03XL</v>
          </cell>
          <cell r="B2873" t="str">
            <v>SBGZK</v>
          </cell>
        </row>
        <row r="2874">
          <cell r="A2874" t="str">
            <v>SBGZKK04XL</v>
          </cell>
          <cell r="B2874" t="str">
            <v>SBGZK</v>
          </cell>
        </row>
        <row r="2875">
          <cell r="A2875" t="str">
            <v>SBGZKK05XL</v>
          </cell>
          <cell r="B2875" t="str">
            <v>SBGZK</v>
          </cell>
        </row>
        <row r="2876">
          <cell r="A2876" t="str">
            <v>SBGZKK06XL</v>
          </cell>
          <cell r="B2876" t="str">
            <v>SBGZK</v>
          </cell>
        </row>
        <row r="2877">
          <cell r="A2877" t="str">
            <v>SBGZKK07XL</v>
          </cell>
          <cell r="B2877" t="str">
            <v>SBGZK</v>
          </cell>
        </row>
        <row r="2878">
          <cell r="A2878" t="str">
            <v>SBGZKK0L</v>
          </cell>
          <cell r="B2878" t="str">
            <v>SBGZK</v>
          </cell>
        </row>
        <row r="2879">
          <cell r="A2879" t="str">
            <v>SBGZKK0M</v>
          </cell>
          <cell r="B2879" t="str">
            <v>SBGZK</v>
          </cell>
        </row>
        <row r="2880">
          <cell r="A2880" t="str">
            <v>SBGZKK0S</v>
          </cell>
          <cell r="B2880" t="str">
            <v>SBGZK</v>
          </cell>
        </row>
        <row r="2881">
          <cell r="A2881" t="str">
            <v>SBGZKK0XL</v>
          </cell>
          <cell r="B2881" t="str">
            <v>SBGZK</v>
          </cell>
        </row>
        <row r="2882">
          <cell r="A2882" t="str">
            <v>SBGZKK0XXL</v>
          </cell>
          <cell r="B2882" t="str">
            <v>SBGZK</v>
          </cell>
        </row>
        <row r="2883">
          <cell r="A2883" t="str">
            <v>SBGZKMS3XL</v>
          </cell>
          <cell r="B2883" t="str">
            <v>SBGZK</v>
          </cell>
        </row>
        <row r="2884">
          <cell r="A2884" t="str">
            <v>SBGZKMS4XL</v>
          </cell>
          <cell r="B2884" t="str">
            <v>SBGZK</v>
          </cell>
        </row>
        <row r="2885">
          <cell r="A2885" t="str">
            <v>SBGZKMS5XL</v>
          </cell>
          <cell r="B2885" t="str">
            <v>SBGZK</v>
          </cell>
        </row>
        <row r="2886">
          <cell r="A2886" t="str">
            <v>SBGZKMS6XL</v>
          </cell>
          <cell r="B2886" t="str">
            <v>SBGZK</v>
          </cell>
        </row>
        <row r="2887">
          <cell r="A2887" t="str">
            <v>SBGZKMS7XL</v>
          </cell>
          <cell r="B2887" t="str">
            <v>SBGZK</v>
          </cell>
        </row>
        <row r="2888">
          <cell r="A2888" t="str">
            <v>SBGZKMSL</v>
          </cell>
          <cell r="B2888" t="str">
            <v>SBGZK</v>
          </cell>
        </row>
        <row r="2889">
          <cell r="A2889" t="str">
            <v>SBGZKMSM</v>
          </cell>
          <cell r="B2889" t="str">
            <v>SBGZK</v>
          </cell>
        </row>
        <row r="2890">
          <cell r="A2890" t="str">
            <v>SBGZKMSS</v>
          </cell>
          <cell r="B2890" t="str">
            <v>SBGZK</v>
          </cell>
        </row>
        <row r="2891">
          <cell r="A2891" t="str">
            <v>SBGZKMSXL</v>
          </cell>
          <cell r="B2891" t="str">
            <v>SBGZK</v>
          </cell>
        </row>
        <row r="2892">
          <cell r="A2892" t="str">
            <v>SBGZKMSXXL</v>
          </cell>
          <cell r="B2892" t="str">
            <v>SBGZK</v>
          </cell>
        </row>
        <row r="2893">
          <cell r="A2893" t="str">
            <v>SBGZKW03XL</v>
          </cell>
          <cell r="B2893" t="str">
            <v>SBGZK</v>
          </cell>
        </row>
        <row r="2894">
          <cell r="A2894" t="str">
            <v>SBGZKW04XL</v>
          </cell>
          <cell r="B2894" t="str">
            <v>SBGZK</v>
          </cell>
        </row>
        <row r="2895">
          <cell r="A2895" t="str">
            <v>SBGZKW05XL</v>
          </cell>
          <cell r="B2895" t="str">
            <v>SBGZK</v>
          </cell>
        </row>
        <row r="2896">
          <cell r="A2896" t="str">
            <v>SBGZKW06XL</v>
          </cell>
          <cell r="B2896" t="str">
            <v>SBGZK</v>
          </cell>
        </row>
        <row r="2897">
          <cell r="A2897" t="str">
            <v>SBGZKW07XL</v>
          </cell>
          <cell r="B2897" t="str">
            <v>SBGZK</v>
          </cell>
        </row>
        <row r="2898">
          <cell r="A2898" t="str">
            <v>SBGZKW0L</v>
          </cell>
          <cell r="B2898" t="str">
            <v>SBGZK</v>
          </cell>
        </row>
        <row r="2899">
          <cell r="A2899" t="str">
            <v>SBGZKW0M</v>
          </cell>
          <cell r="B2899" t="str">
            <v>SBGZK</v>
          </cell>
        </row>
        <row r="2900">
          <cell r="A2900" t="str">
            <v>SBGZKW0S</v>
          </cell>
          <cell r="B2900" t="str">
            <v>SBGZK</v>
          </cell>
        </row>
        <row r="2901">
          <cell r="A2901" t="str">
            <v>SBGZKW0XL</v>
          </cell>
          <cell r="B2901" t="str">
            <v>SBGZK</v>
          </cell>
        </row>
        <row r="2902">
          <cell r="A2902" t="str">
            <v>SBGZKW0XXL</v>
          </cell>
          <cell r="B2902" t="str">
            <v>SBGZK</v>
          </cell>
        </row>
        <row r="2903">
          <cell r="A2903" t="str">
            <v>SBGZKZQ3XL</v>
          </cell>
          <cell r="B2903" t="str">
            <v>SBGZK</v>
          </cell>
        </row>
        <row r="2904">
          <cell r="A2904" t="str">
            <v>SBGZKZQ4XL</v>
          </cell>
          <cell r="B2904" t="str">
            <v>SBGZK</v>
          </cell>
        </row>
        <row r="2905">
          <cell r="A2905" t="str">
            <v>SBGZKZQ5XL</v>
          </cell>
          <cell r="B2905" t="str">
            <v>SBGZK</v>
          </cell>
        </row>
        <row r="2906">
          <cell r="A2906" t="str">
            <v>SBGZKZQ6XL</v>
          </cell>
          <cell r="B2906" t="str">
            <v>SBGZK</v>
          </cell>
        </row>
        <row r="2907">
          <cell r="A2907" t="str">
            <v>SBGZKZQ7XL</v>
          </cell>
          <cell r="B2907" t="str">
            <v>SBGZK</v>
          </cell>
        </row>
        <row r="2908">
          <cell r="A2908" t="str">
            <v>SBGZKZQL</v>
          </cell>
          <cell r="B2908" t="str">
            <v>SBGZK</v>
          </cell>
        </row>
        <row r="2909">
          <cell r="A2909" t="str">
            <v>SBGZKZQM</v>
          </cell>
          <cell r="B2909" t="str">
            <v>SBGZK</v>
          </cell>
        </row>
        <row r="2910">
          <cell r="A2910" t="str">
            <v>SBGZKZQS</v>
          </cell>
          <cell r="B2910" t="str">
            <v>SBGZK</v>
          </cell>
        </row>
        <row r="2911">
          <cell r="A2911" t="str">
            <v>SBGZKZQXL</v>
          </cell>
          <cell r="B2911" t="str">
            <v>SBGZK</v>
          </cell>
        </row>
        <row r="2912">
          <cell r="A2912" t="str">
            <v>SBGZKZQXXL</v>
          </cell>
          <cell r="B2912" t="str">
            <v>SBGZK</v>
          </cell>
        </row>
        <row r="2913">
          <cell r="A2913" t="str">
            <v>SCLEHBRB</v>
          </cell>
          <cell r="B2913" t="str">
            <v>SCLEHB</v>
          </cell>
        </row>
        <row r="2914">
          <cell r="A2914" t="str">
            <v>SCLEHBW0</v>
          </cell>
          <cell r="B2914" t="str">
            <v>SCLEHB</v>
          </cell>
        </row>
        <row r="2915">
          <cell r="A2915" t="str">
            <v>SCZTSW0</v>
          </cell>
          <cell r="B2915" t="str">
            <v>SCZTS</v>
          </cell>
        </row>
        <row r="2916">
          <cell r="A2916" t="str">
            <v>SEKBMHS2XL</v>
          </cell>
          <cell r="B2916" t="str">
            <v>SEKB</v>
          </cell>
        </row>
        <row r="2917">
          <cell r="A2917" t="str">
            <v>SEKBMHS3XL</v>
          </cell>
          <cell r="B2917" t="str">
            <v>SEKB</v>
          </cell>
        </row>
        <row r="2918">
          <cell r="A2918" t="str">
            <v>SEKBMHS4XL</v>
          </cell>
          <cell r="B2918" t="str">
            <v>SEKB</v>
          </cell>
        </row>
        <row r="2919">
          <cell r="A2919" t="str">
            <v>SEKBMHSL</v>
          </cell>
          <cell r="B2919" t="str">
            <v>SEKB</v>
          </cell>
        </row>
        <row r="2920">
          <cell r="A2920" t="str">
            <v>SEKBMHSXL</v>
          </cell>
          <cell r="B2920" t="str">
            <v>SEKB</v>
          </cell>
        </row>
        <row r="2921">
          <cell r="A2921" t="str">
            <v>SEKBQHS2XL</v>
          </cell>
          <cell r="B2921" t="str">
            <v>SEKB</v>
          </cell>
        </row>
        <row r="2922">
          <cell r="A2922" t="str">
            <v>SEKBQHS3XL</v>
          </cell>
          <cell r="B2922" t="str">
            <v>SEKB</v>
          </cell>
        </row>
        <row r="2923">
          <cell r="A2923" t="str">
            <v>SEKBQHS4XL</v>
          </cell>
          <cell r="B2923" t="str">
            <v>SEKB</v>
          </cell>
        </row>
        <row r="2924">
          <cell r="A2924" t="str">
            <v>SEKBQHSL</v>
          </cell>
          <cell r="B2924" t="str">
            <v>SEKB</v>
          </cell>
        </row>
        <row r="2925">
          <cell r="A2925" t="str">
            <v>SEKBQHSXL</v>
          </cell>
          <cell r="B2925" t="str">
            <v>SEKB</v>
          </cell>
        </row>
        <row r="2926">
          <cell r="A2926" t="str">
            <v>SEKBQLS2XL</v>
          </cell>
          <cell r="B2926" t="str">
            <v>SEKB</v>
          </cell>
        </row>
        <row r="2927">
          <cell r="A2927" t="str">
            <v>SEKBQLS3XL</v>
          </cell>
          <cell r="B2927" t="str">
            <v>SEKB</v>
          </cell>
        </row>
        <row r="2928">
          <cell r="A2928" t="str">
            <v>SEKBQLS4XL</v>
          </cell>
          <cell r="B2928" t="str">
            <v>SEKB</v>
          </cell>
        </row>
        <row r="2929">
          <cell r="A2929" t="str">
            <v>SEKBQLSL</v>
          </cell>
          <cell r="B2929" t="str">
            <v>SEKB</v>
          </cell>
        </row>
        <row r="2930">
          <cell r="A2930" t="str">
            <v>SEKBQLSXL</v>
          </cell>
          <cell r="B2930" t="str">
            <v>SEKB</v>
          </cell>
        </row>
        <row r="2931">
          <cell r="A2931" t="str">
            <v>SFMCSKG0</v>
          </cell>
          <cell r="B2931" t="str">
            <v>SFMCSK</v>
          </cell>
        </row>
        <row r="2932">
          <cell r="A2932" t="str">
            <v>SFMCSKK0</v>
          </cell>
          <cell r="B2932" t="str">
            <v>SFMCSK</v>
          </cell>
        </row>
        <row r="2933">
          <cell r="A2933" t="str">
            <v>SFMCSKKF</v>
          </cell>
          <cell r="B2933" t="str">
            <v>SFMCSK</v>
          </cell>
        </row>
        <row r="2934">
          <cell r="A2934" t="str">
            <v>SFMCSKR0</v>
          </cell>
          <cell r="B2934" t="str">
            <v>SFMCSK</v>
          </cell>
        </row>
        <row r="2935">
          <cell r="A2935" t="str">
            <v>SFMCSKW0</v>
          </cell>
          <cell r="B2935" t="str">
            <v>SFMCSK</v>
          </cell>
        </row>
        <row r="2936">
          <cell r="A2936" t="str">
            <v>SGLZG0</v>
          </cell>
          <cell r="B2936" t="str">
            <v>SGLZ</v>
          </cell>
        </row>
        <row r="2937">
          <cell r="A2937" t="str">
            <v>SJKTKK0L</v>
          </cell>
          <cell r="B2937" t="str">
            <v>SJKTK</v>
          </cell>
        </row>
        <row r="2938">
          <cell r="A2938" t="str">
            <v>SJKTKK0XL</v>
          </cell>
          <cell r="B2938" t="str">
            <v>SJKTK</v>
          </cell>
        </row>
        <row r="2939">
          <cell r="A2939" t="str">
            <v>SJKTKW0L</v>
          </cell>
          <cell r="B2939" t="str">
            <v>SJKTK</v>
          </cell>
        </row>
        <row r="2940">
          <cell r="A2940" t="str">
            <v>SJKTKW0XL</v>
          </cell>
          <cell r="B2940" t="str">
            <v>SJKTK</v>
          </cell>
        </row>
        <row r="2941">
          <cell r="A2941" t="str">
            <v>SPHNYK0</v>
          </cell>
          <cell r="B2941" t="str">
            <v>SPHNY</v>
          </cell>
        </row>
        <row r="2942">
          <cell r="A2942" t="str">
            <v>SZJSK0A</v>
          </cell>
          <cell r="B2942" t="str">
            <v>XTHO</v>
          </cell>
        </row>
        <row r="2943">
          <cell r="A2943" t="str">
            <v>SZJSK0B</v>
          </cell>
          <cell r="B2943" t="str">
            <v>XTHO</v>
          </cell>
        </row>
        <row r="2944">
          <cell r="A2944" t="str">
            <v>SZJSK0C</v>
          </cell>
          <cell r="B2944" t="str">
            <v>XTHO</v>
          </cell>
        </row>
        <row r="2945">
          <cell r="A2945" t="str">
            <v>SZJSK0D</v>
          </cell>
          <cell r="B2945" t="str">
            <v>XTHO</v>
          </cell>
        </row>
        <row r="2946">
          <cell r="A2946" t="str">
            <v>SZJSXSA</v>
          </cell>
          <cell r="B2946" t="str">
            <v>XTHO</v>
          </cell>
        </row>
        <row r="2947">
          <cell r="A2947" t="str">
            <v>SZJSXSB</v>
          </cell>
          <cell r="B2947" t="str">
            <v>XTHO</v>
          </cell>
        </row>
        <row r="2948">
          <cell r="A2948" t="str">
            <v>SZJSXSC</v>
          </cell>
          <cell r="B2948" t="str">
            <v>XTHO</v>
          </cell>
        </row>
        <row r="2949">
          <cell r="A2949" t="str">
            <v>SZJSXSD</v>
          </cell>
          <cell r="B2949" t="str">
            <v>XTHO</v>
          </cell>
        </row>
        <row r="2950">
          <cell r="A2950" t="str">
            <v>TMKTKW0L</v>
          </cell>
          <cell r="B2950" t="str">
            <v>TMKTK</v>
          </cell>
        </row>
        <row r="2951">
          <cell r="A2951" t="str">
            <v>TMKTKW0M</v>
          </cell>
          <cell r="B2951" t="str">
            <v>TMKTK</v>
          </cell>
        </row>
        <row r="2952">
          <cell r="A2952" t="str">
            <v>TMKTKW0XL</v>
          </cell>
          <cell r="B2952" t="str">
            <v>TMKTK</v>
          </cell>
        </row>
        <row r="2953">
          <cell r="A2953" t="str">
            <v>TMKTKZQL</v>
          </cell>
          <cell r="B2953" t="str">
            <v>TMKTK</v>
          </cell>
        </row>
        <row r="2954">
          <cell r="A2954" t="str">
            <v>TMKTKZQM</v>
          </cell>
          <cell r="B2954" t="str">
            <v>TMKTK</v>
          </cell>
        </row>
        <row r="2955">
          <cell r="A2955" t="str">
            <v>TMKTKZQXL</v>
          </cell>
          <cell r="B2955" t="str">
            <v>TMKTK</v>
          </cell>
        </row>
        <row r="2956">
          <cell r="A2956" t="str">
            <v>TSEMK0</v>
          </cell>
          <cell r="B2956" t="str">
            <v>TSEM</v>
          </cell>
        </row>
        <row r="2957">
          <cell r="A2957" t="str">
            <v>TSEMW0</v>
          </cell>
          <cell r="B2957" t="str">
            <v>TSEM</v>
          </cell>
        </row>
        <row r="2958">
          <cell r="A2958" t="str">
            <v>TTCX36851</v>
          </cell>
          <cell r="B2958" t="str">
            <v>TTCX3685</v>
          </cell>
        </row>
        <row r="2959">
          <cell r="A2959" t="str">
            <v>TTCX36852</v>
          </cell>
          <cell r="B2959" t="str">
            <v>TTCX3685</v>
          </cell>
        </row>
        <row r="2960">
          <cell r="A2960" t="str">
            <v>TTCX36853</v>
          </cell>
          <cell r="B2960" t="str">
            <v>TTCX3685</v>
          </cell>
        </row>
        <row r="2961">
          <cell r="A2961" t="str">
            <v>TTCX425K0L</v>
          </cell>
          <cell r="B2961" t="str">
            <v>TTCX425</v>
          </cell>
        </row>
        <row r="2962">
          <cell r="A2962" t="str">
            <v>TTCX425K0M</v>
          </cell>
          <cell r="B2962" t="str">
            <v>TTCX425</v>
          </cell>
        </row>
        <row r="2963">
          <cell r="A2963" t="str">
            <v>TTCX425K0XL</v>
          </cell>
          <cell r="B2963" t="str">
            <v>TTCX425</v>
          </cell>
        </row>
        <row r="2964">
          <cell r="A2964" t="str">
            <v>TTCX58661</v>
          </cell>
          <cell r="B2964" t="str">
            <v>TTCX5866</v>
          </cell>
        </row>
        <row r="2965">
          <cell r="A2965" t="str">
            <v>TTCX58662</v>
          </cell>
          <cell r="B2965" t="str">
            <v>TTCX5866</v>
          </cell>
        </row>
        <row r="2966">
          <cell r="A2966" t="str">
            <v>TTCX58663</v>
          </cell>
          <cell r="B2966" t="str">
            <v>TTCX5866</v>
          </cell>
        </row>
        <row r="2967">
          <cell r="A2967" t="str">
            <v>TTCX58664</v>
          </cell>
          <cell r="B2967" t="str">
            <v>TTCX5866</v>
          </cell>
        </row>
        <row r="2968">
          <cell r="A2968" t="str">
            <v>TTCX58665</v>
          </cell>
          <cell r="B2968" t="str">
            <v>TTCX5866</v>
          </cell>
        </row>
        <row r="2969">
          <cell r="A2969" t="str">
            <v>TTCX58666</v>
          </cell>
          <cell r="B2969" t="str">
            <v>TTCX5866</v>
          </cell>
        </row>
        <row r="2970">
          <cell r="A2970" t="str">
            <v>TTCX6123O1</v>
          </cell>
          <cell r="B2970" t="str">
            <v>TTCX6123O</v>
          </cell>
        </row>
        <row r="2971">
          <cell r="A2971" t="str">
            <v>TTCX6123O2</v>
          </cell>
          <cell r="B2971" t="str">
            <v>TTCX6123O</v>
          </cell>
        </row>
        <row r="2972">
          <cell r="A2972" t="str">
            <v>TTCX6123O3</v>
          </cell>
          <cell r="B2972" t="str">
            <v>TTCX6123O</v>
          </cell>
        </row>
        <row r="2973">
          <cell r="A2973" t="str">
            <v>TTCX6123O4</v>
          </cell>
          <cell r="B2973" t="str">
            <v>TTCX6123O</v>
          </cell>
        </row>
        <row r="2974">
          <cell r="A2974" t="str">
            <v>TTCX6123O5</v>
          </cell>
          <cell r="B2974" t="str">
            <v>TTCX6123O</v>
          </cell>
        </row>
        <row r="2975">
          <cell r="A2975" t="str">
            <v>TTCX6123O6</v>
          </cell>
          <cell r="B2975" t="str">
            <v>TTCX6123O</v>
          </cell>
        </row>
        <row r="2976">
          <cell r="A2976" t="str">
            <v>TTCX6123O7</v>
          </cell>
          <cell r="B2976" t="str">
            <v>TTCX6123O</v>
          </cell>
        </row>
        <row r="2977">
          <cell r="A2977" t="str">
            <v>TTCX6123O8</v>
          </cell>
          <cell r="B2977" t="str">
            <v>TTCX6123O</v>
          </cell>
        </row>
        <row r="2978">
          <cell r="A2978" t="str">
            <v>TTCX8516O1</v>
          </cell>
          <cell r="B2978" t="str">
            <v>TTCX8516O</v>
          </cell>
        </row>
        <row r="2979">
          <cell r="A2979" t="str">
            <v>TTCX8516O2</v>
          </cell>
          <cell r="B2979" t="str">
            <v>TTCX8516O</v>
          </cell>
        </row>
        <row r="2980">
          <cell r="A2980" t="str">
            <v>TTCX8516O3</v>
          </cell>
          <cell r="B2980" t="str">
            <v>TTCX8516O</v>
          </cell>
        </row>
        <row r="2981">
          <cell r="A2981" t="str">
            <v>TTCX89651</v>
          </cell>
          <cell r="B2981" t="str">
            <v>TTCX8965</v>
          </cell>
        </row>
        <row r="2982">
          <cell r="A2982" t="str">
            <v>TTCX89652</v>
          </cell>
          <cell r="B2982" t="str">
            <v>TTCX8965</v>
          </cell>
        </row>
        <row r="2983">
          <cell r="A2983" t="str">
            <v>TTCX89653</v>
          </cell>
          <cell r="B2983" t="str">
            <v>TTCX8965</v>
          </cell>
        </row>
        <row r="2984">
          <cell r="A2984" t="str">
            <v>TTCX89654</v>
          </cell>
          <cell r="B2984" t="str">
            <v>TTCX8965</v>
          </cell>
        </row>
        <row r="2985">
          <cell r="A2985" t="str">
            <v>TTYCMZFCS1</v>
          </cell>
          <cell r="B2985" t="str">
            <v>TTYCMZFCS</v>
          </cell>
        </row>
        <row r="2986">
          <cell r="A2986" t="str">
            <v>TTYCMZFCS2</v>
          </cell>
          <cell r="B2986" t="str">
            <v>TTYCMZFCS</v>
          </cell>
        </row>
        <row r="2987">
          <cell r="A2987" t="str">
            <v>TTYCMZFCS3</v>
          </cell>
          <cell r="B2987" t="str">
            <v>TTYCMZFCS</v>
          </cell>
        </row>
        <row r="2988">
          <cell r="A2988" t="str">
            <v>TTYCMZFCX1</v>
          </cell>
          <cell r="B2988" t="str">
            <v>TTYCMZFCX</v>
          </cell>
        </row>
        <row r="2989">
          <cell r="A2989" t="str">
            <v>TTYCMZFCX2</v>
          </cell>
          <cell r="B2989" t="str">
            <v>TTYCMZFCX</v>
          </cell>
        </row>
        <row r="2990">
          <cell r="A2990" t="str">
            <v>TTYCMZFCX3</v>
          </cell>
          <cell r="B2990" t="str">
            <v>TTYCMZFCX</v>
          </cell>
        </row>
        <row r="2991">
          <cell r="A2991" t="str">
            <v>TTYCMZFPI1</v>
          </cell>
          <cell r="B2991" t="str">
            <v>TTYCMZFPI</v>
          </cell>
        </row>
        <row r="2992">
          <cell r="A2992" t="str">
            <v>TTYCMZFPI2</v>
          </cell>
          <cell r="B2992" t="str">
            <v>TTYCMZFPI</v>
          </cell>
        </row>
        <row r="2993">
          <cell r="A2993" t="str">
            <v>TTYCMZFPI3</v>
          </cell>
          <cell r="B2993" t="str">
            <v>TTYCMZFPI</v>
          </cell>
        </row>
        <row r="2994">
          <cell r="A2994" t="str">
            <v>TTYCMZFPI4</v>
          </cell>
          <cell r="B2994" t="str">
            <v>TTYCMZFPI</v>
          </cell>
        </row>
        <row r="2995">
          <cell r="A2995" t="str">
            <v>TTYCMZFPI5</v>
          </cell>
          <cell r="B2995" t="str">
            <v>TTYCMZFPI</v>
          </cell>
        </row>
        <row r="2996">
          <cell r="A2996" t="str">
            <v>TTYCMZFPJ1</v>
          </cell>
          <cell r="B2996" t="str">
            <v>TTYCMZFPJ</v>
          </cell>
        </row>
        <row r="2997">
          <cell r="A2997" t="str">
            <v>TTYCMZFPJ2</v>
          </cell>
          <cell r="B2997" t="str">
            <v>TTYCMZFPJ</v>
          </cell>
        </row>
        <row r="2998">
          <cell r="A2998" t="str">
            <v>TTYCMZFPJ3</v>
          </cell>
          <cell r="B2998" t="str">
            <v>TTYCMZFPJ</v>
          </cell>
        </row>
        <row r="2999">
          <cell r="A2999" t="str">
            <v>TTYCMZFPJ4</v>
          </cell>
          <cell r="B2999" t="str">
            <v>TTYCMZFPJ</v>
          </cell>
        </row>
        <row r="3000">
          <cell r="A3000" t="str">
            <v>TTYCMZFPJ5</v>
          </cell>
          <cell r="B3000" t="str">
            <v>TTYCMZFPJ</v>
          </cell>
        </row>
        <row r="3001">
          <cell r="A3001" t="str">
            <v>TTYCMZFPK1</v>
          </cell>
          <cell r="B3001" t="str">
            <v>TTYCMZFPK</v>
          </cell>
        </row>
        <row r="3002">
          <cell r="A3002" t="str">
            <v>TTYCMZFPK2</v>
          </cell>
          <cell r="B3002" t="str">
            <v>TTYCMZFPK</v>
          </cell>
        </row>
        <row r="3003">
          <cell r="A3003" t="str">
            <v>TTYCMZFPK3</v>
          </cell>
          <cell r="B3003" t="str">
            <v>TTYCMZFPK</v>
          </cell>
        </row>
        <row r="3004">
          <cell r="A3004" t="str">
            <v>TTYCMZFTW1</v>
          </cell>
          <cell r="B3004" t="str">
            <v>TTYCMZFTW</v>
          </cell>
        </row>
        <row r="3005">
          <cell r="A3005" t="str">
            <v>TTYCMZFTW2</v>
          </cell>
          <cell r="B3005" t="str">
            <v>TTYCMZFTW</v>
          </cell>
        </row>
        <row r="3006">
          <cell r="A3006" t="str">
            <v>TTYCMZFTW3</v>
          </cell>
          <cell r="B3006" t="str">
            <v>TTYCMZFTW</v>
          </cell>
        </row>
        <row r="3007">
          <cell r="A3007" t="str">
            <v>TTYCY3688RED</v>
          </cell>
          <cell r="B3007" t="str">
            <v>TTYCYH3688</v>
          </cell>
        </row>
        <row r="3008">
          <cell r="A3008" t="str">
            <v>TTYCYCS2867Black</v>
          </cell>
          <cell r="B3008" t="str">
            <v>TTYCYCS2867</v>
          </cell>
        </row>
        <row r="3009">
          <cell r="A3009" t="str">
            <v>TTYCYCS2867Navy</v>
          </cell>
          <cell r="B3009" t="str">
            <v>TTYCYCS2867</v>
          </cell>
        </row>
        <row r="3010">
          <cell r="A3010" t="str">
            <v>TTYCYCS2867Red</v>
          </cell>
          <cell r="B3010" t="str">
            <v>TTYCYCS2867</v>
          </cell>
        </row>
        <row r="3011">
          <cell r="A3011" t="str">
            <v>TTYCYCSH1</v>
          </cell>
          <cell r="B3011" t="str">
            <v>TTYCYCSH</v>
          </cell>
        </row>
        <row r="3012">
          <cell r="A3012" t="str">
            <v>TTYCYCSH2</v>
          </cell>
          <cell r="B3012" t="str">
            <v>TTYCYCSH</v>
          </cell>
        </row>
        <row r="3013">
          <cell r="A3013" t="str">
            <v>TTYCYCSH3</v>
          </cell>
          <cell r="B3013" t="str">
            <v>TTYCYCSH</v>
          </cell>
        </row>
        <row r="3014">
          <cell r="A3014" t="str">
            <v>TTYCYCSH4</v>
          </cell>
          <cell r="B3014" t="str">
            <v>TTYCYCSH</v>
          </cell>
        </row>
        <row r="3015">
          <cell r="A3015" t="str">
            <v>TTYCYCSH5</v>
          </cell>
          <cell r="B3015" t="str">
            <v>TTYCYCSH</v>
          </cell>
        </row>
        <row r="3016">
          <cell r="A3016" t="str">
            <v>TTYCYCSH6</v>
          </cell>
          <cell r="B3016" t="str">
            <v>TTYCYCSH</v>
          </cell>
        </row>
        <row r="3017">
          <cell r="A3017" t="str">
            <v>TTYCYH3688BLACK</v>
          </cell>
          <cell r="B3017" t="str">
            <v>TTYCYH3688</v>
          </cell>
        </row>
        <row r="3018">
          <cell r="A3018" t="str">
            <v>TTYCYH3688NAVY</v>
          </cell>
          <cell r="B3018" t="str">
            <v>TTYCYH3688</v>
          </cell>
        </row>
        <row r="3019">
          <cell r="A3019" t="str">
            <v>TTYCYH3688YELLOW</v>
          </cell>
          <cell r="B3019" t="str">
            <v>TTYCYH3688</v>
          </cell>
        </row>
        <row r="3020">
          <cell r="A3020" t="str">
            <v>TTYCYH8040APRICOT</v>
          </cell>
          <cell r="B3020" t="str">
            <v>TTYCYH8040</v>
          </cell>
        </row>
        <row r="3021">
          <cell r="A3021" t="str">
            <v>TTYCYH8040ORANGE</v>
          </cell>
          <cell r="B3021" t="str">
            <v>TTYCYH8040</v>
          </cell>
        </row>
        <row r="3022">
          <cell r="A3022" t="str">
            <v>TTYCYH8040RED</v>
          </cell>
          <cell r="B3022" t="str">
            <v>TTYCYH8040</v>
          </cell>
        </row>
        <row r="3023">
          <cell r="A3023" t="str">
            <v>TTYCYH8040WHITE</v>
          </cell>
          <cell r="B3023" t="str">
            <v>TTYCYH8040</v>
          </cell>
        </row>
        <row r="3024">
          <cell r="A3024" t="str">
            <v>TZFZY0XL</v>
          </cell>
          <cell r="B3024" t="str">
            <v>TZFZ</v>
          </cell>
        </row>
        <row r="3025">
          <cell r="A3025" t="str">
            <v>TZIMUYH0</v>
          </cell>
          <cell r="B3025" t="str">
            <v>TZIMUYH</v>
          </cell>
        </row>
        <row r="3026">
          <cell r="A3026" t="str">
            <v>TZIMUYH1</v>
          </cell>
          <cell r="B3026" t="str">
            <v>TZIMUYH</v>
          </cell>
        </row>
        <row r="3027">
          <cell r="A3027" t="str">
            <v>TZIMUYH2</v>
          </cell>
          <cell r="B3027" t="str">
            <v>TZIMUYH</v>
          </cell>
        </row>
        <row r="3028">
          <cell r="A3028" t="str">
            <v>TZIMUYH3</v>
          </cell>
          <cell r="B3028" t="str">
            <v>TZIMUYH</v>
          </cell>
        </row>
        <row r="3029">
          <cell r="A3029" t="str">
            <v>TZIMUYH4</v>
          </cell>
          <cell r="B3029" t="str">
            <v>TZIMUYH</v>
          </cell>
        </row>
        <row r="3030">
          <cell r="A3030" t="str">
            <v>TZIMUYH5</v>
          </cell>
          <cell r="B3030" t="str">
            <v>TZIMUYH</v>
          </cell>
        </row>
        <row r="3031">
          <cell r="A3031" t="str">
            <v>TZIMUYH6</v>
          </cell>
          <cell r="B3031" t="str">
            <v>TZIMUYH</v>
          </cell>
        </row>
        <row r="3032">
          <cell r="A3032" t="str">
            <v>TZIMUYH7</v>
          </cell>
          <cell r="B3032" t="str">
            <v>TZIMUYH</v>
          </cell>
        </row>
        <row r="3033">
          <cell r="A3033" t="str">
            <v>TZIMUYH8</v>
          </cell>
          <cell r="B3033" t="str">
            <v>TZIMUYH</v>
          </cell>
        </row>
        <row r="3034">
          <cell r="A3034" t="str">
            <v>TZIMUYH9</v>
          </cell>
          <cell r="B3034" t="str">
            <v>TZIMUYH</v>
          </cell>
        </row>
        <row r="3035">
          <cell r="A3035" t="str">
            <v>VOGUEYH1</v>
          </cell>
          <cell r="B3035" t="str">
            <v>VOGUEYH</v>
          </cell>
        </row>
        <row r="3036">
          <cell r="A3036" t="str">
            <v>VOGUEYH2</v>
          </cell>
          <cell r="B3036" t="str">
            <v>VOGUEYH</v>
          </cell>
        </row>
        <row r="3037">
          <cell r="A3037" t="str">
            <v>VOGUEYH3</v>
          </cell>
          <cell r="B3037" t="str">
            <v>VOGUEYH</v>
          </cell>
        </row>
        <row r="3038">
          <cell r="A3038" t="str">
            <v>VOGUEYH4</v>
          </cell>
          <cell r="B3038" t="str">
            <v>VOGUEYH</v>
          </cell>
        </row>
        <row r="3039">
          <cell r="A3039" t="str">
            <v>WJBLYH0</v>
          </cell>
          <cell r="B3039" t="str">
            <v>WJBLYH</v>
          </cell>
        </row>
        <row r="3040">
          <cell r="A3040" t="str">
            <v>WJBLYH1</v>
          </cell>
          <cell r="B3040" t="str">
            <v>WJBLYH</v>
          </cell>
        </row>
        <row r="3041">
          <cell r="A3041" t="str">
            <v>WJBLYH2</v>
          </cell>
          <cell r="B3041" t="str">
            <v>WJBLYH</v>
          </cell>
        </row>
        <row r="3042">
          <cell r="A3042" t="str">
            <v>WJBLYH3</v>
          </cell>
          <cell r="B3042" t="str">
            <v>WJBLYH</v>
          </cell>
        </row>
        <row r="3043">
          <cell r="A3043" t="str">
            <v>WJBLYH4</v>
          </cell>
          <cell r="B3043" t="str">
            <v>WJBLYH</v>
          </cell>
        </row>
        <row r="3044">
          <cell r="A3044" t="str">
            <v>WJBLYH5</v>
          </cell>
          <cell r="B3044" t="str">
            <v>WJBLYH</v>
          </cell>
        </row>
        <row r="3045">
          <cell r="A3045" t="str">
            <v>WJBLYH6</v>
          </cell>
          <cell r="B3045" t="str">
            <v>WJBLYH</v>
          </cell>
        </row>
        <row r="3046">
          <cell r="A3046" t="str">
            <v>WJBLYH7</v>
          </cell>
          <cell r="B3046" t="str">
            <v>WJBLYH</v>
          </cell>
        </row>
        <row r="3047">
          <cell r="A3047" t="str">
            <v>WJBLYH8</v>
          </cell>
          <cell r="B3047" t="str">
            <v>WJBLYH</v>
          </cell>
        </row>
        <row r="3048">
          <cell r="A3048" t="str">
            <v>WJBLYH9</v>
          </cell>
          <cell r="B3048" t="str">
            <v>WJBLYH</v>
          </cell>
        </row>
        <row r="3049">
          <cell r="A3049" t="str">
            <v>WMLBKHSD2XL</v>
          </cell>
          <cell r="B3049" t="str">
            <v>WMLBK</v>
          </cell>
        </row>
        <row r="3050">
          <cell r="A3050" t="str">
            <v>WMLBKHSDL</v>
          </cell>
          <cell r="B3050" t="str">
            <v>WMLBK</v>
          </cell>
        </row>
        <row r="3051">
          <cell r="A3051" t="str">
            <v>WMLBKHSDM</v>
          </cell>
          <cell r="B3051" t="str">
            <v>WMLBK</v>
          </cell>
        </row>
        <row r="3052">
          <cell r="A3052" t="str">
            <v>WMLBKHSDS</v>
          </cell>
          <cell r="B3052" t="str">
            <v>WMLBK</v>
          </cell>
        </row>
        <row r="3053">
          <cell r="A3053" t="str">
            <v>WMLBKHSDXL</v>
          </cell>
          <cell r="B3053" t="str">
            <v>WMLBK</v>
          </cell>
        </row>
        <row r="3054">
          <cell r="A3054" t="str">
            <v>WMLBKK02XL</v>
          </cell>
          <cell r="B3054" t="str">
            <v>WMLBK</v>
          </cell>
        </row>
        <row r="3055">
          <cell r="A3055" t="str">
            <v>WMLBKK0L</v>
          </cell>
          <cell r="B3055" t="str">
            <v>WMLBK</v>
          </cell>
        </row>
        <row r="3056">
          <cell r="A3056" t="str">
            <v>WMLBKK0M</v>
          </cell>
          <cell r="B3056" t="str">
            <v>WMLBK</v>
          </cell>
        </row>
        <row r="3057">
          <cell r="A3057" t="str">
            <v>WMLBKK0S</v>
          </cell>
          <cell r="B3057" t="str">
            <v>WMLBK</v>
          </cell>
        </row>
        <row r="3058">
          <cell r="A3058" t="str">
            <v>WMLBKK0XL</v>
          </cell>
          <cell r="B3058" t="str">
            <v>WMLBK</v>
          </cell>
        </row>
        <row r="3059">
          <cell r="A3059" t="str">
            <v>WSWYCK0L</v>
          </cell>
          <cell r="B3059" t="str">
            <v>WSWYC</v>
          </cell>
        </row>
        <row r="3060">
          <cell r="A3060" t="str">
            <v>WSWYCK0M</v>
          </cell>
          <cell r="B3060" t="str">
            <v>WSWYC</v>
          </cell>
        </row>
        <row r="3061">
          <cell r="A3061" t="str">
            <v>WSWYCK0S</v>
          </cell>
          <cell r="B3061" t="str">
            <v>WSWYC</v>
          </cell>
        </row>
        <row r="3062">
          <cell r="A3062" t="str">
            <v>WSWYCK0XL</v>
          </cell>
          <cell r="B3062" t="str">
            <v>WSWYC</v>
          </cell>
        </row>
        <row r="3063">
          <cell r="A3063" t="str">
            <v>WSWYDK0L</v>
          </cell>
          <cell r="B3063" t="str">
            <v>WSWYD</v>
          </cell>
        </row>
        <row r="3064">
          <cell r="A3064" t="str">
            <v>WSWYDK0M</v>
          </cell>
          <cell r="B3064" t="str">
            <v>WSWYD</v>
          </cell>
        </row>
        <row r="3065">
          <cell r="A3065" t="str">
            <v>WSWYDK0S</v>
          </cell>
          <cell r="B3065" t="str">
            <v>WSWYD</v>
          </cell>
        </row>
        <row r="3066">
          <cell r="A3066" t="str">
            <v>WSWYDK0XL</v>
          </cell>
          <cell r="B3066" t="str">
            <v>WSWYD</v>
          </cell>
        </row>
        <row r="3067">
          <cell r="A3067" t="str">
            <v>WSWYHK0L</v>
          </cell>
          <cell r="B3067" t="str">
            <v>WSWYH</v>
          </cell>
        </row>
        <row r="3068">
          <cell r="A3068" t="str">
            <v>WSWYHK0M</v>
          </cell>
          <cell r="B3068" t="str">
            <v>WSWYH</v>
          </cell>
        </row>
        <row r="3069">
          <cell r="A3069" t="str">
            <v>WSWYHK0S</v>
          </cell>
          <cell r="B3069" t="str">
            <v>WSWYH</v>
          </cell>
        </row>
        <row r="3070">
          <cell r="A3070" t="str">
            <v>WSWYHK0XL</v>
          </cell>
          <cell r="B3070" t="str">
            <v>WSWYH</v>
          </cell>
        </row>
        <row r="3071">
          <cell r="A3071" t="str">
            <v>WSWYJK0L</v>
          </cell>
          <cell r="B3071" t="str">
            <v>WSWYJ</v>
          </cell>
        </row>
        <row r="3072">
          <cell r="A3072" t="str">
            <v>WSWYJK0M</v>
          </cell>
          <cell r="B3072" t="str">
            <v>WSWYJ</v>
          </cell>
        </row>
        <row r="3073">
          <cell r="A3073" t="str">
            <v>WSWYJK0S</v>
          </cell>
          <cell r="B3073" t="str">
            <v>WSWYJ</v>
          </cell>
        </row>
        <row r="3074">
          <cell r="A3074" t="str">
            <v>WSWYJK0XL</v>
          </cell>
          <cell r="B3074" t="str">
            <v>WSWYJ</v>
          </cell>
        </row>
        <row r="3075">
          <cell r="A3075" t="str">
            <v>WSWYKR0L</v>
          </cell>
          <cell r="B3075" t="str">
            <v>WSWYK</v>
          </cell>
        </row>
        <row r="3076">
          <cell r="A3076" t="str">
            <v>WSWYKR0M</v>
          </cell>
          <cell r="B3076" t="str">
            <v>WSWYK</v>
          </cell>
        </row>
        <row r="3077">
          <cell r="A3077" t="str">
            <v>WSWYKR0S</v>
          </cell>
          <cell r="B3077" t="str">
            <v>WSWYK</v>
          </cell>
        </row>
        <row r="3078">
          <cell r="A3078" t="str">
            <v>WSWYKR0XL</v>
          </cell>
          <cell r="B3078" t="str">
            <v>WSWYK</v>
          </cell>
        </row>
        <row r="3079">
          <cell r="A3079" t="str">
            <v>WSWYMK0L</v>
          </cell>
          <cell r="B3079" t="str">
            <v>WSWYM</v>
          </cell>
        </row>
        <row r="3080">
          <cell r="A3080" t="str">
            <v>WSWYMK0M</v>
          </cell>
          <cell r="B3080" t="str">
            <v>WSWYM</v>
          </cell>
        </row>
        <row r="3081">
          <cell r="A3081" t="str">
            <v>WSWYMK0S</v>
          </cell>
          <cell r="B3081" t="str">
            <v>WSWYM</v>
          </cell>
        </row>
        <row r="3082">
          <cell r="A3082" t="str">
            <v>WSWYMK0XL</v>
          </cell>
          <cell r="B3082" t="str">
            <v>WSWYM</v>
          </cell>
        </row>
        <row r="3083">
          <cell r="A3083" t="str">
            <v>WSWYNK0L</v>
          </cell>
          <cell r="B3083" t="str">
            <v>WSWYN</v>
          </cell>
        </row>
        <row r="3084">
          <cell r="A3084" t="str">
            <v>WSWYNK0M</v>
          </cell>
          <cell r="B3084" t="str">
            <v>WSWYN</v>
          </cell>
        </row>
        <row r="3085">
          <cell r="A3085" t="str">
            <v>WSWYNK0S</v>
          </cell>
          <cell r="B3085" t="str">
            <v>WSWYN</v>
          </cell>
        </row>
        <row r="3086">
          <cell r="A3086" t="str">
            <v>WSWYNK0XL</v>
          </cell>
          <cell r="B3086" t="str">
            <v>WSWYN</v>
          </cell>
        </row>
        <row r="3087">
          <cell r="A3087" t="str">
            <v>WSWYTK0L</v>
          </cell>
          <cell r="B3087" t="str">
            <v>WSWYT</v>
          </cell>
        </row>
        <row r="3088">
          <cell r="A3088" t="str">
            <v>WSWYTK0M</v>
          </cell>
          <cell r="B3088" t="str">
            <v>WSWYT</v>
          </cell>
        </row>
        <row r="3089">
          <cell r="A3089" t="str">
            <v>WSWYTK0S</v>
          </cell>
          <cell r="B3089" t="str">
            <v>WSWYT</v>
          </cell>
        </row>
        <row r="3090">
          <cell r="A3090" t="str">
            <v>WSWYTK0XL</v>
          </cell>
          <cell r="B3090" t="str">
            <v>WSWYT</v>
          </cell>
        </row>
        <row r="3091">
          <cell r="A3091" t="str">
            <v>WSWYWK0L</v>
          </cell>
          <cell r="B3091" t="str">
            <v>WSWYW</v>
          </cell>
        </row>
        <row r="3092">
          <cell r="A3092" t="str">
            <v>WSWYWK0M</v>
          </cell>
          <cell r="B3092" t="str">
            <v>WSWYW</v>
          </cell>
        </row>
        <row r="3093">
          <cell r="A3093" t="str">
            <v>WSWYWK0S</v>
          </cell>
          <cell r="B3093" t="str">
            <v>WSWYW</v>
          </cell>
        </row>
        <row r="3094">
          <cell r="A3094" t="str">
            <v>WSWYWK0XL</v>
          </cell>
          <cell r="B3094" t="str">
            <v>WSWYW</v>
          </cell>
        </row>
        <row r="3095">
          <cell r="A3095" t="str">
            <v>WSWYXR0L</v>
          </cell>
          <cell r="B3095" t="str">
            <v>WSWYX</v>
          </cell>
        </row>
        <row r="3096">
          <cell r="A3096" t="str">
            <v>WSWYXR0M</v>
          </cell>
          <cell r="B3096" t="str">
            <v>WSWYX</v>
          </cell>
        </row>
        <row r="3097">
          <cell r="A3097" t="str">
            <v>WSWYXR0S</v>
          </cell>
          <cell r="B3097" t="str">
            <v>WSWYX</v>
          </cell>
        </row>
        <row r="3098">
          <cell r="A3098" t="str">
            <v>WSWYXR0XL</v>
          </cell>
          <cell r="B3098" t="str">
            <v>WSWYX</v>
          </cell>
        </row>
        <row r="3099">
          <cell r="A3099" t="str">
            <v>WYL2012HS1M</v>
          </cell>
          <cell r="B3099" t="str">
            <v>WYL2012</v>
          </cell>
        </row>
        <row r="3100">
          <cell r="A3100" t="str">
            <v>WYL2012HS2M</v>
          </cell>
          <cell r="B3100" t="str">
            <v>WYL2012</v>
          </cell>
        </row>
        <row r="3101">
          <cell r="A3101" t="str">
            <v>WYL2012HS3M</v>
          </cell>
          <cell r="B3101" t="str">
            <v>WYL2012</v>
          </cell>
        </row>
        <row r="3102">
          <cell r="A3102" t="str">
            <v>WYL2012HS4M</v>
          </cell>
          <cell r="B3102" t="str">
            <v>WYL2012</v>
          </cell>
        </row>
        <row r="3103">
          <cell r="A3103" t="str">
            <v>WYL2012HS5M</v>
          </cell>
          <cell r="B3103" t="str">
            <v>WYL2012</v>
          </cell>
        </row>
        <row r="3104">
          <cell r="A3104" t="str">
            <v>WYL2031HS1M</v>
          </cell>
          <cell r="B3104" t="str">
            <v>WYL2031</v>
          </cell>
        </row>
        <row r="3105">
          <cell r="A3105" t="str">
            <v>WYL2031HS2M</v>
          </cell>
          <cell r="B3105" t="str">
            <v>WYL2031</v>
          </cell>
        </row>
        <row r="3106">
          <cell r="A3106" t="str">
            <v>WYL2031HS3M</v>
          </cell>
          <cell r="B3106" t="str">
            <v>WYL2031</v>
          </cell>
        </row>
        <row r="3107">
          <cell r="A3107" t="str">
            <v>WYL2031HS4M</v>
          </cell>
          <cell r="B3107" t="str">
            <v>WYL2031</v>
          </cell>
        </row>
        <row r="3108">
          <cell r="A3108" t="str">
            <v>WYL2031HS5M</v>
          </cell>
          <cell r="B3108" t="str">
            <v>WYL2031</v>
          </cell>
        </row>
        <row r="3109">
          <cell r="A3109" t="str">
            <v>WYLHSHS1M</v>
          </cell>
          <cell r="B3109" t="str">
            <v>WYLHS</v>
          </cell>
        </row>
        <row r="3110">
          <cell r="A3110" t="str">
            <v>WYLHSHS2M</v>
          </cell>
          <cell r="B3110" t="str">
            <v>WYLHS</v>
          </cell>
        </row>
        <row r="3111">
          <cell r="A3111" t="str">
            <v>WYLHSHS3M</v>
          </cell>
          <cell r="B3111" t="str">
            <v>WYLHS</v>
          </cell>
        </row>
        <row r="3112">
          <cell r="A3112" t="str">
            <v>WYLHSHS4M</v>
          </cell>
          <cell r="B3112" t="str">
            <v>WYLHS</v>
          </cell>
        </row>
        <row r="3113">
          <cell r="A3113" t="str">
            <v>WYS1007HS1M</v>
          </cell>
          <cell r="B3113" t="str">
            <v>WYS1007</v>
          </cell>
        </row>
        <row r="3114">
          <cell r="A3114" t="str">
            <v>WYS1007HS2M</v>
          </cell>
          <cell r="B3114" t="str">
            <v>WYS1007</v>
          </cell>
        </row>
        <row r="3115">
          <cell r="A3115" t="str">
            <v>WYS1007HS3M</v>
          </cell>
          <cell r="B3115" t="str">
            <v>WYS1007</v>
          </cell>
        </row>
        <row r="3116">
          <cell r="A3116" t="str">
            <v>WYS1007HS4M</v>
          </cell>
          <cell r="B3116" t="str">
            <v>WYS1007</v>
          </cell>
        </row>
        <row r="3117">
          <cell r="A3117" t="str">
            <v>WYS1007HS5M</v>
          </cell>
          <cell r="B3117" t="str">
            <v>WYS1007</v>
          </cell>
        </row>
        <row r="3118">
          <cell r="A3118" t="str">
            <v>WYS1018HS1M</v>
          </cell>
          <cell r="B3118" t="str">
            <v>WYS1018</v>
          </cell>
        </row>
        <row r="3119">
          <cell r="A3119" t="str">
            <v>WYS1018HS2M</v>
          </cell>
          <cell r="B3119" t="str">
            <v>WYS1018</v>
          </cell>
        </row>
        <row r="3120">
          <cell r="A3120" t="str">
            <v>WYS1018HS3M</v>
          </cell>
          <cell r="B3120" t="str">
            <v>WYS1018</v>
          </cell>
        </row>
        <row r="3121">
          <cell r="A3121" t="str">
            <v>WYS1018HS4M</v>
          </cell>
          <cell r="B3121" t="str">
            <v>WYS1018</v>
          </cell>
        </row>
        <row r="3122">
          <cell r="A3122" t="str">
            <v>WYS1026HS1M</v>
          </cell>
          <cell r="B3122" t="str">
            <v>WYS1026</v>
          </cell>
        </row>
        <row r="3123">
          <cell r="A3123" t="str">
            <v>WYS1026HS2M</v>
          </cell>
          <cell r="B3123" t="str">
            <v>WYS1026</v>
          </cell>
        </row>
        <row r="3124">
          <cell r="A3124" t="str">
            <v>WYS1026HS3M</v>
          </cell>
          <cell r="B3124" t="str">
            <v>WYS1026</v>
          </cell>
        </row>
        <row r="3125">
          <cell r="A3125" t="str">
            <v>WYS1026HS4M</v>
          </cell>
          <cell r="B3125" t="str">
            <v>WYS1026</v>
          </cell>
        </row>
        <row r="3126">
          <cell r="A3126" t="str">
            <v>WYS1026HS5M</v>
          </cell>
          <cell r="B3126" t="str">
            <v>WYS1026</v>
          </cell>
        </row>
        <row r="3127">
          <cell r="A3127" t="str">
            <v>WYS1038HS1M</v>
          </cell>
          <cell r="B3127" t="str">
            <v>WYS1038</v>
          </cell>
        </row>
        <row r="3128">
          <cell r="A3128" t="str">
            <v>WYS1038HS2M</v>
          </cell>
          <cell r="B3128" t="str">
            <v>WYS1038</v>
          </cell>
        </row>
        <row r="3129">
          <cell r="A3129" t="str">
            <v>WYS1038HS3M</v>
          </cell>
          <cell r="B3129" t="str">
            <v>WYS1038</v>
          </cell>
        </row>
        <row r="3130">
          <cell r="A3130" t="str">
            <v>WYS1038HS4M</v>
          </cell>
          <cell r="B3130" t="str">
            <v>WYS1038</v>
          </cell>
        </row>
        <row r="3131">
          <cell r="A3131" t="str">
            <v>WYS1038HS5M</v>
          </cell>
          <cell r="B3131" t="str">
            <v>WYS1038</v>
          </cell>
        </row>
        <row r="3132">
          <cell r="A3132" t="str">
            <v>WYS1091HS1M</v>
          </cell>
          <cell r="B3132" t="str">
            <v>WYS1091</v>
          </cell>
        </row>
        <row r="3133">
          <cell r="A3133" t="str">
            <v>WYS1091HS2M</v>
          </cell>
          <cell r="B3133" t="str">
            <v>WYS1091</v>
          </cell>
        </row>
        <row r="3134">
          <cell r="A3134" t="str">
            <v>WYS1091HS3M</v>
          </cell>
          <cell r="B3134" t="str">
            <v>WYS1091</v>
          </cell>
        </row>
        <row r="3135">
          <cell r="A3135" t="str">
            <v>WYS1091HS4M</v>
          </cell>
          <cell r="B3135" t="str">
            <v>WYS1091</v>
          </cell>
        </row>
        <row r="3136">
          <cell r="A3136" t="str">
            <v>WYS1105HS1M</v>
          </cell>
          <cell r="B3136" t="str">
            <v>WYS1105</v>
          </cell>
        </row>
        <row r="3137">
          <cell r="A3137" t="str">
            <v>WYS1105HS2M</v>
          </cell>
          <cell r="B3137" t="str">
            <v>WYS1105</v>
          </cell>
        </row>
        <row r="3138">
          <cell r="A3138" t="str">
            <v>WYS1105HS3M</v>
          </cell>
          <cell r="B3138" t="str">
            <v>WYS1105</v>
          </cell>
        </row>
        <row r="3139">
          <cell r="A3139" t="str">
            <v>WYS1105HS4M</v>
          </cell>
          <cell r="B3139" t="str">
            <v>WYS1105</v>
          </cell>
        </row>
        <row r="3140">
          <cell r="A3140" t="str">
            <v>WYS1105HS5M</v>
          </cell>
          <cell r="B3140" t="str">
            <v>WYS1105</v>
          </cell>
        </row>
        <row r="3141">
          <cell r="A3141" t="str">
            <v>WYS1106HS1M</v>
          </cell>
          <cell r="B3141" t="str">
            <v>WYS1106</v>
          </cell>
        </row>
        <row r="3142">
          <cell r="A3142" t="str">
            <v>WYS1106HS2M</v>
          </cell>
          <cell r="B3142" t="str">
            <v>WYS1106</v>
          </cell>
        </row>
        <row r="3143">
          <cell r="A3143" t="str">
            <v>WYS1106HS3M</v>
          </cell>
          <cell r="B3143" t="str">
            <v>WYS1106</v>
          </cell>
        </row>
        <row r="3144">
          <cell r="A3144" t="str">
            <v>WYS1106HS4M</v>
          </cell>
          <cell r="B3144" t="str">
            <v>WYS1106</v>
          </cell>
        </row>
        <row r="3145">
          <cell r="A3145" t="str">
            <v>WYS1106HS5M</v>
          </cell>
          <cell r="B3145" t="str">
            <v>WYS1106</v>
          </cell>
        </row>
        <row r="3146">
          <cell r="A3146" t="str">
            <v>WYSHSHS1M</v>
          </cell>
          <cell r="B3146" t="str">
            <v>WYSHS</v>
          </cell>
        </row>
        <row r="3147">
          <cell r="A3147" t="str">
            <v>WYSHSHS2M</v>
          </cell>
          <cell r="B3147" t="str">
            <v>WYSHS</v>
          </cell>
        </row>
        <row r="3148">
          <cell r="A3148" t="str">
            <v>WYSHSHS3M</v>
          </cell>
          <cell r="B3148" t="str">
            <v>WYSHS</v>
          </cell>
        </row>
        <row r="3149">
          <cell r="A3149" t="str">
            <v>WYSHSHS4M</v>
          </cell>
          <cell r="B3149" t="str">
            <v>WYSHS</v>
          </cell>
        </row>
        <row r="3150">
          <cell r="A3150" t="str">
            <v>WYSHSHS5M</v>
          </cell>
          <cell r="B3150" t="str">
            <v>WYSHS</v>
          </cell>
        </row>
        <row r="3151">
          <cell r="A3151" t="str">
            <v>WYSHSHS6M</v>
          </cell>
          <cell r="B3151" t="str">
            <v>WYSHS</v>
          </cell>
        </row>
        <row r="3152">
          <cell r="A3152" t="str">
            <v>WYSHSHS7M</v>
          </cell>
          <cell r="B3152" t="str">
            <v>WYSHS</v>
          </cell>
        </row>
        <row r="3153">
          <cell r="A3153" t="str">
            <v>XGNWK0</v>
          </cell>
          <cell r="B3153" t="str">
            <v>XGNW</v>
          </cell>
        </row>
        <row r="3154">
          <cell r="A3154" t="str">
            <v>XHBTSW0</v>
          </cell>
          <cell r="B3154" t="str">
            <v>XHBTS</v>
          </cell>
        </row>
        <row r="3155">
          <cell r="A3155" t="str">
            <v>XHMZR0</v>
          </cell>
          <cell r="B3155" t="str">
            <v>XHMZ</v>
          </cell>
        </row>
        <row r="3156">
          <cell r="A3156" t="str">
            <v>XJMTSW0</v>
          </cell>
          <cell r="B3156" t="str">
            <v>XJMTS</v>
          </cell>
        </row>
        <row r="3157">
          <cell r="A3157" t="str">
            <v>XNMYGB2XL</v>
          </cell>
          <cell r="B3157" t="str">
            <v>XNMY</v>
          </cell>
        </row>
        <row r="3158">
          <cell r="A3158" t="str">
            <v>XNMYGB3XL</v>
          </cell>
          <cell r="B3158" t="str">
            <v>XNMY</v>
          </cell>
        </row>
        <row r="3159">
          <cell r="A3159" t="str">
            <v>XNMYGB4XL</v>
          </cell>
          <cell r="B3159" t="str">
            <v>XNMY</v>
          </cell>
        </row>
        <row r="3160">
          <cell r="A3160" t="str">
            <v>XNMYGB5XL</v>
          </cell>
          <cell r="B3160" t="str">
            <v>XNMY</v>
          </cell>
        </row>
        <row r="3161">
          <cell r="A3161" t="str">
            <v>XNMYGBL</v>
          </cell>
          <cell r="B3161" t="str">
            <v>XNMY</v>
          </cell>
        </row>
        <row r="3162">
          <cell r="A3162" t="str">
            <v>XNMYGBM</v>
          </cell>
          <cell r="B3162" t="str">
            <v>XNMY</v>
          </cell>
        </row>
        <row r="3163">
          <cell r="A3163" t="str">
            <v>XNMYGBXL</v>
          </cell>
          <cell r="B3163" t="str">
            <v>XNMY</v>
          </cell>
        </row>
        <row r="3164">
          <cell r="A3164" t="str">
            <v>XNMYK02XL</v>
          </cell>
          <cell r="B3164" t="str">
            <v>XNMY</v>
          </cell>
        </row>
        <row r="3165">
          <cell r="A3165" t="str">
            <v>XNMYK03XL</v>
          </cell>
          <cell r="B3165" t="str">
            <v>XNMY</v>
          </cell>
        </row>
        <row r="3166">
          <cell r="A3166" t="str">
            <v>XNMYK04XL</v>
          </cell>
          <cell r="B3166" t="str">
            <v>XNMY</v>
          </cell>
        </row>
        <row r="3167">
          <cell r="A3167" t="str">
            <v>XNMYK05XL</v>
          </cell>
          <cell r="B3167" t="str">
            <v>XNMY</v>
          </cell>
        </row>
        <row r="3168">
          <cell r="A3168" t="str">
            <v>XNMYK0L</v>
          </cell>
          <cell r="B3168" t="str">
            <v>XNMY</v>
          </cell>
        </row>
        <row r="3169">
          <cell r="A3169" t="str">
            <v>XNMYK0M</v>
          </cell>
          <cell r="B3169" t="str">
            <v>XNMY</v>
          </cell>
        </row>
        <row r="3170">
          <cell r="A3170" t="str">
            <v>XNMYK0XL</v>
          </cell>
          <cell r="B3170" t="str">
            <v>XNMY</v>
          </cell>
        </row>
        <row r="3171">
          <cell r="A3171" t="str">
            <v>XNMYTL2XL</v>
          </cell>
          <cell r="B3171" t="str">
            <v>XNMY</v>
          </cell>
        </row>
        <row r="3172">
          <cell r="A3172" t="str">
            <v>XNMYTL3XL</v>
          </cell>
          <cell r="B3172" t="str">
            <v>XNMY</v>
          </cell>
        </row>
        <row r="3173">
          <cell r="A3173" t="str">
            <v>XNMYTL4XL</v>
          </cell>
          <cell r="B3173" t="str">
            <v>XNMY</v>
          </cell>
        </row>
        <row r="3174">
          <cell r="A3174" t="str">
            <v>XNMYTL5XL</v>
          </cell>
          <cell r="B3174" t="str">
            <v>XNMY</v>
          </cell>
        </row>
        <row r="3175">
          <cell r="A3175" t="str">
            <v>XNMYTLL</v>
          </cell>
          <cell r="B3175" t="str">
            <v>XNMY</v>
          </cell>
        </row>
        <row r="3176">
          <cell r="A3176" t="str">
            <v>XNMYTLM</v>
          </cell>
          <cell r="B3176" t="str">
            <v>XNMY</v>
          </cell>
        </row>
        <row r="3177">
          <cell r="A3177" t="str">
            <v>XNMYTLXL</v>
          </cell>
          <cell r="B3177" t="str">
            <v>XNMY</v>
          </cell>
        </row>
        <row r="3178">
          <cell r="A3178" t="str">
            <v>XNMYW02XL</v>
          </cell>
          <cell r="B3178" t="str">
            <v>XNMY</v>
          </cell>
        </row>
        <row r="3179">
          <cell r="A3179" t="str">
            <v>XNMYW03XL</v>
          </cell>
          <cell r="B3179" t="str">
            <v>XNMY</v>
          </cell>
        </row>
        <row r="3180">
          <cell r="A3180" t="str">
            <v>XNMYW04XL</v>
          </cell>
          <cell r="B3180" t="str">
            <v>XNMY</v>
          </cell>
        </row>
        <row r="3181">
          <cell r="A3181" t="str">
            <v>XNMYW05XL</v>
          </cell>
          <cell r="B3181" t="str">
            <v>XNMY</v>
          </cell>
        </row>
        <row r="3182">
          <cell r="A3182" t="str">
            <v>XNMYW0L</v>
          </cell>
          <cell r="B3182" t="str">
            <v>XNMY</v>
          </cell>
        </row>
        <row r="3183">
          <cell r="A3183" t="str">
            <v>XNMYW0M</v>
          </cell>
          <cell r="B3183" t="str">
            <v>XNMY</v>
          </cell>
        </row>
        <row r="3184">
          <cell r="A3184" t="str">
            <v>XNMYW0XL</v>
          </cell>
          <cell r="B3184" t="str">
            <v>XNMY</v>
          </cell>
        </row>
        <row r="3185">
          <cell r="A3185" t="str">
            <v>XNMYZQ2XL</v>
          </cell>
          <cell r="B3185" t="str">
            <v>XNMY</v>
          </cell>
        </row>
        <row r="3186">
          <cell r="A3186" t="str">
            <v>XNMYZQ3XL</v>
          </cell>
          <cell r="B3186" t="str">
            <v>XNMY</v>
          </cell>
        </row>
        <row r="3187">
          <cell r="A3187" t="str">
            <v>XNMYZQ4XL</v>
          </cell>
          <cell r="B3187" t="str">
            <v>XNMY</v>
          </cell>
        </row>
        <row r="3188">
          <cell r="A3188" t="str">
            <v>XNMYZQ5XL</v>
          </cell>
          <cell r="B3188" t="str">
            <v>XNMY</v>
          </cell>
        </row>
        <row r="3189">
          <cell r="A3189" t="str">
            <v>XNMYZQL</v>
          </cell>
          <cell r="B3189" t="str">
            <v>XNMY</v>
          </cell>
        </row>
        <row r="3190">
          <cell r="A3190" t="str">
            <v>XNMYZQM</v>
          </cell>
          <cell r="B3190" t="str">
            <v>XNMY</v>
          </cell>
        </row>
        <row r="3191">
          <cell r="A3191" t="str">
            <v>XNMYZQXL</v>
          </cell>
          <cell r="B3191" t="str">
            <v>XNMY</v>
          </cell>
        </row>
        <row r="3192">
          <cell r="A3192" t="str">
            <v>XNNSW0</v>
          </cell>
          <cell r="B3192" t="str">
            <v>XNNS</v>
          </cell>
        </row>
        <row r="3193">
          <cell r="A3193" t="str">
            <v>XSBXJSL</v>
          </cell>
          <cell r="B3193" t="str">
            <v>XSBX</v>
          </cell>
        </row>
        <row r="3194">
          <cell r="A3194" t="str">
            <v>XSBXJSM</v>
          </cell>
          <cell r="B3194" t="str">
            <v>XSBX</v>
          </cell>
        </row>
        <row r="3195">
          <cell r="A3195" t="str">
            <v>XSBXJSS</v>
          </cell>
          <cell r="B3195" t="str">
            <v>XSBX</v>
          </cell>
        </row>
        <row r="3196">
          <cell r="A3196" t="str">
            <v>XSBXP0L</v>
          </cell>
          <cell r="B3196" t="str">
            <v>XSBX</v>
          </cell>
        </row>
        <row r="3197">
          <cell r="A3197" t="str">
            <v>XSBXP0M</v>
          </cell>
          <cell r="B3197" t="str">
            <v>XSBX</v>
          </cell>
        </row>
        <row r="3198">
          <cell r="A3198" t="str">
            <v>XSBXP0S</v>
          </cell>
          <cell r="B3198" t="str">
            <v>XSBX</v>
          </cell>
        </row>
        <row r="3199">
          <cell r="A3199" t="str">
            <v>XSBXW0L</v>
          </cell>
          <cell r="B3199" t="str">
            <v>XSBX</v>
          </cell>
        </row>
        <row r="3200">
          <cell r="A3200" t="str">
            <v>XSBXW0M</v>
          </cell>
          <cell r="B3200" t="str">
            <v>XSBX</v>
          </cell>
        </row>
        <row r="3201">
          <cell r="A3201" t="str">
            <v>XSBXW0S</v>
          </cell>
          <cell r="B3201" t="str">
            <v>XSBX</v>
          </cell>
        </row>
        <row r="3202">
          <cell r="A3202" t="str">
            <v>XTHOK0A</v>
          </cell>
          <cell r="B3202" t="str">
            <v>XTHO</v>
          </cell>
        </row>
        <row r="3203">
          <cell r="A3203" t="str">
            <v>XTHOK0B</v>
          </cell>
          <cell r="B3203" t="str">
            <v>XTHO</v>
          </cell>
        </row>
        <row r="3204">
          <cell r="A3204" t="str">
            <v>XTHOK0C</v>
          </cell>
          <cell r="B3204" t="str">
            <v>XTHO</v>
          </cell>
        </row>
        <row r="3205">
          <cell r="A3205" t="str">
            <v>XTHOK0D</v>
          </cell>
          <cell r="B3205" t="str">
            <v>XTHO</v>
          </cell>
        </row>
        <row r="3206">
          <cell r="A3206" t="str">
            <v>XTHOXSA</v>
          </cell>
          <cell r="B3206" t="str">
            <v>XTHO</v>
          </cell>
        </row>
        <row r="3207">
          <cell r="A3207" t="str">
            <v>XTHOXSB</v>
          </cell>
          <cell r="B3207" t="str">
            <v>XTHO</v>
          </cell>
        </row>
        <row r="3208">
          <cell r="A3208" t="str">
            <v>XTHOXSC</v>
          </cell>
          <cell r="B3208" t="str">
            <v>XTHO</v>
          </cell>
        </row>
        <row r="3209">
          <cell r="A3209" t="str">
            <v>XTHOXSD</v>
          </cell>
          <cell r="B3209" t="str">
            <v>XTHO</v>
          </cell>
        </row>
        <row r="3210">
          <cell r="A3210" t="str">
            <v>XTHQB0A</v>
          </cell>
          <cell r="B3210" t="str">
            <v>XTHQ</v>
          </cell>
        </row>
        <row r="3211">
          <cell r="A3211" t="str">
            <v>XTHQB0B</v>
          </cell>
          <cell r="B3211" t="str">
            <v>XTHQ</v>
          </cell>
        </row>
        <row r="3212">
          <cell r="A3212" t="str">
            <v>XTHQB0C</v>
          </cell>
          <cell r="B3212" t="str">
            <v>XTHQ</v>
          </cell>
        </row>
        <row r="3213">
          <cell r="A3213" t="str">
            <v>XTHQB0D</v>
          </cell>
          <cell r="B3213" t="str">
            <v>XTHQ</v>
          </cell>
        </row>
        <row r="3214">
          <cell r="A3214" t="str">
            <v>XTHQK0A</v>
          </cell>
          <cell r="B3214" t="str">
            <v>XTHQ</v>
          </cell>
        </row>
        <row r="3215">
          <cell r="A3215" t="str">
            <v>XTHQK0B</v>
          </cell>
          <cell r="B3215" t="str">
            <v>XTHQ</v>
          </cell>
        </row>
        <row r="3216">
          <cell r="A3216" t="str">
            <v>XTHQK0C</v>
          </cell>
          <cell r="B3216" t="str">
            <v>XTHQ</v>
          </cell>
        </row>
        <row r="3217">
          <cell r="A3217" t="str">
            <v>XTHQK0D</v>
          </cell>
          <cell r="B3217" t="str">
            <v>XTHQ</v>
          </cell>
        </row>
        <row r="3218">
          <cell r="A3218" t="str">
            <v>XTHQR5A</v>
          </cell>
          <cell r="B3218" t="str">
            <v>XTHQ</v>
          </cell>
        </row>
        <row r="3219">
          <cell r="A3219" t="str">
            <v>XTHQR5B</v>
          </cell>
          <cell r="B3219" t="str">
            <v>XTHQ</v>
          </cell>
        </row>
        <row r="3220">
          <cell r="A3220" t="str">
            <v>XTHQR5C</v>
          </cell>
          <cell r="B3220" t="str">
            <v>XTHQ</v>
          </cell>
        </row>
        <row r="3221">
          <cell r="A3221" t="str">
            <v>XTHQR5D</v>
          </cell>
          <cell r="B3221" t="str">
            <v>XTHQ</v>
          </cell>
        </row>
        <row r="3222">
          <cell r="A3222" t="str">
            <v>XTHQXSA</v>
          </cell>
          <cell r="B3222" t="str">
            <v>XT-HQ</v>
          </cell>
        </row>
        <row r="3223">
          <cell r="A3223" t="str">
            <v>XTHQXSB</v>
          </cell>
          <cell r="B3223" t="str">
            <v>XTHQ</v>
          </cell>
        </row>
        <row r="3224">
          <cell r="A3224" t="str">
            <v>XTHQXSC</v>
          </cell>
          <cell r="B3224" t="str">
            <v>XTHQ</v>
          </cell>
        </row>
        <row r="3225">
          <cell r="A3225" t="str">
            <v>XT-HQ-XS-C</v>
          </cell>
          <cell r="B3225" t="str">
            <v>XTHQ</v>
          </cell>
        </row>
        <row r="3226">
          <cell r="A3226" t="str">
            <v>XTHQXSD</v>
          </cell>
          <cell r="B3226" t="str">
            <v>XTHQ</v>
          </cell>
        </row>
        <row r="3227">
          <cell r="A3227" t="str">
            <v>XTKNSYK0A</v>
          </cell>
          <cell r="B3227" t="str">
            <v>XTKNSY</v>
          </cell>
        </row>
        <row r="3228">
          <cell r="A3228" t="str">
            <v>XTKNSYK0B</v>
          </cell>
          <cell r="B3228" t="str">
            <v>XTKNSY</v>
          </cell>
        </row>
        <row r="3229">
          <cell r="A3229" t="str">
            <v>XTKNSYK0C</v>
          </cell>
          <cell r="B3229" t="str">
            <v>XTKNSY</v>
          </cell>
        </row>
        <row r="3230">
          <cell r="A3230" t="str">
            <v>XTKNSYK0D</v>
          </cell>
          <cell r="B3230" t="str">
            <v>XTKNSY</v>
          </cell>
        </row>
        <row r="3231">
          <cell r="A3231" t="str">
            <v>XTKNSYMSA</v>
          </cell>
          <cell r="B3231" t="str">
            <v>XTKNSY</v>
          </cell>
        </row>
        <row r="3232">
          <cell r="A3232" t="str">
            <v>XTKNSYMSB</v>
          </cell>
          <cell r="B3232" t="str">
            <v>XTKNSY</v>
          </cell>
        </row>
        <row r="3233">
          <cell r="A3233" t="str">
            <v>XTKNSYMSC</v>
          </cell>
          <cell r="B3233" t="str">
            <v>XTKNSY</v>
          </cell>
        </row>
        <row r="3234">
          <cell r="A3234" t="str">
            <v>XTKNSYMSD</v>
          </cell>
          <cell r="B3234" t="str">
            <v>XTKNSY</v>
          </cell>
        </row>
        <row r="3235">
          <cell r="A3235" t="str">
            <v>XTKNSYR5A</v>
          </cell>
          <cell r="B3235" t="str">
            <v>XTKNSY</v>
          </cell>
        </row>
        <row r="3236">
          <cell r="A3236" t="str">
            <v>XTKNSYR5B</v>
          </cell>
          <cell r="B3236" t="str">
            <v>XTKNSY</v>
          </cell>
        </row>
        <row r="3237">
          <cell r="A3237" t="str">
            <v>XTKNSYR5C</v>
          </cell>
          <cell r="B3237" t="str">
            <v>XTKNSY</v>
          </cell>
        </row>
        <row r="3238">
          <cell r="A3238" t="str">
            <v>XTKNSYR5D</v>
          </cell>
          <cell r="B3238" t="str">
            <v>XTKNSY</v>
          </cell>
        </row>
        <row r="3239">
          <cell r="A3239" t="str">
            <v>XTKNSYSGA</v>
          </cell>
          <cell r="B3239" t="str">
            <v>XTKNSY</v>
          </cell>
        </row>
        <row r="3240">
          <cell r="A3240" t="str">
            <v>XTKNSYSGB</v>
          </cell>
          <cell r="B3240" t="str">
            <v>XTKNSY</v>
          </cell>
        </row>
        <row r="3241">
          <cell r="A3241" t="str">
            <v>XTKNSYSGC</v>
          </cell>
          <cell r="B3241" t="str">
            <v>XTKNSY</v>
          </cell>
        </row>
        <row r="3242">
          <cell r="A3242" t="str">
            <v>XTKNSYSGD</v>
          </cell>
          <cell r="B3242" t="str">
            <v>XTKNSY</v>
          </cell>
        </row>
        <row r="3243">
          <cell r="A3243" t="str">
            <v>XTKNSYY0A</v>
          </cell>
          <cell r="B3243" t="str">
            <v>XTKNSY</v>
          </cell>
        </row>
        <row r="3244">
          <cell r="A3244" t="str">
            <v>XTKNSYY0B</v>
          </cell>
          <cell r="B3244" t="str">
            <v>XTKNSY</v>
          </cell>
        </row>
        <row r="3245">
          <cell r="A3245" t="str">
            <v>XTKNSYY0C</v>
          </cell>
          <cell r="B3245" t="str">
            <v>XTKNSY</v>
          </cell>
        </row>
        <row r="3246">
          <cell r="A3246" t="str">
            <v>XTKNSYY0D</v>
          </cell>
          <cell r="B3246" t="str">
            <v>XTKNSY</v>
          </cell>
        </row>
        <row r="3247">
          <cell r="A3247" t="str">
            <v>XTKNSYYHA</v>
          </cell>
          <cell r="B3247" t="str">
            <v>XTKNSY</v>
          </cell>
        </row>
        <row r="3248">
          <cell r="A3248" t="str">
            <v>XTKNSYYHB</v>
          </cell>
          <cell r="B3248" t="str">
            <v>XTKNSY</v>
          </cell>
        </row>
        <row r="3249">
          <cell r="A3249" t="str">
            <v>XTKNSYYHC</v>
          </cell>
          <cell r="B3249" t="str">
            <v>XTKNSY</v>
          </cell>
        </row>
        <row r="3250">
          <cell r="A3250" t="str">
            <v>XTKNSYYHD</v>
          </cell>
          <cell r="B3250" t="str">
            <v>XTKNSY</v>
          </cell>
        </row>
        <row r="3251">
          <cell r="A3251" t="str">
            <v>XTLAB0A</v>
          </cell>
          <cell r="B3251" t="str">
            <v>XTLA</v>
          </cell>
        </row>
        <row r="3252">
          <cell r="A3252" t="str">
            <v>XTLAB0B</v>
          </cell>
          <cell r="B3252" t="str">
            <v>XTLA</v>
          </cell>
        </row>
        <row r="3253">
          <cell r="A3253" t="str">
            <v>XTLAB0C</v>
          </cell>
          <cell r="B3253" t="str">
            <v>XTLA</v>
          </cell>
        </row>
        <row r="3254">
          <cell r="A3254" t="str">
            <v>XTLAB0D</v>
          </cell>
          <cell r="B3254" t="str">
            <v>XTLA</v>
          </cell>
        </row>
        <row r="3255">
          <cell r="A3255" t="str">
            <v>XTLAK0A</v>
          </cell>
          <cell r="B3255" t="str">
            <v>XTLA</v>
          </cell>
        </row>
        <row r="3256">
          <cell r="A3256" t="str">
            <v>XTLAK0B</v>
          </cell>
          <cell r="B3256" t="str">
            <v>XTLA</v>
          </cell>
        </row>
        <row r="3257">
          <cell r="A3257" t="str">
            <v>XTLAK0C</v>
          </cell>
          <cell r="B3257" t="str">
            <v>XTLA</v>
          </cell>
        </row>
        <row r="3258">
          <cell r="A3258" t="str">
            <v>XTLAK0D</v>
          </cell>
          <cell r="B3258" t="str">
            <v>XTLA</v>
          </cell>
        </row>
        <row r="3259">
          <cell r="A3259" t="str">
            <v>XTLAR5A</v>
          </cell>
          <cell r="B3259" t="str">
            <v>XTLA</v>
          </cell>
        </row>
        <row r="3260">
          <cell r="A3260" t="str">
            <v>XTLAR5B</v>
          </cell>
          <cell r="B3260" t="str">
            <v>XTLA</v>
          </cell>
        </row>
        <row r="3261">
          <cell r="A3261" t="str">
            <v>XTLAR5C</v>
          </cell>
          <cell r="B3261" t="str">
            <v>XTLA</v>
          </cell>
        </row>
        <row r="3262">
          <cell r="A3262" t="str">
            <v>XTLAR5D</v>
          </cell>
          <cell r="B3262" t="str">
            <v>XTLA</v>
          </cell>
        </row>
        <row r="3263">
          <cell r="A3263" t="str">
            <v>XTLAXSA</v>
          </cell>
          <cell r="B3263" t="str">
            <v>XT-LA</v>
          </cell>
        </row>
        <row r="3264">
          <cell r="A3264" t="str">
            <v>XTLAXSB</v>
          </cell>
          <cell r="B3264" t="str">
            <v>XTLA</v>
          </cell>
        </row>
        <row r="3265">
          <cell r="A3265" t="str">
            <v>XTLAXSC</v>
          </cell>
          <cell r="B3265" t="str">
            <v>XTLA</v>
          </cell>
        </row>
        <row r="3266">
          <cell r="A3266" t="str">
            <v>XT-LA-XS-C</v>
          </cell>
          <cell r="B3266" t="str">
            <v>XTLA</v>
          </cell>
        </row>
        <row r="3267">
          <cell r="A3267" t="str">
            <v>XTLAXSD</v>
          </cell>
          <cell r="B3267" t="str">
            <v>XTLA</v>
          </cell>
        </row>
        <row r="3268">
          <cell r="A3268" t="str">
            <v>XTSSK0A</v>
          </cell>
          <cell r="B3268" t="str">
            <v>XTSS</v>
          </cell>
        </row>
        <row r="3269">
          <cell r="A3269" t="str">
            <v>XTSSK0B</v>
          </cell>
          <cell r="B3269" t="str">
            <v>XTSS</v>
          </cell>
        </row>
        <row r="3270">
          <cell r="A3270" t="str">
            <v>XTSSK0C</v>
          </cell>
          <cell r="B3270" t="str">
            <v>XTSS</v>
          </cell>
        </row>
        <row r="3271">
          <cell r="A3271" t="str">
            <v>XTSSK0D</v>
          </cell>
          <cell r="B3271" t="str">
            <v>XTSS</v>
          </cell>
        </row>
        <row r="3272">
          <cell r="A3272" t="str">
            <v>XTSSK0E</v>
          </cell>
          <cell r="B3272" t="str">
            <v>XTSS</v>
          </cell>
        </row>
        <row r="3273">
          <cell r="A3273" t="str">
            <v>XTSSK0F</v>
          </cell>
          <cell r="B3273" t="str">
            <v>XTSS</v>
          </cell>
        </row>
        <row r="3274">
          <cell r="A3274" t="str">
            <v>XTSSXSA</v>
          </cell>
          <cell r="B3274" t="str">
            <v>XTSS</v>
          </cell>
        </row>
        <row r="3275">
          <cell r="A3275" t="str">
            <v>XTSSXSB</v>
          </cell>
          <cell r="B3275" t="str">
            <v>XTSS</v>
          </cell>
        </row>
        <row r="3276">
          <cell r="A3276" t="str">
            <v>XTSSXSC</v>
          </cell>
          <cell r="B3276" t="str">
            <v>XTSS</v>
          </cell>
        </row>
        <row r="3277">
          <cell r="A3277" t="str">
            <v>XTSSXSD</v>
          </cell>
          <cell r="B3277" t="str">
            <v>XTSS</v>
          </cell>
        </row>
        <row r="3278">
          <cell r="A3278" t="str">
            <v>XTSSXSE</v>
          </cell>
          <cell r="B3278" t="str">
            <v>XTSS</v>
          </cell>
        </row>
        <row r="3279">
          <cell r="A3279" t="str">
            <v>XTSSXSF</v>
          </cell>
          <cell r="B3279" t="str">
            <v>XTSS</v>
          </cell>
        </row>
        <row r="3280">
          <cell r="A3280" t="str">
            <v>XXBFK0</v>
          </cell>
          <cell r="B3280" t="str">
            <v>XXBF</v>
          </cell>
        </row>
        <row r="3281">
          <cell r="A3281" t="str">
            <v>XXGNWK0L</v>
          </cell>
          <cell r="B3281" t="str">
            <v>XXGNW</v>
          </cell>
        </row>
        <row r="3282">
          <cell r="A3282" t="str">
            <v>XXGNWK0M</v>
          </cell>
          <cell r="B3282" t="str">
            <v>XXGNW</v>
          </cell>
        </row>
        <row r="3283">
          <cell r="A3283" t="str">
            <v>XYBXBAF008W0L</v>
          </cell>
          <cell r="B3283" t="str">
            <v>XYBX</v>
          </cell>
        </row>
        <row r="3284">
          <cell r="A3284" t="str">
            <v>XYBXBAF008W0XL</v>
          </cell>
          <cell r="B3284" t="str">
            <v>XYBX</v>
          </cell>
        </row>
        <row r="3285">
          <cell r="A3285" t="str">
            <v>XZKFK02XL</v>
          </cell>
          <cell r="B3285" t="str">
            <v>XZKF</v>
          </cell>
        </row>
        <row r="3286">
          <cell r="A3286" t="str">
            <v>XZKFK03XL</v>
          </cell>
          <cell r="B3286" t="str">
            <v>XZKF</v>
          </cell>
        </row>
        <row r="3287">
          <cell r="A3287" t="str">
            <v>XZKFK04XL</v>
          </cell>
          <cell r="B3287" t="str">
            <v>XZKF</v>
          </cell>
        </row>
        <row r="3288">
          <cell r="A3288" t="str">
            <v>XZKFK0L</v>
          </cell>
          <cell r="B3288" t="str">
            <v>XZKF</v>
          </cell>
        </row>
        <row r="3289">
          <cell r="A3289" t="str">
            <v>XZKFK0M</v>
          </cell>
          <cell r="B3289" t="str">
            <v>XZKF</v>
          </cell>
        </row>
        <row r="3290">
          <cell r="A3290" t="str">
            <v>XZKFK0XL</v>
          </cell>
          <cell r="B3290" t="str">
            <v>XZKF</v>
          </cell>
        </row>
        <row r="3291">
          <cell r="A3291" t="str">
            <v>XZKFKQS2XL</v>
          </cell>
          <cell r="B3291" t="str">
            <v>XZKF</v>
          </cell>
        </row>
        <row r="3292">
          <cell r="A3292" t="str">
            <v>XZKFKQS3XL</v>
          </cell>
          <cell r="B3292" t="str">
            <v>XZKF</v>
          </cell>
        </row>
        <row r="3293">
          <cell r="A3293" t="str">
            <v>XZKFKQS4XL</v>
          </cell>
          <cell r="B3293" t="str">
            <v>XZKF</v>
          </cell>
        </row>
        <row r="3294">
          <cell r="A3294" t="str">
            <v>XZKFKQSL</v>
          </cell>
          <cell r="B3294" t="str">
            <v>XZKF</v>
          </cell>
        </row>
        <row r="3295">
          <cell r="A3295" t="str">
            <v>XZKFKQSM</v>
          </cell>
          <cell r="B3295" t="str">
            <v>XZKF</v>
          </cell>
        </row>
        <row r="3296">
          <cell r="A3296" t="str">
            <v>XZKFKQSXL</v>
          </cell>
          <cell r="B3296" t="str">
            <v>XZKF</v>
          </cell>
        </row>
        <row r="3297">
          <cell r="A3297" t="str">
            <v>XZKFR02XL</v>
          </cell>
          <cell r="B3297" t="str">
            <v>XZKF</v>
          </cell>
        </row>
        <row r="3298">
          <cell r="A3298" t="str">
            <v>XZKFR03XL</v>
          </cell>
          <cell r="B3298" t="str">
            <v>XZKF</v>
          </cell>
        </row>
        <row r="3299">
          <cell r="A3299" t="str">
            <v>XZKFR04XL</v>
          </cell>
          <cell r="B3299" t="str">
            <v>XZKF</v>
          </cell>
        </row>
        <row r="3300">
          <cell r="A3300" t="str">
            <v>XZKFR0L</v>
          </cell>
          <cell r="B3300" t="str">
            <v>XZKF</v>
          </cell>
        </row>
        <row r="3301">
          <cell r="A3301" t="str">
            <v>XZKFR0M</v>
          </cell>
          <cell r="B3301" t="str">
            <v>XZKF</v>
          </cell>
        </row>
        <row r="3302">
          <cell r="A3302" t="str">
            <v>XZKFR0XL</v>
          </cell>
          <cell r="B3302" t="str">
            <v>XZKF</v>
          </cell>
        </row>
        <row r="3303">
          <cell r="A3303" t="str">
            <v>XZKFRY2XL</v>
          </cell>
          <cell r="B3303" t="str">
            <v>XZKF</v>
          </cell>
        </row>
        <row r="3304">
          <cell r="A3304" t="str">
            <v>XZKFRY3XL</v>
          </cell>
          <cell r="B3304" t="str">
            <v>XZKF</v>
          </cell>
        </row>
        <row r="3305">
          <cell r="A3305" t="str">
            <v>XZKFRY4XL</v>
          </cell>
          <cell r="B3305" t="str">
            <v>XZKF</v>
          </cell>
        </row>
        <row r="3306">
          <cell r="A3306" t="str">
            <v>XZKFRYL</v>
          </cell>
          <cell r="B3306" t="str">
            <v>XZKF</v>
          </cell>
        </row>
        <row r="3307">
          <cell r="A3307" t="str">
            <v>XZKFRYM</v>
          </cell>
          <cell r="B3307" t="str">
            <v>XZKF</v>
          </cell>
        </row>
        <row r="3308">
          <cell r="A3308" t="str">
            <v>XZKFRYXL</v>
          </cell>
          <cell r="B3308" t="str">
            <v>XZKF</v>
          </cell>
        </row>
        <row r="3309">
          <cell r="A3309" t="str">
            <v>XZKFSL2XL</v>
          </cell>
          <cell r="B3309" t="str">
            <v>XZKF</v>
          </cell>
        </row>
        <row r="3310">
          <cell r="A3310" t="str">
            <v>XZKFSL3XL</v>
          </cell>
          <cell r="B3310" t="str">
            <v>XZKF</v>
          </cell>
        </row>
        <row r="3311">
          <cell r="A3311" t="str">
            <v>XZKFSL4XL</v>
          </cell>
          <cell r="B3311" t="str">
            <v>XZKF</v>
          </cell>
        </row>
        <row r="3312">
          <cell r="A3312" t="str">
            <v>XZKFSLL</v>
          </cell>
          <cell r="B3312" t="str">
            <v>XZKF</v>
          </cell>
        </row>
        <row r="3313">
          <cell r="A3313" t="str">
            <v>XZKFSLM</v>
          </cell>
          <cell r="B3313" t="str">
            <v>XZKF</v>
          </cell>
        </row>
        <row r="3314">
          <cell r="A3314" t="str">
            <v>XZKFSLXL</v>
          </cell>
          <cell r="B3314" t="str">
            <v>XZKF</v>
          </cell>
        </row>
        <row r="3315">
          <cell r="A3315" t="str">
            <v>XZKFTL2XL</v>
          </cell>
          <cell r="B3315" t="str">
            <v>XZKF</v>
          </cell>
        </row>
        <row r="3316">
          <cell r="A3316" t="str">
            <v>XZKFTL3XL</v>
          </cell>
          <cell r="B3316" t="str">
            <v>XZKF</v>
          </cell>
        </row>
        <row r="3317">
          <cell r="A3317" t="str">
            <v>XZKFTL4XL</v>
          </cell>
          <cell r="B3317" t="str">
            <v>XZKF</v>
          </cell>
        </row>
        <row r="3318">
          <cell r="A3318" t="str">
            <v>XZKFTLL</v>
          </cell>
          <cell r="B3318" t="str">
            <v>XZKF</v>
          </cell>
        </row>
        <row r="3319">
          <cell r="A3319" t="str">
            <v>XZKFTLM</v>
          </cell>
          <cell r="B3319" t="str">
            <v>XZKF</v>
          </cell>
        </row>
        <row r="3320">
          <cell r="A3320" t="str">
            <v>XZKFTLXL</v>
          </cell>
          <cell r="B3320" t="str">
            <v>XZKF</v>
          </cell>
        </row>
        <row r="3321">
          <cell r="A3321" t="str">
            <v>XZKFW02XL</v>
          </cell>
          <cell r="B3321" t="str">
            <v>XZKF</v>
          </cell>
        </row>
        <row r="3322">
          <cell r="A3322" t="str">
            <v>XZKFW03XL</v>
          </cell>
          <cell r="B3322" t="str">
            <v>XZKF</v>
          </cell>
        </row>
        <row r="3323">
          <cell r="A3323" t="str">
            <v>XZKFW04XL</v>
          </cell>
          <cell r="B3323" t="str">
            <v>XZKF</v>
          </cell>
        </row>
        <row r="3324">
          <cell r="A3324" t="str">
            <v>XZKFW0L</v>
          </cell>
          <cell r="B3324" t="str">
            <v>XZKF</v>
          </cell>
        </row>
        <row r="3325">
          <cell r="A3325" t="str">
            <v>XZKFW0M</v>
          </cell>
          <cell r="B3325" t="str">
            <v>XZKF</v>
          </cell>
        </row>
        <row r="3326">
          <cell r="A3326" t="str">
            <v>XZKFW0XL</v>
          </cell>
          <cell r="B3326" t="str">
            <v>XZKF</v>
          </cell>
        </row>
        <row r="3327">
          <cell r="A3327" t="str">
            <v>YHXLMYG0</v>
          </cell>
          <cell r="B3327" t="str">
            <v>YHXLMY</v>
          </cell>
        </row>
        <row r="3328">
          <cell r="A3328" t="str">
            <v>YJBXHS10L</v>
          </cell>
          <cell r="B3328" t="str">
            <v>YJBX</v>
          </cell>
        </row>
        <row r="3329">
          <cell r="A3329" t="str">
            <v>YJBXHS10M</v>
          </cell>
          <cell r="B3329" t="str">
            <v>YJBX</v>
          </cell>
        </row>
        <row r="3330">
          <cell r="A3330" t="str">
            <v>YJBXHS10S</v>
          </cell>
          <cell r="B3330" t="str">
            <v>YJBX</v>
          </cell>
        </row>
        <row r="3331">
          <cell r="A3331" t="str">
            <v>YJBXHS10XL</v>
          </cell>
          <cell r="B3331" t="str">
            <v>YJBX</v>
          </cell>
        </row>
        <row r="3332">
          <cell r="A3332" t="str">
            <v>YJBXHS11L</v>
          </cell>
          <cell r="B3332" t="str">
            <v>YJBX</v>
          </cell>
        </row>
        <row r="3333">
          <cell r="A3333" t="str">
            <v>YJBXHS11M</v>
          </cell>
          <cell r="B3333" t="str">
            <v>YJBX</v>
          </cell>
        </row>
        <row r="3334">
          <cell r="A3334" t="str">
            <v>YJBXHS11S</v>
          </cell>
          <cell r="B3334" t="str">
            <v>YJBX</v>
          </cell>
        </row>
        <row r="3335">
          <cell r="A3335" t="str">
            <v>YJBXHS11XL</v>
          </cell>
          <cell r="B3335" t="str">
            <v>YJBX</v>
          </cell>
        </row>
        <row r="3336">
          <cell r="A3336" t="str">
            <v>YJBXHS12L</v>
          </cell>
          <cell r="B3336" t="str">
            <v>YJBX</v>
          </cell>
        </row>
        <row r="3337">
          <cell r="A3337" t="str">
            <v>YJBXHS12M</v>
          </cell>
          <cell r="B3337" t="str">
            <v>YJBX</v>
          </cell>
        </row>
        <row r="3338">
          <cell r="A3338" t="str">
            <v>YJBXHS12S</v>
          </cell>
          <cell r="B3338" t="str">
            <v>YJBX</v>
          </cell>
        </row>
        <row r="3339">
          <cell r="A3339" t="str">
            <v>YJBXHS12XL</v>
          </cell>
          <cell r="B3339" t="str">
            <v>YJBX</v>
          </cell>
        </row>
        <row r="3340">
          <cell r="A3340" t="str">
            <v>YJBXHS13L</v>
          </cell>
          <cell r="B3340" t="str">
            <v>YJBX</v>
          </cell>
        </row>
        <row r="3341">
          <cell r="A3341" t="str">
            <v>YJBXHS13M</v>
          </cell>
          <cell r="B3341" t="str">
            <v>YJBX</v>
          </cell>
        </row>
        <row r="3342">
          <cell r="A3342" t="str">
            <v>YJBXHS13S</v>
          </cell>
          <cell r="B3342" t="str">
            <v>YJBX</v>
          </cell>
        </row>
        <row r="3343">
          <cell r="A3343" t="str">
            <v>YJBXHS13XL</v>
          </cell>
          <cell r="B3343" t="str">
            <v>YJBX</v>
          </cell>
        </row>
        <row r="3344">
          <cell r="A3344" t="str">
            <v>YJBXHS14L</v>
          </cell>
          <cell r="B3344" t="str">
            <v>YJBX</v>
          </cell>
        </row>
        <row r="3345">
          <cell r="A3345" t="str">
            <v>YJBXHS14M</v>
          </cell>
          <cell r="B3345" t="str">
            <v>YJBX</v>
          </cell>
        </row>
        <row r="3346">
          <cell r="A3346" t="str">
            <v>YJBXHS14S</v>
          </cell>
          <cell r="B3346" t="str">
            <v>YJBX</v>
          </cell>
        </row>
        <row r="3347">
          <cell r="A3347" t="str">
            <v>YJBXHS14XL</v>
          </cell>
          <cell r="B3347" t="str">
            <v>YJBX</v>
          </cell>
        </row>
        <row r="3348">
          <cell r="A3348" t="str">
            <v>YJBXHS15L</v>
          </cell>
          <cell r="B3348" t="str">
            <v>YJBX</v>
          </cell>
        </row>
        <row r="3349">
          <cell r="A3349" t="str">
            <v>YJBXHS15M</v>
          </cell>
          <cell r="B3349" t="str">
            <v>YJBX</v>
          </cell>
        </row>
        <row r="3350">
          <cell r="A3350" t="str">
            <v>YJBXHS15S</v>
          </cell>
          <cell r="B3350" t="str">
            <v>YJBX</v>
          </cell>
        </row>
        <row r="3351">
          <cell r="A3351" t="str">
            <v>YJBXHS15XL</v>
          </cell>
          <cell r="B3351" t="str">
            <v>YJBX</v>
          </cell>
        </row>
        <row r="3352">
          <cell r="A3352" t="str">
            <v>YJBXHS1L</v>
          </cell>
          <cell r="B3352" t="str">
            <v>YJBX</v>
          </cell>
        </row>
        <row r="3353">
          <cell r="A3353" t="str">
            <v>YJBXHS1M</v>
          </cell>
          <cell r="B3353" t="str">
            <v>YJBX</v>
          </cell>
        </row>
        <row r="3354">
          <cell r="A3354" t="str">
            <v>YJBXHS1S</v>
          </cell>
          <cell r="B3354" t="str">
            <v>YJBX</v>
          </cell>
        </row>
        <row r="3355">
          <cell r="A3355" t="str">
            <v>YJBXHS1XL</v>
          </cell>
          <cell r="B3355" t="str">
            <v>YJBX</v>
          </cell>
        </row>
        <row r="3356">
          <cell r="A3356" t="str">
            <v>YJBXHS2L</v>
          </cell>
          <cell r="B3356" t="str">
            <v>YJBX</v>
          </cell>
        </row>
        <row r="3357">
          <cell r="A3357" t="str">
            <v>YJBXHS2M</v>
          </cell>
          <cell r="B3357" t="str">
            <v>YJBX</v>
          </cell>
        </row>
        <row r="3358">
          <cell r="A3358" t="str">
            <v>YJBXHS2S</v>
          </cell>
          <cell r="B3358" t="str">
            <v>YJBX</v>
          </cell>
        </row>
        <row r="3359">
          <cell r="A3359" t="str">
            <v>YJBXHS2XL</v>
          </cell>
          <cell r="B3359" t="str">
            <v>YJBX</v>
          </cell>
        </row>
        <row r="3360">
          <cell r="A3360" t="str">
            <v>YJBXHS3L</v>
          </cell>
          <cell r="B3360" t="str">
            <v>YJBX</v>
          </cell>
        </row>
        <row r="3361">
          <cell r="A3361" t="str">
            <v>YJBXHS3M</v>
          </cell>
          <cell r="B3361" t="str">
            <v>YJBX</v>
          </cell>
        </row>
        <row r="3362">
          <cell r="A3362" t="str">
            <v>YJBXHS3S</v>
          </cell>
          <cell r="B3362" t="str">
            <v>YJBX</v>
          </cell>
        </row>
        <row r="3363">
          <cell r="A3363" t="str">
            <v>YJBXHS3XL</v>
          </cell>
          <cell r="B3363" t="str">
            <v>YJBX</v>
          </cell>
        </row>
        <row r="3364">
          <cell r="A3364" t="str">
            <v>YJBXHS4L</v>
          </cell>
          <cell r="B3364" t="str">
            <v>YJBX</v>
          </cell>
        </row>
        <row r="3365">
          <cell r="A3365" t="str">
            <v>YJBXHS4M</v>
          </cell>
          <cell r="B3365" t="str">
            <v>YJBX</v>
          </cell>
        </row>
        <row r="3366">
          <cell r="A3366" t="str">
            <v>YJBXHS4S</v>
          </cell>
          <cell r="B3366" t="str">
            <v>YJBX</v>
          </cell>
        </row>
        <row r="3367">
          <cell r="A3367" t="str">
            <v>YJBXHS4XL</v>
          </cell>
          <cell r="B3367" t="str">
            <v>YJBX</v>
          </cell>
        </row>
        <row r="3368">
          <cell r="A3368" t="str">
            <v>YJBXHS5L</v>
          </cell>
          <cell r="B3368" t="str">
            <v>YJBX</v>
          </cell>
        </row>
        <row r="3369">
          <cell r="A3369" t="str">
            <v>YJBXHS5M</v>
          </cell>
          <cell r="B3369" t="str">
            <v>YJBX</v>
          </cell>
        </row>
        <row r="3370">
          <cell r="A3370" t="str">
            <v>YJBXHS5S</v>
          </cell>
          <cell r="B3370" t="str">
            <v>YJBX</v>
          </cell>
        </row>
        <row r="3371">
          <cell r="A3371" t="str">
            <v>YJBXHS5XL</v>
          </cell>
          <cell r="B3371" t="str">
            <v>YJBX</v>
          </cell>
        </row>
        <row r="3372">
          <cell r="A3372" t="str">
            <v>YJBXHS6L</v>
          </cell>
          <cell r="B3372" t="str">
            <v>YJBX</v>
          </cell>
        </row>
        <row r="3373">
          <cell r="A3373" t="str">
            <v>YJBXHS6M</v>
          </cell>
          <cell r="B3373" t="str">
            <v>YJBX</v>
          </cell>
        </row>
        <row r="3374">
          <cell r="A3374" t="str">
            <v>YJBXHS6S</v>
          </cell>
          <cell r="B3374" t="str">
            <v>YJBX</v>
          </cell>
        </row>
        <row r="3375">
          <cell r="A3375" t="str">
            <v>YJBXHS6XL</v>
          </cell>
          <cell r="B3375" t="str">
            <v>YJBX</v>
          </cell>
        </row>
        <row r="3376">
          <cell r="A3376" t="str">
            <v>YJBXHS7L</v>
          </cell>
          <cell r="B3376" t="str">
            <v>YJBX</v>
          </cell>
        </row>
        <row r="3377">
          <cell r="A3377" t="str">
            <v>YJBXHS7M</v>
          </cell>
          <cell r="B3377" t="str">
            <v>YJBX</v>
          </cell>
        </row>
        <row r="3378">
          <cell r="A3378" t="str">
            <v>YJBXHS7S</v>
          </cell>
          <cell r="B3378" t="str">
            <v>YJBX</v>
          </cell>
        </row>
        <row r="3379">
          <cell r="A3379" t="str">
            <v>YJBXHS7XL</v>
          </cell>
          <cell r="B3379" t="str">
            <v>YJBX</v>
          </cell>
        </row>
        <row r="3380">
          <cell r="A3380" t="str">
            <v>YJBXHS8L</v>
          </cell>
          <cell r="B3380" t="str">
            <v>YJBX</v>
          </cell>
        </row>
        <row r="3381">
          <cell r="A3381" t="str">
            <v>YJBXHS8M</v>
          </cell>
          <cell r="B3381" t="str">
            <v>YJBX</v>
          </cell>
        </row>
        <row r="3382">
          <cell r="A3382" t="str">
            <v>YJBXHS8S</v>
          </cell>
          <cell r="B3382" t="str">
            <v>YJBX</v>
          </cell>
        </row>
        <row r="3383">
          <cell r="A3383" t="str">
            <v>YJBXHS8XL</v>
          </cell>
          <cell r="B3383" t="str">
            <v>YJBX</v>
          </cell>
        </row>
        <row r="3384">
          <cell r="A3384" t="str">
            <v>YJBXHS9L</v>
          </cell>
          <cell r="B3384" t="str">
            <v>YJBX</v>
          </cell>
        </row>
        <row r="3385">
          <cell r="A3385" t="str">
            <v>YJBXHS9M</v>
          </cell>
          <cell r="B3385" t="str">
            <v>YJBX</v>
          </cell>
        </row>
        <row r="3386">
          <cell r="A3386" t="str">
            <v>YJBXHS9S</v>
          </cell>
          <cell r="B3386" t="str">
            <v>YJBX</v>
          </cell>
        </row>
        <row r="3387">
          <cell r="A3387" t="str">
            <v>YJBXHS9XL</v>
          </cell>
          <cell r="B3387" t="str">
            <v>YJBX</v>
          </cell>
        </row>
        <row r="3388">
          <cell r="A3388" t="str">
            <v>YJYHKHS10L</v>
          </cell>
          <cell r="B3388" t="str">
            <v>YJYHK</v>
          </cell>
        </row>
        <row r="3389">
          <cell r="A3389" t="str">
            <v>YJYHKHS10M</v>
          </cell>
          <cell r="B3389" t="str">
            <v>YJYHK</v>
          </cell>
        </row>
        <row r="3390">
          <cell r="A3390" t="str">
            <v>YJYHKHS10S</v>
          </cell>
          <cell r="B3390" t="str">
            <v>YJYHK</v>
          </cell>
        </row>
        <row r="3391">
          <cell r="A3391" t="str">
            <v>YJYHKHS10XL</v>
          </cell>
          <cell r="B3391" t="str">
            <v>YJYHK</v>
          </cell>
        </row>
        <row r="3392">
          <cell r="A3392" t="str">
            <v>YJYHKHS11L</v>
          </cell>
          <cell r="B3392" t="str">
            <v>YJYHK</v>
          </cell>
        </row>
        <row r="3393">
          <cell r="A3393" t="str">
            <v>YJYHKHS11M</v>
          </cell>
          <cell r="B3393" t="str">
            <v>YJYHK</v>
          </cell>
        </row>
        <row r="3394">
          <cell r="A3394" t="str">
            <v>YJYHKHS11S</v>
          </cell>
          <cell r="B3394" t="str">
            <v>YJYHK</v>
          </cell>
        </row>
        <row r="3395">
          <cell r="A3395" t="str">
            <v>YJYHKHS11XL</v>
          </cell>
          <cell r="B3395" t="str">
            <v>YJYHK</v>
          </cell>
        </row>
        <row r="3396">
          <cell r="A3396" t="str">
            <v>YJYHKHS12L</v>
          </cell>
          <cell r="B3396" t="str">
            <v>YJYHK</v>
          </cell>
        </row>
        <row r="3397">
          <cell r="A3397" t="str">
            <v>YJYHKHS12M</v>
          </cell>
          <cell r="B3397" t="str">
            <v>YJYHK</v>
          </cell>
        </row>
        <row r="3398">
          <cell r="A3398" t="str">
            <v>YJYHKHS12S</v>
          </cell>
          <cell r="B3398" t="str">
            <v>YJYHK</v>
          </cell>
        </row>
        <row r="3399">
          <cell r="A3399" t="str">
            <v>YJYHKHS12XL</v>
          </cell>
          <cell r="B3399" t="str">
            <v>YJYHK</v>
          </cell>
        </row>
        <row r="3400">
          <cell r="A3400" t="str">
            <v>YJYHKHS13L</v>
          </cell>
          <cell r="B3400" t="str">
            <v>YJYHK</v>
          </cell>
        </row>
        <row r="3401">
          <cell r="A3401" t="str">
            <v>YJYHKHS13M</v>
          </cell>
          <cell r="B3401" t="str">
            <v>YJYHK</v>
          </cell>
        </row>
        <row r="3402">
          <cell r="A3402" t="str">
            <v>YJYHKHS13S</v>
          </cell>
          <cell r="B3402" t="str">
            <v>YJYHK</v>
          </cell>
        </row>
        <row r="3403">
          <cell r="A3403" t="str">
            <v>YJYHKHS13XL</v>
          </cell>
          <cell r="B3403" t="str">
            <v>YJYHK</v>
          </cell>
        </row>
        <row r="3404">
          <cell r="A3404" t="str">
            <v>YJYHKHS14L</v>
          </cell>
          <cell r="B3404" t="str">
            <v>YJYHK</v>
          </cell>
        </row>
        <row r="3405">
          <cell r="A3405" t="str">
            <v>YJYHKHS14M</v>
          </cell>
          <cell r="B3405" t="str">
            <v>YJYHK</v>
          </cell>
        </row>
        <row r="3406">
          <cell r="A3406" t="str">
            <v>YJYHKHS14S</v>
          </cell>
          <cell r="B3406" t="str">
            <v>YJYHK</v>
          </cell>
        </row>
        <row r="3407">
          <cell r="A3407" t="str">
            <v>YJYHKHS14XL</v>
          </cell>
          <cell r="B3407" t="str">
            <v>YJYHK</v>
          </cell>
        </row>
        <row r="3408">
          <cell r="A3408" t="str">
            <v>YJYHKHS15L</v>
          </cell>
          <cell r="B3408" t="str">
            <v>YJYHK</v>
          </cell>
        </row>
        <row r="3409">
          <cell r="A3409" t="str">
            <v>YJYHKHS15M</v>
          </cell>
          <cell r="B3409" t="str">
            <v>YJYHK</v>
          </cell>
        </row>
        <row r="3410">
          <cell r="A3410" t="str">
            <v>YJYHKHS15S</v>
          </cell>
          <cell r="B3410" t="str">
            <v>YJYHK</v>
          </cell>
        </row>
        <row r="3411">
          <cell r="A3411" t="str">
            <v>YJYHKHS15XL</v>
          </cell>
          <cell r="B3411" t="str">
            <v>YJYHK</v>
          </cell>
        </row>
        <row r="3412">
          <cell r="A3412" t="str">
            <v>YJYHKHS16L</v>
          </cell>
          <cell r="B3412" t="str">
            <v>YJYHK</v>
          </cell>
        </row>
        <row r="3413">
          <cell r="A3413" t="str">
            <v>YJYHKHS16M</v>
          </cell>
          <cell r="B3413" t="str">
            <v>YJYHK</v>
          </cell>
        </row>
        <row r="3414">
          <cell r="A3414" t="str">
            <v>YJYHKHS16S</v>
          </cell>
          <cell r="B3414" t="str">
            <v>YJYHK</v>
          </cell>
        </row>
        <row r="3415">
          <cell r="A3415" t="str">
            <v>YJYHKHS16XL</v>
          </cell>
          <cell r="B3415" t="str">
            <v>YJYHK</v>
          </cell>
        </row>
        <row r="3416">
          <cell r="A3416" t="str">
            <v>YJYHKHS17L</v>
          </cell>
          <cell r="B3416" t="str">
            <v>YJYHK</v>
          </cell>
        </row>
        <row r="3417">
          <cell r="A3417" t="str">
            <v>YJYHKHS17M</v>
          </cell>
          <cell r="B3417" t="str">
            <v>YJYHK</v>
          </cell>
        </row>
        <row r="3418">
          <cell r="A3418" t="str">
            <v>YJYHKHS17S</v>
          </cell>
          <cell r="B3418" t="str">
            <v>YJYHK</v>
          </cell>
        </row>
        <row r="3419">
          <cell r="A3419" t="str">
            <v>YJYHKHS17XL</v>
          </cell>
          <cell r="B3419" t="str">
            <v>YJYHK</v>
          </cell>
        </row>
        <row r="3420">
          <cell r="A3420" t="str">
            <v>YJYHKHS18L</v>
          </cell>
          <cell r="B3420" t="str">
            <v>YJYHK</v>
          </cell>
        </row>
        <row r="3421">
          <cell r="A3421" t="str">
            <v>YJYHKHS18M</v>
          </cell>
          <cell r="B3421" t="str">
            <v>YJYHK</v>
          </cell>
        </row>
        <row r="3422">
          <cell r="A3422" t="str">
            <v>YJYHKHS18S</v>
          </cell>
          <cell r="B3422" t="str">
            <v>YJYHK</v>
          </cell>
        </row>
        <row r="3423">
          <cell r="A3423" t="str">
            <v>YJYHKHS18XL</v>
          </cell>
          <cell r="B3423" t="str">
            <v>YJYHK</v>
          </cell>
        </row>
        <row r="3424">
          <cell r="A3424" t="str">
            <v>YJYHKHS19L</v>
          </cell>
          <cell r="B3424" t="str">
            <v>YJYHK</v>
          </cell>
        </row>
        <row r="3425">
          <cell r="A3425" t="str">
            <v>YJYHKHS19M</v>
          </cell>
          <cell r="B3425" t="str">
            <v>YJYHK</v>
          </cell>
        </row>
        <row r="3426">
          <cell r="A3426" t="str">
            <v>YJYHKHS19S</v>
          </cell>
          <cell r="B3426" t="str">
            <v>YJYHK</v>
          </cell>
        </row>
        <row r="3427">
          <cell r="A3427" t="str">
            <v>YJYHKHS19XL</v>
          </cell>
          <cell r="B3427" t="str">
            <v>YJYHK</v>
          </cell>
        </row>
        <row r="3428">
          <cell r="A3428" t="str">
            <v>YJYHKHS1L</v>
          </cell>
          <cell r="B3428" t="str">
            <v>YJYHK</v>
          </cell>
        </row>
        <row r="3429">
          <cell r="A3429" t="str">
            <v>YJYHKHS1M</v>
          </cell>
          <cell r="B3429" t="str">
            <v>YJYHK</v>
          </cell>
        </row>
        <row r="3430">
          <cell r="A3430" t="str">
            <v>YJYHKHS1S</v>
          </cell>
          <cell r="B3430" t="str">
            <v>YJYHK</v>
          </cell>
        </row>
        <row r="3431">
          <cell r="A3431" t="str">
            <v>YJYHKHS1XL</v>
          </cell>
          <cell r="B3431" t="str">
            <v>YJYHK</v>
          </cell>
        </row>
        <row r="3432">
          <cell r="A3432" t="str">
            <v>YJYHKHS2L</v>
          </cell>
          <cell r="B3432" t="str">
            <v>YJYHK</v>
          </cell>
        </row>
        <row r="3433">
          <cell r="A3433" t="str">
            <v>YJYHKHS2M</v>
          </cell>
          <cell r="B3433" t="str">
            <v>YJYHK</v>
          </cell>
        </row>
        <row r="3434">
          <cell r="A3434" t="str">
            <v>YJYHKHS2S</v>
          </cell>
          <cell r="B3434" t="str">
            <v>YJYHK</v>
          </cell>
        </row>
        <row r="3435">
          <cell r="A3435" t="str">
            <v>YJYHKHS2XL</v>
          </cell>
          <cell r="B3435" t="str">
            <v>YJYHK</v>
          </cell>
        </row>
        <row r="3436">
          <cell r="A3436" t="str">
            <v>YJYHKHS3L</v>
          </cell>
          <cell r="B3436" t="str">
            <v>YJYHK</v>
          </cell>
        </row>
        <row r="3437">
          <cell r="A3437" t="str">
            <v>YJYHKHS3M</v>
          </cell>
          <cell r="B3437" t="str">
            <v>YJYHK</v>
          </cell>
        </row>
        <row r="3438">
          <cell r="A3438" t="str">
            <v>YJYHKHS3S</v>
          </cell>
          <cell r="B3438" t="str">
            <v>YJYHK</v>
          </cell>
        </row>
        <row r="3439">
          <cell r="A3439" t="str">
            <v>YJYHKHS3XL</v>
          </cell>
          <cell r="B3439" t="str">
            <v>YJYHK</v>
          </cell>
        </row>
        <row r="3440">
          <cell r="A3440" t="str">
            <v>YJYHKHS4L</v>
          </cell>
          <cell r="B3440" t="str">
            <v>YJYHK</v>
          </cell>
        </row>
        <row r="3441">
          <cell r="A3441" t="str">
            <v>YJYHKHS4M</v>
          </cell>
          <cell r="B3441" t="str">
            <v>YJYHK</v>
          </cell>
        </row>
        <row r="3442">
          <cell r="A3442" t="str">
            <v>YJYHKHS4S</v>
          </cell>
          <cell r="B3442" t="str">
            <v>YJYHK</v>
          </cell>
        </row>
        <row r="3443">
          <cell r="A3443" t="str">
            <v>YJYHKHS4XL</v>
          </cell>
          <cell r="B3443" t="str">
            <v>YJYHK</v>
          </cell>
        </row>
        <row r="3444">
          <cell r="A3444" t="str">
            <v>YJYHKHS5L</v>
          </cell>
          <cell r="B3444" t="str">
            <v>YJYHK</v>
          </cell>
        </row>
        <row r="3445">
          <cell r="A3445" t="str">
            <v>YJYHKHS5M</v>
          </cell>
          <cell r="B3445" t="str">
            <v>YJYHK</v>
          </cell>
        </row>
        <row r="3446">
          <cell r="A3446" t="str">
            <v>YJYHKHS5S</v>
          </cell>
          <cell r="B3446" t="str">
            <v>YJYHK</v>
          </cell>
        </row>
        <row r="3447">
          <cell r="A3447" t="str">
            <v>YJYHKHS5XL</v>
          </cell>
          <cell r="B3447" t="str">
            <v>YJYHK</v>
          </cell>
        </row>
        <row r="3448">
          <cell r="A3448" t="str">
            <v>YJYHKHS6L</v>
          </cell>
          <cell r="B3448" t="str">
            <v>YJYHK</v>
          </cell>
        </row>
        <row r="3449">
          <cell r="A3449" t="str">
            <v>YJYHKHS6M</v>
          </cell>
          <cell r="B3449" t="str">
            <v>YJYHK</v>
          </cell>
        </row>
        <row r="3450">
          <cell r="A3450" t="str">
            <v>YJYHKHS6S</v>
          </cell>
          <cell r="B3450" t="str">
            <v>YJYHK</v>
          </cell>
        </row>
        <row r="3451">
          <cell r="A3451" t="str">
            <v>YJYHKHS6XL</v>
          </cell>
          <cell r="B3451" t="str">
            <v>YJYHK</v>
          </cell>
        </row>
        <row r="3452">
          <cell r="A3452" t="str">
            <v>YJYHKHS7L</v>
          </cell>
          <cell r="B3452" t="str">
            <v>YJYHK</v>
          </cell>
        </row>
        <row r="3453">
          <cell r="A3453" t="str">
            <v>YJYHKHS7M</v>
          </cell>
          <cell r="B3453" t="str">
            <v>YJYHK</v>
          </cell>
        </row>
        <row r="3454">
          <cell r="A3454" t="str">
            <v>YJYHKHS7S</v>
          </cell>
          <cell r="B3454" t="str">
            <v>YJYHK</v>
          </cell>
        </row>
        <row r="3455">
          <cell r="A3455" t="str">
            <v>YJYHKHS7XL</v>
          </cell>
          <cell r="B3455" t="str">
            <v>YJYHK</v>
          </cell>
        </row>
        <row r="3456">
          <cell r="A3456" t="str">
            <v>YJYHKHS8L</v>
          </cell>
          <cell r="B3456" t="str">
            <v>YJYHK</v>
          </cell>
        </row>
        <row r="3457">
          <cell r="A3457" t="str">
            <v>YJYHKHS8M</v>
          </cell>
          <cell r="B3457" t="str">
            <v>YJYHK</v>
          </cell>
        </row>
        <row r="3458">
          <cell r="A3458" t="str">
            <v>YJYHKHS8S</v>
          </cell>
          <cell r="B3458" t="str">
            <v>YJYHK</v>
          </cell>
        </row>
        <row r="3459">
          <cell r="A3459" t="str">
            <v>YJYHKHS8XL</v>
          </cell>
          <cell r="B3459" t="str">
            <v>YJYHK</v>
          </cell>
        </row>
        <row r="3460">
          <cell r="A3460" t="str">
            <v>YJYHKHS9L</v>
          </cell>
          <cell r="B3460" t="str">
            <v>YJYHK</v>
          </cell>
        </row>
        <row r="3461">
          <cell r="A3461" t="str">
            <v>YJYHKHS9M</v>
          </cell>
          <cell r="B3461" t="str">
            <v>YJYHK</v>
          </cell>
        </row>
        <row r="3462">
          <cell r="A3462" t="str">
            <v>YJYHKHS9S</v>
          </cell>
          <cell r="B3462" t="str">
            <v>YJYHK</v>
          </cell>
        </row>
        <row r="3463">
          <cell r="A3463" t="str">
            <v>YJYHKHS9XL</v>
          </cell>
          <cell r="B3463" t="str">
            <v>YJYHK</v>
          </cell>
        </row>
        <row r="3464">
          <cell r="A3464" t="str">
            <v>YKYTKTKB0XXL</v>
          </cell>
          <cell r="B3464" t="str">
            <v>YKYTKTK</v>
          </cell>
        </row>
        <row r="3465">
          <cell r="A3465" t="str">
            <v>YKYTKTKB0XXXL</v>
          </cell>
          <cell r="B3465" t="str">
            <v>YKYTKTK</v>
          </cell>
        </row>
        <row r="3466">
          <cell r="A3466" t="str">
            <v>YKYTKTKE0XXL</v>
          </cell>
          <cell r="B3466" t="str">
            <v>YKYTKTK</v>
          </cell>
        </row>
        <row r="3467">
          <cell r="A3467" t="str">
            <v>YKYTKTKE0XXXL</v>
          </cell>
          <cell r="B3467" t="str">
            <v>YKYTKTK</v>
          </cell>
        </row>
        <row r="3468">
          <cell r="A3468" t="str">
            <v>YKYTKTKG0XXL</v>
          </cell>
          <cell r="B3468" t="str">
            <v>YKYTKTK</v>
          </cell>
        </row>
        <row r="3469">
          <cell r="A3469" t="str">
            <v>YKYTKTKG0XXXL</v>
          </cell>
          <cell r="B3469" t="str">
            <v>YKYTKTK</v>
          </cell>
        </row>
        <row r="3470">
          <cell r="A3470" t="str">
            <v>YKYTKTKK0XXL</v>
          </cell>
          <cell r="B3470" t="str">
            <v>YKYTKTK</v>
          </cell>
        </row>
        <row r="3471">
          <cell r="A3471" t="str">
            <v>YKYTKTKK0XXXL</v>
          </cell>
          <cell r="B3471" t="str">
            <v>YKYTKTK</v>
          </cell>
        </row>
        <row r="3472">
          <cell r="A3472" t="str">
            <v>YKYTKTKQLXXL</v>
          </cell>
          <cell r="B3472" t="str">
            <v>YKYTKTK</v>
          </cell>
        </row>
        <row r="3473">
          <cell r="A3473" t="str">
            <v>YKYTKTKQLXXXL</v>
          </cell>
          <cell r="B3473" t="str">
            <v>YKYTKTK</v>
          </cell>
        </row>
        <row r="3474">
          <cell r="A3474" t="str">
            <v>YLXZKK02XL</v>
          </cell>
          <cell r="B3474" t="str">
            <v>YLXZK</v>
          </cell>
        </row>
        <row r="3475">
          <cell r="A3475" t="str">
            <v>YLXZKK03XL</v>
          </cell>
          <cell r="B3475" t="str">
            <v>YLXZK</v>
          </cell>
        </row>
        <row r="3476">
          <cell r="A3476" t="str">
            <v>YLXZKK04XL</v>
          </cell>
          <cell r="B3476" t="str">
            <v>YLXZK</v>
          </cell>
        </row>
        <row r="3477">
          <cell r="A3477" t="str">
            <v>YLXZKK05XL</v>
          </cell>
          <cell r="B3477" t="str">
            <v>YLXZK</v>
          </cell>
        </row>
        <row r="3478">
          <cell r="A3478" t="str">
            <v>YLXZKK0L</v>
          </cell>
          <cell r="B3478" t="str">
            <v>YLXZK</v>
          </cell>
        </row>
        <row r="3479">
          <cell r="A3479" t="str">
            <v>YLXZKK0M</v>
          </cell>
          <cell r="B3479" t="str">
            <v>YLXZK</v>
          </cell>
        </row>
        <row r="3480">
          <cell r="A3480" t="str">
            <v>YLXZKK0S</v>
          </cell>
          <cell r="B3480" t="str">
            <v>YLXZK</v>
          </cell>
        </row>
        <row r="3481">
          <cell r="A3481" t="str">
            <v>YLXZKK0XL</v>
          </cell>
          <cell r="B3481" t="str">
            <v>YLXZK</v>
          </cell>
        </row>
        <row r="3482">
          <cell r="A3482" t="str">
            <v>YLXZKKQS2XL</v>
          </cell>
          <cell r="B3482" t="str">
            <v>YLXZK</v>
          </cell>
        </row>
        <row r="3483">
          <cell r="A3483" t="str">
            <v>YLXZKKQS3XL</v>
          </cell>
          <cell r="B3483" t="str">
            <v>YLXZK</v>
          </cell>
        </row>
        <row r="3484">
          <cell r="A3484" t="str">
            <v>YLXZKKQS4XL</v>
          </cell>
          <cell r="B3484" t="str">
            <v>YLXZK</v>
          </cell>
        </row>
        <row r="3485">
          <cell r="A3485" t="str">
            <v>YLXZKKQS5XL</v>
          </cell>
          <cell r="B3485" t="str">
            <v>YLXZK</v>
          </cell>
        </row>
        <row r="3486">
          <cell r="A3486" t="str">
            <v>YLXZKKQSL</v>
          </cell>
          <cell r="B3486" t="str">
            <v>YLXZK</v>
          </cell>
        </row>
        <row r="3487">
          <cell r="A3487" t="str">
            <v>YLXZKKQSM</v>
          </cell>
          <cell r="B3487" t="str">
            <v>YMQYZ</v>
          </cell>
        </row>
        <row r="3488">
          <cell r="A3488" t="str">
            <v>YLXZKKQSS</v>
          </cell>
          <cell r="B3488" t="str">
            <v>YXKTK</v>
          </cell>
        </row>
        <row r="3489">
          <cell r="A3489" t="str">
            <v>YLXZKKQSXL</v>
          </cell>
          <cell r="B3489" t="str">
            <v>YXKTK</v>
          </cell>
        </row>
        <row r="3490">
          <cell r="A3490" t="str">
            <v>YMQYZBCS</v>
          </cell>
          <cell r="B3490" t="str">
            <v>YXKTK</v>
          </cell>
        </row>
        <row r="3491">
          <cell r="A3491" t="str">
            <v>YXKTKYHL</v>
          </cell>
          <cell r="B3491" t="str">
            <v>YXKTK</v>
          </cell>
        </row>
        <row r="3492">
          <cell r="A3492" t="str">
            <v>YXKTKYHM</v>
          </cell>
          <cell r="B3492" t="str">
            <v>YXKTK</v>
          </cell>
        </row>
        <row r="3493">
          <cell r="A3493" t="str">
            <v>YXKTKYHS</v>
          </cell>
          <cell r="B3493" t="str">
            <v>YXKTK</v>
          </cell>
        </row>
        <row r="3494">
          <cell r="A3494" t="str">
            <v>YXKTKYHXL</v>
          </cell>
          <cell r="B3494" t="str">
            <v>YXKTK</v>
          </cell>
        </row>
        <row r="3495">
          <cell r="A3495" t="str">
            <v>YXKTKYHXS</v>
          </cell>
          <cell r="B3495" t="str">
            <v>YXKTK</v>
          </cell>
        </row>
        <row r="3496">
          <cell r="A3496" t="str">
            <v>YXYKTK1</v>
          </cell>
          <cell r="B3496" t="str">
            <v>YXYKTK</v>
          </cell>
        </row>
        <row r="3497">
          <cell r="A3497" t="str">
            <v>YXYKTK10</v>
          </cell>
          <cell r="B3497" t="str">
            <v>YXYKTK</v>
          </cell>
        </row>
        <row r="3498">
          <cell r="A3498" t="str">
            <v>YXYKTK100</v>
          </cell>
          <cell r="B3498" t="str">
            <v>YXYKTK</v>
          </cell>
        </row>
        <row r="3499">
          <cell r="A3499" t="str">
            <v>YXYKTK101</v>
          </cell>
          <cell r="B3499" t="str">
            <v>YXYKTK</v>
          </cell>
        </row>
        <row r="3500">
          <cell r="A3500" t="str">
            <v>YXYKTK102</v>
          </cell>
          <cell r="B3500" t="str">
            <v>YXYKTK</v>
          </cell>
        </row>
        <row r="3501">
          <cell r="A3501" t="str">
            <v>YXYKTK103</v>
          </cell>
          <cell r="B3501" t="str">
            <v>YXYKTK</v>
          </cell>
        </row>
        <row r="3502">
          <cell r="A3502" t="str">
            <v>YXYKTK104</v>
          </cell>
          <cell r="B3502" t="str">
            <v>YXYKTK</v>
          </cell>
        </row>
        <row r="3503">
          <cell r="A3503" t="str">
            <v>YXYKTK105</v>
          </cell>
          <cell r="B3503" t="str">
            <v>YXYKTK</v>
          </cell>
        </row>
        <row r="3504">
          <cell r="A3504" t="str">
            <v>YXYKTK106</v>
          </cell>
          <cell r="B3504" t="str">
            <v>YXYKTK</v>
          </cell>
        </row>
        <row r="3505">
          <cell r="A3505" t="str">
            <v>YXYKTK107</v>
          </cell>
          <cell r="B3505" t="str">
            <v>YXYKTK</v>
          </cell>
        </row>
        <row r="3506">
          <cell r="A3506" t="str">
            <v>YXYKTK108</v>
          </cell>
          <cell r="B3506" t="str">
            <v>YXYKTK</v>
          </cell>
        </row>
        <row r="3507">
          <cell r="A3507" t="str">
            <v>YXYKTK11</v>
          </cell>
          <cell r="B3507" t="str">
            <v>YXYKTK</v>
          </cell>
        </row>
        <row r="3508">
          <cell r="A3508" t="str">
            <v>YXYKTK12</v>
          </cell>
          <cell r="B3508" t="str">
            <v>YXYKTK</v>
          </cell>
        </row>
        <row r="3509">
          <cell r="A3509" t="str">
            <v>YXYKTK13</v>
          </cell>
          <cell r="B3509" t="str">
            <v>YXYKTK</v>
          </cell>
        </row>
        <row r="3510">
          <cell r="A3510" t="str">
            <v>YXYKTK14</v>
          </cell>
          <cell r="B3510" t="str">
            <v>YXYKTK</v>
          </cell>
        </row>
        <row r="3511">
          <cell r="A3511" t="str">
            <v>YXYKTK15</v>
          </cell>
          <cell r="B3511" t="str">
            <v>YXYKTK</v>
          </cell>
        </row>
        <row r="3512">
          <cell r="A3512" t="str">
            <v>YXYKTK16</v>
          </cell>
          <cell r="B3512" t="str">
            <v>YXYKTK</v>
          </cell>
        </row>
        <row r="3513">
          <cell r="A3513" t="str">
            <v>YXYKTK17</v>
          </cell>
          <cell r="B3513" t="str">
            <v>YXYKTK</v>
          </cell>
        </row>
        <row r="3514">
          <cell r="A3514" t="str">
            <v>YXYKTK18</v>
          </cell>
          <cell r="B3514" t="str">
            <v>YXYKTK</v>
          </cell>
        </row>
        <row r="3515">
          <cell r="A3515" t="str">
            <v>YXYKTK19</v>
          </cell>
          <cell r="B3515" t="str">
            <v>YXYKTK</v>
          </cell>
        </row>
        <row r="3516">
          <cell r="A3516" t="str">
            <v>YXYKTK2</v>
          </cell>
          <cell r="B3516" t="str">
            <v>YXYKTK</v>
          </cell>
        </row>
        <row r="3517">
          <cell r="A3517" t="str">
            <v>YXYKTK20</v>
          </cell>
          <cell r="B3517" t="str">
            <v>YXYKTK</v>
          </cell>
        </row>
        <row r="3518">
          <cell r="A3518" t="str">
            <v>YXYKTK21</v>
          </cell>
          <cell r="B3518" t="str">
            <v>YXYKTK</v>
          </cell>
        </row>
        <row r="3519">
          <cell r="A3519" t="str">
            <v>YXYKTK22</v>
          </cell>
          <cell r="B3519" t="str">
            <v>YXYKTK</v>
          </cell>
        </row>
        <row r="3520">
          <cell r="A3520" t="str">
            <v>YXYKTK23</v>
          </cell>
          <cell r="B3520" t="str">
            <v>YXYKTK</v>
          </cell>
        </row>
        <row r="3521">
          <cell r="A3521" t="str">
            <v>YXYKTK24</v>
          </cell>
          <cell r="B3521" t="str">
            <v>YXYKTK</v>
          </cell>
        </row>
        <row r="3522">
          <cell r="A3522" t="str">
            <v>YXYKTK25</v>
          </cell>
          <cell r="B3522" t="str">
            <v>YXYKTK</v>
          </cell>
        </row>
        <row r="3523">
          <cell r="A3523" t="str">
            <v>YXYKTK26</v>
          </cell>
          <cell r="B3523" t="str">
            <v>YXYKTK</v>
          </cell>
        </row>
        <row r="3524">
          <cell r="A3524" t="str">
            <v>YXYKTK27</v>
          </cell>
          <cell r="B3524" t="str">
            <v>YXYKTK</v>
          </cell>
        </row>
        <row r="3525">
          <cell r="A3525" t="str">
            <v>YXYKTK28</v>
          </cell>
          <cell r="B3525" t="str">
            <v>YXYKTK</v>
          </cell>
        </row>
        <row r="3526">
          <cell r="A3526" t="str">
            <v>YXYKTK29</v>
          </cell>
          <cell r="B3526" t="str">
            <v>YXYKTK</v>
          </cell>
        </row>
        <row r="3527">
          <cell r="A3527" t="str">
            <v>YXYKTK3</v>
          </cell>
          <cell r="B3527" t="str">
            <v>YXYKTK</v>
          </cell>
        </row>
        <row r="3528">
          <cell r="A3528" t="str">
            <v>YXYKTK30</v>
          </cell>
          <cell r="B3528" t="str">
            <v>YXYKTK</v>
          </cell>
        </row>
        <row r="3529">
          <cell r="A3529" t="str">
            <v>YXYKTK31</v>
          </cell>
          <cell r="B3529" t="str">
            <v>YXYKTK</v>
          </cell>
        </row>
        <row r="3530">
          <cell r="A3530" t="str">
            <v>YXYKTK32</v>
          </cell>
          <cell r="B3530" t="str">
            <v>YXYKTK</v>
          </cell>
        </row>
        <row r="3531">
          <cell r="A3531" t="str">
            <v>YXYKTK33</v>
          </cell>
          <cell r="B3531" t="str">
            <v>YXYKTK</v>
          </cell>
        </row>
        <row r="3532">
          <cell r="A3532" t="str">
            <v>YXYKTK34</v>
          </cell>
          <cell r="B3532" t="str">
            <v>YXYKTK</v>
          </cell>
        </row>
        <row r="3533">
          <cell r="A3533" t="str">
            <v>YXYKTK35</v>
          </cell>
          <cell r="B3533" t="str">
            <v>YXYKTK</v>
          </cell>
        </row>
        <row r="3534">
          <cell r="A3534" t="str">
            <v>YXYKTK36</v>
          </cell>
          <cell r="B3534" t="str">
            <v>YXYKTK</v>
          </cell>
        </row>
        <row r="3535">
          <cell r="A3535" t="str">
            <v>YXYKTK37</v>
          </cell>
          <cell r="B3535" t="str">
            <v>YXYKTK</v>
          </cell>
        </row>
        <row r="3536">
          <cell r="A3536" t="str">
            <v>YXYKTK38</v>
          </cell>
          <cell r="B3536" t="str">
            <v>YXYKTK</v>
          </cell>
        </row>
        <row r="3537">
          <cell r="A3537" t="str">
            <v>YXYKTK39</v>
          </cell>
          <cell r="B3537" t="str">
            <v>YXYKTK</v>
          </cell>
        </row>
        <row r="3538">
          <cell r="A3538" t="str">
            <v>YXYKTK4</v>
          </cell>
          <cell r="B3538" t="str">
            <v>YXYKTK</v>
          </cell>
        </row>
        <row r="3539">
          <cell r="A3539" t="str">
            <v>YXYKTK40</v>
          </cell>
          <cell r="B3539" t="str">
            <v>YXYKTK</v>
          </cell>
        </row>
        <row r="3540">
          <cell r="A3540" t="str">
            <v>YXYKTK41</v>
          </cell>
          <cell r="B3540" t="str">
            <v>YXYKTK</v>
          </cell>
        </row>
        <row r="3541">
          <cell r="A3541" t="str">
            <v>YXYKTK42</v>
          </cell>
          <cell r="B3541" t="str">
            <v>YXYKTK</v>
          </cell>
        </row>
        <row r="3542">
          <cell r="A3542" t="str">
            <v>YXYKTK43</v>
          </cell>
          <cell r="B3542" t="str">
            <v>YXYKTK</v>
          </cell>
        </row>
        <row r="3543">
          <cell r="A3543" t="str">
            <v>YXYKTK44</v>
          </cell>
          <cell r="B3543" t="str">
            <v>YXYKTK</v>
          </cell>
        </row>
        <row r="3544">
          <cell r="A3544" t="str">
            <v>YXYKTK45</v>
          </cell>
          <cell r="B3544" t="str">
            <v>YXYKTK</v>
          </cell>
        </row>
        <row r="3545">
          <cell r="A3545" t="str">
            <v>YXYKTK46</v>
          </cell>
          <cell r="B3545" t="str">
            <v>YXYKTK</v>
          </cell>
        </row>
        <row r="3546">
          <cell r="A3546" t="str">
            <v>YXYKTK47</v>
          </cell>
          <cell r="B3546" t="str">
            <v>YXYKTK</v>
          </cell>
        </row>
        <row r="3547">
          <cell r="A3547" t="str">
            <v>YXYKTK48</v>
          </cell>
          <cell r="B3547" t="str">
            <v>YXYKTK</v>
          </cell>
        </row>
        <row r="3548">
          <cell r="A3548" t="str">
            <v>YXYKTK49</v>
          </cell>
          <cell r="B3548" t="str">
            <v>YXYKTK</v>
          </cell>
        </row>
        <row r="3549">
          <cell r="A3549" t="str">
            <v>YXYKTK5</v>
          </cell>
          <cell r="B3549" t="str">
            <v>YXYKTK</v>
          </cell>
        </row>
        <row r="3550">
          <cell r="A3550" t="str">
            <v>YXYKTK50</v>
          </cell>
          <cell r="B3550" t="str">
            <v>YXYKTK</v>
          </cell>
        </row>
        <row r="3551">
          <cell r="A3551" t="str">
            <v>YXYKTK51</v>
          </cell>
          <cell r="B3551" t="str">
            <v>YXYKTK</v>
          </cell>
        </row>
        <row r="3552">
          <cell r="A3552" t="str">
            <v>YXYKTK52</v>
          </cell>
          <cell r="B3552" t="str">
            <v>YXYKTK</v>
          </cell>
        </row>
        <row r="3553">
          <cell r="A3553" t="str">
            <v>YXYKTK53</v>
          </cell>
          <cell r="B3553" t="str">
            <v>YXYKTK</v>
          </cell>
        </row>
        <row r="3554">
          <cell r="A3554" t="str">
            <v>YXYKTK54</v>
          </cell>
          <cell r="B3554" t="str">
            <v>YXYKTK</v>
          </cell>
        </row>
        <row r="3555">
          <cell r="A3555" t="str">
            <v>YXYKTK55</v>
          </cell>
          <cell r="B3555" t="str">
            <v>YXYKTK</v>
          </cell>
        </row>
        <row r="3556">
          <cell r="A3556" t="str">
            <v>YXYKTK56</v>
          </cell>
          <cell r="B3556" t="str">
            <v>YXYKTK</v>
          </cell>
        </row>
        <row r="3557">
          <cell r="A3557" t="str">
            <v>YXYKTK57</v>
          </cell>
          <cell r="B3557" t="str">
            <v>YXYKTK</v>
          </cell>
        </row>
        <row r="3558">
          <cell r="A3558" t="str">
            <v>YXYKTK58</v>
          </cell>
          <cell r="B3558" t="str">
            <v>YXYKTK</v>
          </cell>
        </row>
        <row r="3559">
          <cell r="A3559" t="str">
            <v>YXYKTK59</v>
          </cell>
          <cell r="B3559" t="str">
            <v>YXYKTK</v>
          </cell>
        </row>
        <row r="3560">
          <cell r="A3560" t="str">
            <v>YXYKTK6</v>
          </cell>
          <cell r="B3560" t="str">
            <v>YXYKTK</v>
          </cell>
        </row>
        <row r="3561">
          <cell r="A3561" t="str">
            <v>YXYKTK60</v>
          </cell>
          <cell r="B3561" t="str">
            <v>YXYKTK</v>
          </cell>
        </row>
        <row r="3562">
          <cell r="A3562" t="str">
            <v>YXYKTK61</v>
          </cell>
          <cell r="B3562" t="str">
            <v>YXYKTK</v>
          </cell>
        </row>
        <row r="3563">
          <cell r="A3563" t="str">
            <v>YXYKTK62</v>
          </cell>
          <cell r="B3563" t="str">
            <v>YXYKTK</v>
          </cell>
        </row>
        <row r="3564">
          <cell r="A3564" t="str">
            <v>YXYKTK63</v>
          </cell>
          <cell r="B3564" t="str">
            <v>YXYKTK</v>
          </cell>
        </row>
        <row r="3565">
          <cell r="A3565" t="str">
            <v>YXYKTK64</v>
          </cell>
          <cell r="B3565" t="str">
            <v>YXYKTK</v>
          </cell>
        </row>
        <row r="3566">
          <cell r="A3566" t="str">
            <v>YXYKTK65</v>
          </cell>
          <cell r="B3566" t="str">
            <v>YXYKTK</v>
          </cell>
        </row>
        <row r="3567">
          <cell r="A3567" t="str">
            <v>YXYKTK66</v>
          </cell>
          <cell r="B3567" t="str">
            <v>YXYKTK</v>
          </cell>
        </row>
        <row r="3568">
          <cell r="A3568" t="str">
            <v>YXYKTK67</v>
          </cell>
          <cell r="B3568" t="str">
            <v>YXYKTK</v>
          </cell>
        </row>
        <row r="3569">
          <cell r="A3569" t="str">
            <v>YXYKTK68</v>
          </cell>
          <cell r="B3569" t="str">
            <v>YXYKTK</v>
          </cell>
        </row>
        <row r="3570">
          <cell r="A3570" t="str">
            <v>YXYKTK69</v>
          </cell>
          <cell r="B3570" t="str">
            <v>YXYKTK</v>
          </cell>
        </row>
        <row r="3571">
          <cell r="A3571" t="str">
            <v>YXYKTK7</v>
          </cell>
          <cell r="B3571" t="str">
            <v>YXYKTK</v>
          </cell>
        </row>
        <row r="3572">
          <cell r="A3572" t="str">
            <v>YXYKTK70</v>
          </cell>
          <cell r="B3572" t="str">
            <v>YXYKTK</v>
          </cell>
        </row>
        <row r="3573">
          <cell r="A3573" t="str">
            <v>YXYKTK71</v>
          </cell>
          <cell r="B3573" t="str">
            <v>YXYKTK</v>
          </cell>
        </row>
        <row r="3574">
          <cell r="A3574" t="str">
            <v>YXYKTK72</v>
          </cell>
          <cell r="B3574" t="str">
            <v>YXYKTK</v>
          </cell>
        </row>
        <row r="3575">
          <cell r="A3575" t="str">
            <v>YXYKTK73</v>
          </cell>
          <cell r="B3575" t="str">
            <v>YXYKTK</v>
          </cell>
        </row>
        <row r="3576">
          <cell r="A3576" t="str">
            <v>YXYKTK74</v>
          </cell>
          <cell r="B3576" t="str">
            <v>YXYKTK</v>
          </cell>
        </row>
        <row r="3577">
          <cell r="A3577" t="str">
            <v>YXYKTK75</v>
          </cell>
          <cell r="B3577" t="str">
            <v>YXYKTK</v>
          </cell>
        </row>
        <row r="3578">
          <cell r="A3578" t="str">
            <v>YXYKTK76</v>
          </cell>
          <cell r="B3578" t="str">
            <v>YXYKTK</v>
          </cell>
        </row>
        <row r="3579">
          <cell r="A3579" t="str">
            <v>YXYKTK77</v>
          </cell>
          <cell r="B3579" t="str">
            <v>YXYKTK</v>
          </cell>
        </row>
        <row r="3580">
          <cell r="A3580" t="str">
            <v>YXYKTK78</v>
          </cell>
          <cell r="B3580" t="str">
            <v>YXYKTK</v>
          </cell>
        </row>
        <row r="3581">
          <cell r="A3581" t="str">
            <v>YXYKTK79</v>
          </cell>
          <cell r="B3581" t="str">
            <v>YXYKTK</v>
          </cell>
        </row>
        <row r="3582">
          <cell r="A3582" t="str">
            <v>YXYKTK8</v>
          </cell>
          <cell r="B3582" t="str">
            <v>YXYKTK</v>
          </cell>
        </row>
        <row r="3583">
          <cell r="A3583" t="str">
            <v>YXYKTK80</v>
          </cell>
          <cell r="B3583" t="str">
            <v>YXYKTK</v>
          </cell>
        </row>
        <row r="3584">
          <cell r="A3584" t="str">
            <v>YXYKTK81</v>
          </cell>
          <cell r="B3584" t="str">
            <v>YXYKTK</v>
          </cell>
        </row>
        <row r="3585">
          <cell r="A3585" t="str">
            <v>YXYKTK82</v>
          </cell>
          <cell r="B3585" t="str">
            <v>YXYKTK</v>
          </cell>
        </row>
        <row r="3586">
          <cell r="A3586" t="str">
            <v>YXYKTK83</v>
          </cell>
          <cell r="B3586" t="str">
            <v>YXYKTK</v>
          </cell>
        </row>
        <row r="3587">
          <cell r="A3587" t="str">
            <v>YXYKTK84</v>
          </cell>
          <cell r="B3587" t="str">
            <v>YXYKTK</v>
          </cell>
        </row>
        <row r="3588">
          <cell r="A3588" t="str">
            <v>YXYKTK85</v>
          </cell>
          <cell r="B3588" t="str">
            <v>YXYKTK</v>
          </cell>
        </row>
        <row r="3589">
          <cell r="A3589" t="str">
            <v>YXYKTK86</v>
          </cell>
          <cell r="B3589" t="str">
            <v>YXYKTK</v>
          </cell>
        </row>
        <row r="3590">
          <cell r="A3590" t="str">
            <v>YXYKTK87</v>
          </cell>
          <cell r="B3590" t="str">
            <v>YXYKTK</v>
          </cell>
        </row>
        <row r="3591">
          <cell r="A3591" t="str">
            <v>YXYKTK88</v>
          </cell>
          <cell r="B3591" t="str">
            <v>YXYKTK</v>
          </cell>
        </row>
        <row r="3592">
          <cell r="A3592" t="str">
            <v>YXYKTK89</v>
          </cell>
          <cell r="B3592" t="str">
            <v>YXYKTK</v>
          </cell>
        </row>
        <row r="3593">
          <cell r="A3593" t="str">
            <v>YXYKTK9</v>
          </cell>
          <cell r="B3593" t="str">
            <v>YXYKTK</v>
          </cell>
        </row>
        <row r="3594">
          <cell r="A3594" t="str">
            <v>YXYKTK90</v>
          </cell>
          <cell r="B3594" t="str">
            <v>YXYKTK</v>
          </cell>
        </row>
        <row r="3595">
          <cell r="A3595" t="str">
            <v>YXYKTK91</v>
          </cell>
          <cell r="B3595" t="str">
            <v>YXYKTK</v>
          </cell>
        </row>
        <row r="3596">
          <cell r="A3596" t="str">
            <v>YXYKTK92</v>
          </cell>
          <cell r="B3596" t="str">
            <v>YXYKTK</v>
          </cell>
        </row>
        <row r="3597">
          <cell r="A3597" t="str">
            <v>YXYKTK93</v>
          </cell>
          <cell r="B3597" t="str">
            <v>YXYKTK</v>
          </cell>
        </row>
        <row r="3598">
          <cell r="A3598" t="str">
            <v>YXYKTK94</v>
          </cell>
          <cell r="B3598" t="str">
            <v>YXYKTK</v>
          </cell>
        </row>
        <row r="3599">
          <cell r="A3599" t="str">
            <v>YXYKTK95</v>
          </cell>
          <cell r="B3599" t="str">
            <v>YXYKTK</v>
          </cell>
        </row>
        <row r="3600">
          <cell r="A3600" t="str">
            <v>YXYKTK96</v>
          </cell>
          <cell r="B3600" t="str">
            <v>YXYKTK</v>
          </cell>
        </row>
        <row r="3601">
          <cell r="A3601" t="str">
            <v>YXYKTK97</v>
          </cell>
          <cell r="B3601" t="str">
            <v>YXYKTK</v>
          </cell>
        </row>
        <row r="3602">
          <cell r="A3602" t="str">
            <v>YXYKTK98</v>
          </cell>
          <cell r="B3602" t="str">
            <v>YXYKTK</v>
          </cell>
        </row>
        <row r="3603">
          <cell r="A3603" t="str">
            <v>YXYKTK99</v>
          </cell>
          <cell r="B3603" t="str">
            <v>YXYKTK</v>
          </cell>
        </row>
        <row r="3604">
          <cell r="A3604" t="str">
            <v>YYXZYH1</v>
          </cell>
          <cell r="B3604" t="str">
            <v>YYXZYH</v>
          </cell>
        </row>
        <row r="3605">
          <cell r="A3605" t="str">
            <v>YYXZYH2</v>
          </cell>
          <cell r="B3605" t="str">
            <v>YYXZYH</v>
          </cell>
        </row>
        <row r="3606">
          <cell r="A3606" t="str">
            <v>YYXZYH3</v>
          </cell>
          <cell r="B3606" t="str">
            <v>YYXZYH</v>
          </cell>
        </row>
        <row r="3607">
          <cell r="A3607" t="str">
            <v>YYXZYH4</v>
          </cell>
          <cell r="B3607" t="str">
            <v>YYXZYH</v>
          </cell>
        </row>
        <row r="3608">
          <cell r="A3608" t="str">
            <v>ZCKDJWZW0</v>
          </cell>
          <cell r="B3608" t="str">
            <v>ZCKDJWZ</v>
          </cell>
        </row>
        <row r="3609">
          <cell r="A3609" t="str">
            <v>ZCKSWZW0</v>
          </cell>
          <cell r="B3609" t="str">
            <v>ZCKSWZ</v>
          </cell>
        </row>
        <row r="3610">
          <cell r="A3610" t="str">
            <v>ZIMUYH1</v>
          </cell>
          <cell r="B3610" t="str">
            <v>ZIMUYH</v>
          </cell>
        </row>
        <row r="3611">
          <cell r="A3611" t="str">
            <v>ZIMUYH2</v>
          </cell>
          <cell r="B3611" t="str">
            <v>ZIMUYH</v>
          </cell>
        </row>
        <row r="3612">
          <cell r="A3612" t="str">
            <v>ZIMUYH3</v>
          </cell>
          <cell r="B3612" t="str">
            <v>ZIMUYH</v>
          </cell>
        </row>
        <row r="3613">
          <cell r="A3613" t="str">
            <v>ZIMUYH4</v>
          </cell>
          <cell r="B3613" t="str">
            <v>ZIMUYH</v>
          </cell>
        </row>
        <row r="3614">
          <cell r="A3614" t="str">
            <v>ZIMUYH5</v>
          </cell>
          <cell r="B3614" t="str">
            <v>ZIMUYH</v>
          </cell>
        </row>
        <row r="3615">
          <cell r="A3615" t="str">
            <v>ZIMUYH6</v>
          </cell>
          <cell r="B3615" t="str">
            <v>ZIMUYH</v>
          </cell>
        </row>
        <row r="3616">
          <cell r="A3616" t="str">
            <v>ZIMUYH7</v>
          </cell>
          <cell r="B3616" t="str">
            <v>ZIMUYH</v>
          </cell>
        </row>
        <row r="3617">
          <cell r="A3617" t="str">
            <v>ZIMUYH8</v>
          </cell>
          <cell r="B3617" t="str">
            <v>ZIMUYH</v>
          </cell>
        </row>
        <row r="3618">
          <cell r="A3618" t="str">
            <v>ZIMUYH9</v>
          </cell>
          <cell r="B3618" t="str">
            <v>ZIMUYH</v>
          </cell>
        </row>
        <row r="3619">
          <cell r="A3619" t="str">
            <v>ZSNWP0</v>
          </cell>
          <cell r="B3619" t="str">
            <v>ZSNWP</v>
          </cell>
        </row>
        <row r="3620">
          <cell r="A3620" t="str">
            <v>ZZTSW0</v>
          </cell>
          <cell r="B3620" t="str">
            <v>ZZTSW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20</v>
          </cell>
          <cell r="D2">
            <v>2847</v>
          </cell>
          <cell r="E2">
            <v>40</v>
          </cell>
          <cell r="F2">
            <v>52</v>
          </cell>
        </row>
        <row r="3">
          <cell r="A3" t="str">
            <v>NY-B15016-W0-L</v>
          </cell>
          <cell r="B3" t="str">
            <v>NY-B15016</v>
          </cell>
          <cell r="C3">
            <v>0</v>
          </cell>
          <cell r="D3">
            <v>1</v>
          </cell>
          <cell r="E3">
            <v>0</v>
          </cell>
          <cell r="F3">
            <v>4</v>
          </cell>
          <cell r="G3">
            <v>15.99</v>
          </cell>
        </row>
        <row r="4">
          <cell r="A4" t="str">
            <v>NY-B15016-W0-M</v>
          </cell>
          <cell r="B4" t="str">
            <v>NY-B15016</v>
          </cell>
          <cell r="C4">
            <v>1</v>
          </cell>
          <cell r="D4">
            <v>1</v>
          </cell>
          <cell r="E4">
            <v>0</v>
          </cell>
          <cell r="F4">
            <v>1</v>
          </cell>
          <cell r="G4">
            <v>15.99</v>
          </cell>
        </row>
        <row r="5">
          <cell r="A5" t="str">
            <v>DDHNYK0</v>
          </cell>
          <cell r="B5" t="str">
            <v>DDHNY</v>
          </cell>
          <cell r="C5">
            <v>0</v>
          </cell>
          <cell r="D5">
            <v>2</v>
          </cell>
          <cell r="E5">
            <v>0</v>
          </cell>
          <cell r="F5">
            <v>1</v>
          </cell>
          <cell r="G5">
            <v>5.33</v>
          </cell>
        </row>
        <row r="6">
          <cell r="A6" t="str">
            <v>GJHNYK0</v>
          </cell>
          <cell r="B6" t="str">
            <v>GJHNY</v>
          </cell>
          <cell r="C6">
            <v>0</v>
          </cell>
          <cell r="D6">
            <v>0</v>
          </cell>
          <cell r="E6">
            <v>2</v>
          </cell>
          <cell r="F6">
            <v>4</v>
          </cell>
          <cell r="G6">
            <v>13.99</v>
          </cell>
        </row>
        <row r="7">
          <cell r="A7" t="str">
            <v>NY-XUHM002-K0-M</v>
          </cell>
          <cell r="B7" t="str">
            <v>NY-B15021</v>
          </cell>
          <cell r="C7">
            <v>3</v>
          </cell>
          <cell r="D7">
            <v>1</v>
          </cell>
          <cell r="E7">
            <v>0</v>
          </cell>
          <cell r="F7">
            <v>3</v>
          </cell>
          <cell r="G7">
            <v>15.99</v>
          </cell>
        </row>
        <row r="8">
          <cell r="A8" t="str">
            <v>KTKXKW0L</v>
          </cell>
          <cell r="B8" t="str">
            <v>KTKXXK</v>
          </cell>
          <cell r="C8">
            <v>2</v>
          </cell>
          <cell r="D8">
            <v>7</v>
          </cell>
          <cell r="E8">
            <v>0</v>
          </cell>
          <cell r="F8">
            <v>3</v>
          </cell>
          <cell r="G8">
            <v>11.4075</v>
          </cell>
        </row>
        <row r="9">
          <cell r="A9" t="str">
            <v>N029YHL40</v>
          </cell>
          <cell r="B9" t="str">
            <v>N029Y</v>
          </cell>
          <cell r="C9">
            <v>0</v>
          </cell>
          <cell r="D9">
            <v>40</v>
          </cell>
          <cell r="E9">
            <v>0</v>
          </cell>
          <cell r="F9">
            <v>1</v>
          </cell>
          <cell r="G9">
            <v>0.194878048780488</v>
          </cell>
        </row>
        <row r="10">
          <cell r="A10" t="str">
            <v>N029YMH40</v>
          </cell>
          <cell r="B10" t="str">
            <v>N029Y</v>
          </cell>
          <cell r="C10">
            <v>0</v>
          </cell>
          <cell r="D10">
            <v>31</v>
          </cell>
          <cell r="E10">
            <v>0</v>
          </cell>
          <cell r="F10">
            <v>1</v>
          </cell>
          <cell r="G10">
            <v>0.2496875</v>
          </cell>
        </row>
        <row r="11">
          <cell r="A11" t="str">
            <v>N9383YB042</v>
          </cell>
          <cell r="B11" t="str">
            <v>N89122K</v>
          </cell>
          <cell r="C11">
            <v>0</v>
          </cell>
          <cell r="D11">
            <v>0</v>
          </cell>
          <cell r="E11">
            <v>0</v>
          </cell>
          <cell r="F11">
            <v>2</v>
          </cell>
          <cell r="G11">
            <v>13.9</v>
          </cell>
        </row>
        <row r="12">
          <cell r="A12" t="str">
            <v>NY-XUHM005-GA-M</v>
          </cell>
          <cell r="B12" t="str">
            <v>NY-B15021</v>
          </cell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15.99</v>
          </cell>
        </row>
        <row r="13">
          <cell r="A13" t="str">
            <v>N2716YHL38</v>
          </cell>
          <cell r="B13" t="str">
            <v>N263Y</v>
          </cell>
          <cell r="C13">
            <v>0</v>
          </cell>
          <cell r="D13">
            <v>44</v>
          </cell>
          <cell r="E13">
            <v>0</v>
          </cell>
          <cell r="F13">
            <v>1</v>
          </cell>
          <cell r="G13">
            <v>0.222222222222222</v>
          </cell>
        </row>
        <row r="14">
          <cell r="A14" t="str">
            <v>XTHQXSB</v>
          </cell>
          <cell r="B14" t="str">
            <v>XTHQ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8.99</v>
          </cell>
        </row>
        <row r="15">
          <cell r="A15" t="str">
            <v>NY-XUHM002-K0-L</v>
          </cell>
          <cell r="B15" t="str">
            <v>NY-B15021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15.99</v>
          </cell>
        </row>
        <row r="16">
          <cell r="A16" t="str">
            <v>NY-XUHM002-PI-M</v>
          </cell>
          <cell r="B16" t="str">
            <v>NY-B15021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15.99</v>
          </cell>
        </row>
        <row r="17">
          <cell r="A17" t="str">
            <v>N531YR040</v>
          </cell>
          <cell r="B17" t="str">
            <v>N531Y</v>
          </cell>
          <cell r="C17">
            <v>0</v>
          </cell>
          <cell r="D17">
            <v>26</v>
          </cell>
          <cell r="E17">
            <v>0</v>
          </cell>
          <cell r="F17">
            <v>1</v>
          </cell>
          <cell r="G17">
            <v>0.481111111111111</v>
          </cell>
        </row>
        <row r="18">
          <cell r="A18" t="str">
            <v>N2716YYGL36</v>
          </cell>
          <cell r="B18" t="str">
            <v>N2716Y</v>
          </cell>
          <cell r="C18">
            <v>1</v>
          </cell>
          <cell r="D18">
            <v>13</v>
          </cell>
          <cell r="E18">
            <v>0</v>
          </cell>
          <cell r="F18">
            <v>2</v>
          </cell>
          <cell r="G18">
            <v>1.599375</v>
          </cell>
        </row>
        <row r="19">
          <cell r="A19" t="str">
            <v>NY-B15016-Y0-M</v>
          </cell>
          <cell r="B19" t="str">
            <v>NY-B15016</v>
          </cell>
          <cell r="C19">
            <v>0</v>
          </cell>
          <cell r="D19">
            <v>0</v>
          </cell>
          <cell r="E19">
            <v>3</v>
          </cell>
          <cell r="F19">
            <v>2</v>
          </cell>
          <cell r="G19">
            <v>15.99</v>
          </cell>
        </row>
        <row r="20">
          <cell r="A20" t="str">
            <v>NY-B15016-Y0-S</v>
          </cell>
          <cell r="B20" t="str">
            <v>NY-B15016</v>
          </cell>
          <cell r="C20">
            <v>2</v>
          </cell>
          <cell r="D20">
            <v>1</v>
          </cell>
          <cell r="E20">
            <v>0</v>
          </cell>
          <cell r="F20">
            <v>1</v>
          </cell>
          <cell r="G20">
            <v>15.99</v>
          </cell>
        </row>
        <row r="21">
          <cell r="A21" t="str">
            <v>NY-B15021-PI-XL</v>
          </cell>
          <cell r="B21" t="str">
            <v>NY-B15021</v>
          </cell>
          <cell r="C21">
            <v>0</v>
          </cell>
          <cell r="D21">
            <v>0</v>
          </cell>
          <cell r="E21">
            <v>0</v>
          </cell>
          <cell r="F21">
            <v>4</v>
          </cell>
          <cell r="G21">
            <v>15.99</v>
          </cell>
        </row>
        <row r="22">
          <cell r="A22" t="str">
            <v>N9932YXS36</v>
          </cell>
          <cell r="B22" t="str">
            <v>N9932Y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12.9</v>
          </cell>
        </row>
        <row r="23">
          <cell r="A23" t="str">
            <v>NY-XUHM333-HS-L</v>
          </cell>
          <cell r="B23" t="str">
            <v>NY-XUHM333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15.99</v>
          </cell>
        </row>
        <row r="24">
          <cell r="A24" t="str">
            <v>NY-XUHM005-GA-L</v>
          </cell>
          <cell r="B24" t="str">
            <v>NY-B15021</v>
          </cell>
          <cell r="C24">
            <v>0</v>
          </cell>
          <cell r="D24">
            <v>0</v>
          </cell>
          <cell r="E24">
            <v>0</v>
          </cell>
          <cell r="F24">
            <v>2</v>
          </cell>
          <cell r="G24">
            <v>15.99</v>
          </cell>
        </row>
        <row r="25">
          <cell r="A25" t="str">
            <v>NY-B15021-K0-XL</v>
          </cell>
          <cell r="B25" t="str">
            <v>NY-B15021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15.99</v>
          </cell>
        </row>
        <row r="26">
          <cell r="A26" t="str">
            <v>DDBNYW0</v>
          </cell>
          <cell r="B26" t="str">
            <v>DDBNY</v>
          </cell>
          <cell r="C26">
            <v>0</v>
          </cell>
          <cell r="D26">
            <v>21</v>
          </cell>
          <cell r="E26">
            <v>0</v>
          </cell>
          <cell r="F26">
            <v>1</v>
          </cell>
          <cell r="G26">
            <v>0.726818181818182</v>
          </cell>
        </row>
        <row r="27">
          <cell r="A27" t="str">
            <v>SPHNYK0</v>
          </cell>
          <cell r="B27" t="str">
            <v>SJKTK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13.99</v>
          </cell>
        </row>
        <row r="28">
          <cell r="A28" t="str">
            <v>NK-XUHM001-K0-M</v>
          </cell>
          <cell r="B28" t="str">
            <v>ZSNW</v>
          </cell>
          <cell r="C28">
            <v>0</v>
          </cell>
          <cell r="D28">
            <v>55</v>
          </cell>
          <cell r="E28">
            <v>0</v>
          </cell>
          <cell r="F28">
            <v>1</v>
          </cell>
          <cell r="G28">
            <v>0.124821428571429</v>
          </cell>
        </row>
        <row r="29">
          <cell r="A29" t="str">
            <v>N531YQL40</v>
          </cell>
          <cell r="B29" t="str">
            <v>N531Y</v>
          </cell>
          <cell r="C29">
            <v>0</v>
          </cell>
          <cell r="D29">
            <v>25</v>
          </cell>
          <cell r="E29">
            <v>0</v>
          </cell>
          <cell r="F29">
            <v>1</v>
          </cell>
          <cell r="G29">
            <v>0.399615384615385</v>
          </cell>
        </row>
        <row r="30">
          <cell r="A30" t="str">
            <v>N9383YXGH42</v>
          </cell>
          <cell r="B30" t="str">
            <v>N9383Y</v>
          </cell>
          <cell r="C30">
            <v>0</v>
          </cell>
          <cell r="D30">
            <v>10</v>
          </cell>
          <cell r="E30">
            <v>0</v>
          </cell>
          <cell r="F30">
            <v>1</v>
          </cell>
          <cell r="G30">
            <v>1.26363636363636</v>
          </cell>
        </row>
        <row r="31">
          <cell r="A31" t="str">
            <v>NY-B15021-B0-L</v>
          </cell>
          <cell r="B31" t="str">
            <v>NY-B15016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15.99</v>
          </cell>
        </row>
        <row r="32">
          <cell r="A32" t="str">
            <v>N87301KK0XL</v>
          </cell>
          <cell r="B32" t="str">
            <v>N87301K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5.63</v>
          </cell>
        </row>
        <row r="33">
          <cell r="A33" t="str">
            <v>NY-B15016-W0-S</v>
          </cell>
          <cell r="B33" t="str">
            <v>NY-B15016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15.99</v>
          </cell>
        </row>
        <row r="34">
          <cell r="A34" t="str">
            <v>N2716YYGL38</v>
          </cell>
          <cell r="B34" t="str">
            <v>N2716Y</v>
          </cell>
          <cell r="C34">
            <v>1</v>
          </cell>
          <cell r="D34">
            <v>24</v>
          </cell>
          <cell r="E34">
            <v>0</v>
          </cell>
          <cell r="F34">
            <v>1</v>
          </cell>
          <cell r="G34">
            <v>0.860769230769231</v>
          </cell>
        </row>
        <row r="35">
          <cell r="A35" t="str">
            <v>N9383YG038</v>
          </cell>
          <cell r="B35" t="str">
            <v>N9383Y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13.9</v>
          </cell>
        </row>
        <row r="36">
          <cell r="A36" t="str">
            <v>N888YXS42</v>
          </cell>
          <cell r="B36" t="str">
            <v>N888Y</v>
          </cell>
          <cell r="C36">
            <v>0</v>
          </cell>
          <cell r="D36">
            <v>0</v>
          </cell>
          <cell r="E36">
            <v>1</v>
          </cell>
          <cell r="F36">
            <v>1</v>
          </cell>
          <cell r="G36">
            <v>12.9</v>
          </cell>
        </row>
        <row r="37">
          <cell r="A37" t="str">
            <v>NY-XUHM005-K0-M</v>
          </cell>
          <cell r="B37" t="str">
            <v>NY-B15021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15.99</v>
          </cell>
        </row>
        <row r="38">
          <cell r="A38" t="str">
            <v>N039YTHS40</v>
          </cell>
          <cell r="B38" t="str">
            <v>N039Y</v>
          </cell>
          <cell r="C38">
            <v>0</v>
          </cell>
          <cell r="D38">
            <v>29</v>
          </cell>
          <cell r="E38">
            <v>1</v>
          </cell>
          <cell r="F38">
            <v>0</v>
          </cell>
          <cell r="G38">
            <v>0.266333333333333</v>
          </cell>
        </row>
        <row r="39">
          <cell r="A39" t="str">
            <v>NK-XUHM001-K0-XL</v>
          </cell>
          <cell r="B39" t="str">
            <v>NK-XUHM001</v>
          </cell>
          <cell r="C39">
            <v>0</v>
          </cell>
          <cell r="D39">
            <v>5</v>
          </cell>
          <cell r="E39">
            <v>2</v>
          </cell>
          <cell r="F39">
            <v>0</v>
          </cell>
          <cell r="G39">
            <v>1.99714285714286</v>
          </cell>
        </row>
        <row r="40">
          <cell r="A40" t="str">
            <v>XTLAXSC</v>
          </cell>
          <cell r="B40" t="str">
            <v>XTLA</v>
          </cell>
          <cell r="C40">
            <v>0</v>
          </cell>
          <cell r="D40">
            <v>23</v>
          </cell>
          <cell r="E40">
            <v>1</v>
          </cell>
          <cell r="F40">
            <v>0</v>
          </cell>
          <cell r="G40">
            <v>0.374583333333333</v>
          </cell>
        </row>
        <row r="41">
          <cell r="A41" t="str">
            <v>N2716YYGL34</v>
          </cell>
          <cell r="B41" t="str">
            <v>N2716Y</v>
          </cell>
          <cell r="C41">
            <v>0</v>
          </cell>
          <cell r="D41">
            <v>22</v>
          </cell>
          <cell r="E41">
            <v>1</v>
          </cell>
          <cell r="F41">
            <v>0</v>
          </cell>
          <cell r="G41">
            <v>0.868695652173913</v>
          </cell>
        </row>
        <row r="42">
          <cell r="A42" t="str">
            <v>N2716YR034</v>
          </cell>
          <cell r="B42" t="str">
            <v>N2716Y</v>
          </cell>
          <cell r="C42">
            <v>0</v>
          </cell>
          <cell r="D42">
            <v>26</v>
          </cell>
          <cell r="E42">
            <v>1</v>
          </cell>
          <cell r="F42">
            <v>0</v>
          </cell>
          <cell r="G42">
            <v>0.37</v>
          </cell>
        </row>
        <row r="43">
          <cell r="A43" t="str">
            <v>JBL-QFFMMHL</v>
          </cell>
          <cell r="B43" t="str">
            <v>JBLKTK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20.9</v>
          </cell>
        </row>
        <row r="44">
          <cell r="A44" t="str">
            <v>N89122KK04XL</v>
          </cell>
          <cell r="B44" t="str">
            <v>N89122K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0</v>
          </cell>
        </row>
        <row r="45">
          <cell r="A45" t="str">
            <v>N9932YR036</v>
          </cell>
          <cell r="B45" t="str">
            <v>N9932Y</v>
          </cell>
          <cell r="C45">
            <v>0</v>
          </cell>
          <cell r="D45">
            <v>2</v>
          </cell>
          <cell r="E45">
            <v>1</v>
          </cell>
          <cell r="F45">
            <v>0</v>
          </cell>
          <cell r="G45">
            <v>4.3</v>
          </cell>
        </row>
        <row r="46">
          <cell r="A46" t="str">
            <v>N039YB040</v>
          </cell>
          <cell r="B46" t="str">
            <v>N029Y</v>
          </cell>
          <cell r="C46">
            <v>0</v>
          </cell>
          <cell r="D46">
            <v>22</v>
          </cell>
          <cell r="E46">
            <v>2</v>
          </cell>
          <cell r="F46">
            <v>0</v>
          </cell>
          <cell r="G46">
            <v>0.668333333333333</v>
          </cell>
        </row>
        <row r="47">
          <cell r="A47" t="str">
            <v>NY-B15021-PI-L</v>
          </cell>
          <cell r="B47" t="str">
            <v>NY-B15021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15.99</v>
          </cell>
        </row>
        <row r="48">
          <cell r="A48" t="str">
            <v>NY-B15021-B0-XL</v>
          </cell>
          <cell r="B48" t="str">
            <v>NY-B15021</v>
          </cell>
          <cell r="C48">
            <v>0</v>
          </cell>
          <cell r="D48">
            <v>1</v>
          </cell>
          <cell r="E48">
            <v>1</v>
          </cell>
          <cell r="F48">
            <v>0</v>
          </cell>
          <cell r="G48">
            <v>15.99</v>
          </cell>
        </row>
        <row r="49">
          <cell r="A49" t="str">
            <v>NY-B15021-B0-S</v>
          </cell>
          <cell r="B49" t="str">
            <v>NY-B15016</v>
          </cell>
          <cell r="C49">
            <v>0</v>
          </cell>
          <cell r="D49">
            <v>0</v>
          </cell>
          <cell r="E49">
            <v>1</v>
          </cell>
          <cell r="F49">
            <v>0</v>
          </cell>
          <cell r="G49">
            <v>15.99</v>
          </cell>
        </row>
        <row r="50">
          <cell r="A50" t="str">
            <v>N039YP040</v>
          </cell>
          <cell r="B50" t="str">
            <v>N039Y</v>
          </cell>
          <cell r="C50">
            <v>0</v>
          </cell>
          <cell r="D50">
            <v>27</v>
          </cell>
          <cell r="E50">
            <v>2</v>
          </cell>
          <cell r="F50">
            <v>0</v>
          </cell>
          <cell r="G50">
            <v>0.549655172413793</v>
          </cell>
        </row>
        <row r="51">
          <cell r="A51" t="str">
            <v>N2716YR038</v>
          </cell>
          <cell r="B51" t="str">
            <v>N2716Y</v>
          </cell>
          <cell r="C51">
            <v>0</v>
          </cell>
          <cell r="D51">
            <v>25</v>
          </cell>
          <cell r="E51">
            <v>2</v>
          </cell>
          <cell r="F51">
            <v>0</v>
          </cell>
          <cell r="G51">
            <v>0.74</v>
          </cell>
        </row>
        <row r="52">
          <cell r="A52" t="str">
            <v>NY-XUHM002-PI-S</v>
          </cell>
          <cell r="B52" t="str">
            <v>NY-B15021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15.99</v>
          </cell>
        </row>
        <row r="53">
          <cell r="A53" t="str">
            <v>N029YMH38</v>
          </cell>
          <cell r="B53" t="str">
            <v>N029Y</v>
          </cell>
          <cell r="C53">
            <v>0</v>
          </cell>
          <cell r="D53">
            <v>71</v>
          </cell>
          <cell r="E53">
            <v>1</v>
          </cell>
          <cell r="F53">
            <v>0</v>
          </cell>
          <cell r="G53">
            <v>0.138888888888889</v>
          </cell>
        </row>
        <row r="54">
          <cell r="A54" t="str">
            <v>N31459YMH48</v>
          </cell>
          <cell r="B54" t="str">
            <v>N31459Y</v>
          </cell>
          <cell r="C54">
            <v>0</v>
          </cell>
          <cell r="D54">
            <v>9</v>
          </cell>
          <cell r="E54">
            <v>1</v>
          </cell>
          <cell r="F54">
            <v>0</v>
          </cell>
          <cell r="G54">
            <v>1.39</v>
          </cell>
        </row>
        <row r="55">
          <cell r="A55" t="str">
            <v>N039YR038</v>
          </cell>
          <cell r="B55" t="str">
            <v>N039Y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9.99</v>
          </cell>
        </row>
        <row r="56">
          <cell r="A56" t="str">
            <v>NY-XUHM005-GA-S</v>
          </cell>
          <cell r="B56" t="str">
            <v>NY-B15021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15.99</v>
          </cell>
        </row>
        <row r="57">
          <cell r="A57" t="str">
            <v>NY-B15021-K0-L</v>
          </cell>
          <cell r="B57" t="str">
            <v>NY-B15021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32.83</v>
          </cell>
        </row>
        <row r="58">
          <cell r="A58" t="str">
            <v>N029YE040</v>
          </cell>
          <cell r="B58" t="str">
            <v>MZCXK</v>
          </cell>
          <cell r="C58">
            <v>0</v>
          </cell>
          <cell r="D58">
            <v>44</v>
          </cell>
          <cell r="E58">
            <v>2</v>
          </cell>
          <cell r="F58">
            <v>0</v>
          </cell>
          <cell r="G58">
            <v>0.338695652173913</v>
          </cell>
        </row>
        <row r="59">
          <cell r="A59" t="str">
            <v>NY-B15021-B0-M</v>
          </cell>
          <cell r="B59" t="str">
            <v>NY-B15016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15.99</v>
          </cell>
        </row>
        <row r="60">
          <cell r="A60" t="str">
            <v>N9383YG046</v>
          </cell>
          <cell r="B60" t="str">
            <v>N9383Y</v>
          </cell>
          <cell r="C60">
            <v>0</v>
          </cell>
          <cell r="D60">
            <v>2</v>
          </cell>
          <cell r="E60">
            <v>1</v>
          </cell>
          <cell r="F60">
            <v>0</v>
          </cell>
          <cell r="G60">
            <v>4.63333333333333</v>
          </cell>
        </row>
        <row r="61">
          <cell r="A61" t="str">
            <v>N3818-2YW046</v>
          </cell>
          <cell r="B61" t="str">
            <v>N3818-2Y</v>
          </cell>
          <cell r="C61">
            <v>0</v>
          </cell>
          <cell r="D61">
            <v>40</v>
          </cell>
          <cell r="E61">
            <v>1</v>
          </cell>
          <cell r="F61">
            <v>0</v>
          </cell>
          <cell r="G61">
            <v>0.21609756097561</v>
          </cell>
        </row>
        <row r="62">
          <cell r="A62" t="str">
            <v>N9383YMH48</v>
          </cell>
          <cell r="B62" t="str">
            <v>N9383Y</v>
          </cell>
          <cell r="C62">
            <v>0</v>
          </cell>
          <cell r="D62">
            <v>0</v>
          </cell>
          <cell r="E62">
            <v>1</v>
          </cell>
          <cell r="F62">
            <v>0</v>
          </cell>
          <cell r="G62">
            <v>13.9</v>
          </cell>
        </row>
        <row r="63">
          <cell r="A63" t="str">
            <v>N029YHL38</v>
          </cell>
          <cell r="B63" t="str">
            <v>N029Y</v>
          </cell>
          <cell r="C63">
            <v>0</v>
          </cell>
          <cell r="D63">
            <v>43</v>
          </cell>
          <cell r="E63">
            <v>1</v>
          </cell>
          <cell r="F63">
            <v>0</v>
          </cell>
          <cell r="G63">
            <v>0.173863636363636</v>
          </cell>
        </row>
        <row r="64">
          <cell r="A64" t="str">
            <v>N029YHL36</v>
          </cell>
          <cell r="B64" t="str">
            <v>N029Y</v>
          </cell>
          <cell r="C64">
            <v>0</v>
          </cell>
          <cell r="D64">
            <v>40</v>
          </cell>
          <cell r="E64">
            <v>1</v>
          </cell>
          <cell r="F64">
            <v>0</v>
          </cell>
          <cell r="G64">
            <v>0.187317073170732</v>
          </cell>
        </row>
        <row r="65">
          <cell r="A65" t="str">
            <v>NY-B15021-K0-S</v>
          </cell>
          <cell r="B65" t="str">
            <v>NY-B15021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15.99</v>
          </cell>
        </row>
        <row r="66">
          <cell r="A66" t="str">
            <v>N029YE036</v>
          </cell>
          <cell r="B66" t="str">
            <v>MZCXK</v>
          </cell>
          <cell r="C66">
            <v>0</v>
          </cell>
          <cell r="D66">
            <v>41</v>
          </cell>
          <cell r="E66">
            <v>0</v>
          </cell>
          <cell r="F66">
            <v>0</v>
          </cell>
          <cell r="G66">
            <v>0</v>
          </cell>
        </row>
        <row r="67">
          <cell r="A67" t="str">
            <v>N029YE038</v>
          </cell>
          <cell r="B67" t="str">
            <v>MZCXK</v>
          </cell>
          <cell r="C67">
            <v>0</v>
          </cell>
          <cell r="D67">
            <v>38</v>
          </cell>
          <cell r="E67">
            <v>0</v>
          </cell>
          <cell r="F67">
            <v>0</v>
          </cell>
          <cell r="G67">
            <v>0</v>
          </cell>
        </row>
        <row r="68">
          <cell r="A68" t="str">
            <v>N029YMH36</v>
          </cell>
          <cell r="B68" t="str">
            <v>N029Y</v>
          </cell>
          <cell r="C68">
            <v>0</v>
          </cell>
          <cell r="D68">
            <v>32</v>
          </cell>
          <cell r="E68">
            <v>0</v>
          </cell>
          <cell r="F68">
            <v>0</v>
          </cell>
          <cell r="G68">
            <v>0</v>
          </cell>
        </row>
        <row r="69">
          <cell r="A69" t="str">
            <v>N039YB036</v>
          </cell>
          <cell r="B69" t="str">
            <v>N029Y</v>
          </cell>
          <cell r="C69">
            <v>0</v>
          </cell>
          <cell r="D69">
            <v>31</v>
          </cell>
          <cell r="E69">
            <v>0</v>
          </cell>
          <cell r="F69">
            <v>0</v>
          </cell>
          <cell r="G69">
            <v>0.322258064516129</v>
          </cell>
        </row>
        <row r="70">
          <cell r="A70" t="str">
            <v>N039YB038</v>
          </cell>
          <cell r="B70" t="str">
            <v>N029Y</v>
          </cell>
          <cell r="C70">
            <v>0</v>
          </cell>
          <cell r="D70">
            <v>29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N039YG036</v>
          </cell>
          <cell r="B71" t="str">
            <v>N039Y</v>
          </cell>
          <cell r="C71">
            <v>0</v>
          </cell>
          <cell r="D71">
            <v>25</v>
          </cell>
          <cell r="E71">
            <v>0</v>
          </cell>
          <cell r="F71">
            <v>0</v>
          </cell>
          <cell r="G71">
            <v>0</v>
          </cell>
        </row>
        <row r="72">
          <cell r="A72" t="str">
            <v>N039YG038</v>
          </cell>
          <cell r="B72" t="str">
            <v>N039Y</v>
          </cell>
          <cell r="C72">
            <v>0</v>
          </cell>
          <cell r="D72">
            <v>26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N039YG040</v>
          </cell>
          <cell r="B73" t="str">
            <v>N039Y</v>
          </cell>
          <cell r="C73">
            <v>0</v>
          </cell>
          <cell r="D73">
            <v>32</v>
          </cell>
          <cell r="E73">
            <v>0</v>
          </cell>
          <cell r="F73">
            <v>0</v>
          </cell>
          <cell r="G73">
            <v>0</v>
          </cell>
        </row>
        <row r="74">
          <cell r="A74" t="str">
            <v>N039YP036</v>
          </cell>
          <cell r="B74" t="str">
            <v>N039Y</v>
          </cell>
          <cell r="C74">
            <v>0</v>
          </cell>
          <cell r="D74">
            <v>27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N039YP038</v>
          </cell>
          <cell r="B75" t="str">
            <v>N039Y</v>
          </cell>
          <cell r="C75">
            <v>0</v>
          </cell>
          <cell r="D75">
            <v>29</v>
          </cell>
          <cell r="E75">
            <v>0</v>
          </cell>
          <cell r="F75">
            <v>0</v>
          </cell>
          <cell r="G75">
            <v>0</v>
          </cell>
        </row>
        <row r="76">
          <cell r="A76" t="str">
            <v>N039YR036</v>
          </cell>
          <cell r="B76" t="str">
            <v>N039Y</v>
          </cell>
          <cell r="C76">
            <v>0</v>
          </cell>
          <cell r="D76">
            <v>8</v>
          </cell>
          <cell r="E76">
            <v>0</v>
          </cell>
          <cell r="F76">
            <v>0</v>
          </cell>
          <cell r="G76">
            <v>1.24875</v>
          </cell>
        </row>
        <row r="77">
          <cell r="A77" t="str">
            <v>N039YR040</v>
          </cell>
          <cell r="B77" t="str">
            <v>N039Y</v>
          </cell>
          <cell r="C77">
            <v>0</v>
          </cell>
          <cell r="D77">
            <v>18</v>
          </cell>
          <cell r="E77">
            <v>0</v>
          </cell>
          <cell r="F77">
            <v>0</v>
          </cell>
          <cell r="G77">
            <v>0</v>
          </cell>
        </row>
        <row r="78">
          <cell r="A78" t="str">
            <v>N039YTHS36</v>
          </cell>
          <cell r="B78" t="str">
            <v>N039Y</v>
          </cell>
          <cell r="C78">
            <v>0</v>
          </cell>
          <cell r="D78">
            <v>23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N039YTHS38</v>
          </cell>
          <cell r="B79" t="str">
            <v>N039Y</v>
          </cell>
          <cell r="C79">
            <v>0</v>
          </cell>
          <cell r="D79">
            <v>28</v>
          </cell>
          <cell r="E79">
            <v>0</v>
          </cell>
          <cell r="F79">
            <v>0</v>
          </cell>
          <cell r="G79">
            <v>0</v>
          </cell>
        </row>
        <row r="80">
          <cell r="A80" t="str">
            <v>N039YXGH36</v>
          </cell>
          <cell r="B80" t="str">
            <v>N039Y</v>
          </cell>
          <cell r="C80">
            <v>0</v>
          </cell>
          <cell r="D80">
            <v>32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N039YXGH38</v>
          </cell>
          <cell r="B81" t="str">
            <v>N039Y</v>
          </cell>
          <cell r="C81">
            <v>0</v>
          </cell>
          <cell r="D81">
            <v>32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N039YXGH40</v>
          </cell>
          <cell r="B82" t="str">
            <v>N039Y</v>
          </cell>
          <cell r="C82">
            <v>0</v>
          </cell>
          <cell r="D82">
            <v>29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N158YB038</v>
          </cell>
          <cell r="B83" t="str">
            <v>N1228Y</v>
          </cell>
          <cell r="C83">
            <v>0</v>
          </cell>
          <cell r="D83">
            <v>2</v>
          </cell>
          <cell r="E83">
            <v>0</v>
          </cell>
          <cell r="F83">
            <v>0</v>
          </cell>
          <cell r="G83">
            <v>0</v>
          </cell>
        </row>
        <row r="84">
          <cell r="A84" t="str">
            <v>N158YK038</v>
          </cell>
          <cell r="B84" t="str">
            <v>N1228Y</v>
          </cell>
          <cell r="C84">
            <v>0</v>
          </cell>
          <cell r="D84">
            <v>2</v>
          </cell>
          <cell r="E84">
            <v>0</v>
          </cell>
          <cell r="F84">
            <v>0</v>
          </cell>
          <cell r="G84">
            <v>0</v>
          </cell>
        </row>
        <row r="85">
          <cell r="A85" t="str">
            <v>N158YR038</v>
          </cell>
          <cell r="B85" t="str">
            <v>N158Y</v>
          </cell>
          <cell r="C85">
            <v>0</v>
          </cell>
          <cell r="D85">
            <v>2</v>
          </cell>
          <cell r="E85">
            <v>0</v>
          </cell>
          <cell r="F85">
            <v>0</v>
          </cell>
          <cell r="G85">
            <v>0</v>
          </cell>
        </row>
        <row r="86">
          <cell r="A86" t="str">
            <v>N1709YR042</v>
          </cell>
          <cell r="B86" t="str">
            <v>N1709Y</v>
          </cell>
          <cell r="C86">
            <v>0</v>
          </cell>
          <cell r="D86">
            <v>2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N1709YR046</v>
          </cell>
          <cell r="B87" t="str">
            <v>N1709Y</v>
          </cell>
          <cell r="C87">
            <v>0</v>
          </cell>
          <cell r="D87">
            <v>8</v>
          </cell>
          <cell r="E87">
            <v>0</v>
          </cell>
          <cell r="F87">
            <v>0</v>
          </cell>
          <cell r="G87">
            <v>0</v>
          </cell>
        </row>
        <row r="88">
          <cell r="A88" t="str">
            <v>N1709YR048</v>
          </cell>
          <cell r="B88" t="str">
            <v>N1709Y</v>
          </cell>
          <cell r="C88">
            <v>0</v>
          </cell>
          <cell r="D88">
            <v>15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N1709YZS44</v>
          </cell>
          <cell r="B89" t="str">
            <v>N1709Y</v>
          </cell>
          <cell r="C89">
            <v>0</v>
          </cell>
          <cell r="D89">
            <v>4</v>
          </cell>
          <cell r="E89">
            <v>0</v>
          </cell>
          <cell r="F89">
            <v>0</v>
          </cell>
          <cell r="G89">
            <v>0</v>
          </cell>
        </row>
        <row r="90">
          <cell r="A90" t="str">
            <v>N1709YZS46</v>
          </cell>
          <cell r="B90" t="str">
            <v>N1709Y</v>
          </cell>
          <cell r="C90">
            <v>0</v>
          </cell>
          <cell r="D90">
            <v>8</v>
          </cell>
          <cell r="E90">
            <v>0</v>
          </cell>
          <cell r="F90">
            <v>0</v>
          </cell>
          <cell r="G90">
            <v>0</v>
          </cell>
        </row>
        <row r="91">
          <cell r="A91" t="str">
            <v>N1709YZS48</v>
          </cell>
          <cell r="B91" t="str">
            <v>N1709Y</v>
          </cell>
          <cell r="C91">
            <v>0</v>
          </cell>
          <cell r="D91">
            <v>3</v>
          </cell>
          <cell r="E91">
            <v>0</v>
          </cell>
          <cell r="F91">
            <v>0</v>
          </cell>
          <cell r="G91">
            <v>0</v>
          </cell>
        </row>
        <row r="92">
          <cell r="A92" t="str">
            <v>N2033YK036</v>
          </cell>
          <cell r="B92" t="str">
            <v>N1709Y</v>
          </cell>
          <cell r="C92">
            <v>0</v>
          </cell>
          <cell r="D92">
            <v>2</v>
          </cell>
          <cell r="E92">
            <v>0</v>
          </cell>
          <cell r="F92">
            <v>0</v>
          </cell>
          <cell r="G92">
            <v>0</v>
          </cell>
        </row>
        <row r="93">
          <cell r="A93" t="str">
            <v>N2082YK034</v>
          </cell>
          <cell r="B93" t="str">
            <v>N2047Y</v>
          </cell>
          <cell r="C93">
            <v>0</v>
          </cell>
          <cell r="D93">
            <v>2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N2082YK038</v>
          </cell>
          <cell r="B94" t="str">
            <v>N2047Y</v>
          </cell>
          <cell r="C94">
            <v>0</v>
          </cell>
          <cell r="D94">
            <v>2</v>
          </cell>
          <cell r="E94">
            <v>0</v>
          </cell>
          <cell r="F94">
            <v>0</v>
          </cell>
          <cell r="G94">
            <v>0</v>
          </cell>
        </row>
        <row r="95">
          <cell r="A95" t="str">
            <v>N2716YHL34</v>
          </cell>
          <cell r="B95" t="str">
            <v>N263Y</v>
          </cell>
          <cell r="C95">
            <v>0</v>
          </cell>
          <cell r="D95">
            <v>44</v>
          </cell>
          <cell r="E95">
            <v>0</v>
          </cell>
          <cell r="F95">
            <v>0</v>
          </cell>
          <cell r="G95">
            <v>0</v>
          </cell>
        </row>
        <row r="96">
          <cell r="A96" t="str">
            <v>N2716YHL36</v>
          </cell>
          <cell r="B96" t="str">
            <v>N263Y</v>
          </cell>
          <cell r="C96">
            <v>0</v>
          </cell>
          <cell r="D96">
            <v>39</v>
          </cell>
          <cell r="E96">
            <v>0</v>
          </cell>
          <cell r="F96">
            <v>0</v>
          </cell>
          <cell r="G96">
            <v>0</v>
          </cell>
        </row>
        <row r="97">
          <cell r="A97" t="str">
            <v>N2716YMH34</v>
          </cell>
          <cell r="B97" t="str">
            <v>N2716Y</v>
          </cell>
          <cell r="C97">
            <v>0</v>
          </cell>
          <cell r="D97">
            <v>46</v>
          </cell>
          <cell r="E97">
            <v>0</v>
          </cell>
          <cell r="F97">
            <v>0</v>
          </cell>
          <cell r="G97">
            <v>0.173695652173913</v>
          </cell>
        </row>
        <row r="98">
          <cell r="A98" t="str">
            <v>N2716YMH36</v>
          </cell>
          <cell r="B98" t="str">
            <v>N2716Y</v>
          </cell>
          <cell r="C98">
            <v>1</v>
          </cell>
          <cell r="D98">
            <v>32</v>
          </cell>
          <cell r="E98">
            <v>0</v>
          </cell>
          <cell r="F98">
            <v>0</v>
          </cell>
          <cell r="G98">
            <v>0.163939393939394</v>
          </cell>
        </row>
        <row r="99">
          <cell r="A99" t="str">
            <v>N2716YMH38</v>
          </cell>
          <cell r="B99" t="str">
            <v>N2716Y</v>
          </cell>
          <cell r="C99">
            <v>0</v>
          </cell>
          <cell r="D99">
            <v>44</v>
          </cell>
          <cell r="E99">
            <v>0</v>
          </cell>
          <cell r="F99">
            <v>0</v>
          </cell>
          <cell r="G99">
            <v>0</v>
          </cell>
        </row>
        <row r="100">
          <cell r="A100" t="str">
            <v>N2716YR036</v>
          </cell>
          <cell r="B100" t="str">
            <v>N2716Y</v>
          </cell>
          <cell r="C100">
            <v>0</v>
          </cell>
          <cell r="D100">
            <v>22</v>
          </cell>
          <cell r="E100">
            <v>0</v>
          </cell>
          <cell r="F100">
            <v>0</v>
          </cell>
          <cell r="G100">
            <v>0</v>
          </cell>
        </row>
        <row r="101">
          <cell r="A101" t="str">
            <v>N31459YB040</v>
          </cell>
          <cell r="B101" t="str">
            <v>N299Y</v>
          </cell>
          <cell r="C101">
            <v>0</v>
          </cell>
          <cell r="D101">
            <v>6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N31459YB042</v>
          </cell>
          <cell r="B102" t="str">
            <v>N299Y</v>
          </cell>
          <cell r="C102">
            <v>0</v>
          </cell>
          <cell r="D102">
            <v>3</v>
          </cell>
          <cell r="E102">
            <v>0</v>
          </cell>
          <cell r="F102">
            <v>0</v>
          </cell>
          <cell r="G102">
            <v>0</v>
          </cell>
        </row>
        <row r="103">
          <cell r="A103" t="str">
            <v>N31459YJS42</v>
          </cell>
          <cell r="B103" t="str">
            <v>N31459Y</v>
          </cell>
          <cell r="C103">
            <v>0</v>
          </cell>
          <cell r="D103">
            <v>9</v>
          </cell>
          <cell r="E103">
            <v>0</v>
          </cell>
          <cell r="F103">
            <v>0</v>
          </cell>
          <cell r="G103">
            <v>0</v>
          </cell>
        </row>
        <row r="104">
          <cell r="A104" t="str">
            <v>N31459YJS46</v>
          </cell>
          <cell r="B104" t="str">
            <v>N31459Y</v>
          </cell>
          <cell r="C104">
            <v>0</v>
          </cell>
          <cell r="D104">
            <v>11</v>
          </cell>
          <cell r="E104">
            <v>0</v>
          </cell>
          <cell r="F104">
            <v>0</v>
          </cell>
          <cell r="G104">
            <v>0</v>
          </cell>
        </row>
        <row r="105">
          <cell r="A105" t="str">
            <v>N31459YMH42</v>
          </cell>
          <cell r="B105" t="str">
            <v>N31459Y</v>
          </cell>
          <cell r="C105">
            <v>0</v>
          </cell>
          <cell r="D105">
            <v>4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N31459YMH44</v>
          </cell>
          <cell r="B106" t="str">
            <v>N31459Y</v>
          </cell>
          <cell r="C106">
            <v>0</v>
          </cell>
          <cell r="D106">
            <v>4</v>
          </cell>
          <cell r="E106">
            <v>0</v>
          </cell>
          <cell r="F106">
            <v>0</v>
          </cell>
          <cell r="G106">
            <v>0</v>
          </cell>
        </row>
        <row r="107">
          <cell r="A107" t="str">
            <v>N31459YMH46</v>
          </cell>
          <cell r="B107" t="str">
            <v>N31459Y</v>
          </cell>
          <cell r="C107">
            <v>0</v>
          </cell>
          <cell r="D107">
            <v>5</v>
          </cell>
          <cell r="E107">
            <v>0</v>
          </cell>
          <cell r="F107">
            <v>0</v>
          </cell>
          <cell r="G107">
            <v>0</v>
          </cell>
        </row>
        <row r="108">
          <cell r="A108" t="str">
            <v>N31459YP044</v>
          </cell>
          <cell r="B108" t="str">
            <v>N31459Y</v>
          </cell>
          <cell r="C108">
            <v>0</v>
          </cell>
          <cell r="D108">
            <v>8</v>
          </cell>
          <cell r="E108">
            <v>0</v>
          </cell>
          <cell r="F108">
            <v>0</v>
          </cell>
          <cell r="G108">
            <v>0</v>
          </cell>
        </row>
        <row r="109">
          <cell r="A109" t="str">
            <v>N31459YR038</v>
          </cell>
          <cell r="B109" t="str">
            <v>N31459Y</v>
          </cell>
          <cell r="C109">
            <v>0</v>
          </cell>
          <cell r="D109">
            <v>2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N3818-2YW038</v>
          </cell>
          <cell r="B110" t="str">
            <v>N3818-2Y</v>
          </cell>
          <cell r="C110">
            <v>0</v>
          </cell>
          <cell r="D110">
            <v>34</v>
          </cell>
          <cell r="E110">
            <v>0</v>
          </cell>
          <cell r="F110">
            <v>0</v>
          </cell>
          <cell r="G110">
            <v>0</v>
          </cell>
        </row>
        <row r="111">
          <cell r="A111" t="str">
            <v>N3818-2YW040</v>
          </cell>
          <cell r="B111" t="str">
            <v>N3818-2Y</v>
          </cell>
          <cell r="C111">
            <v>0</v>
          </cell>
          <cell r="D111">
            <v>22</v>
          </cell>
          <cell r="E111">
            <v>0</v>
          </cell>
          <cell r="F111">
            <v>0</v>
          </cell>
          <cell r="G111">
            <v>0</v>
          </cell>
        </row>
        <row r="112">
          <cell r="A112" t="str">
            <v>N3818-2YW044</v>
          </cell>
          <cell r="B112" t="str">
            <v>N3818-2Y</v>
          </cell>
          <cell r="C112">
            <v>0</v>
          </cell>
          <cell r="D112">
            <v>48</v>
          </cell>
          <cell r="E112">
            <v>0</v>
          </cell>
          <cell r="F112">
            <v>0</v>
          </cell>
          <cell r="G112">
            <v>0</v>
          </cell>
        </row>
        <row r="113">
          <cell r="A113" t="str">
            <v>N3818-2YW048</v>
          </cell>
          <cell r="B113" t="str">
            <v>N3818-2Y</v>
          </cell>
          <cell r="C113">
            <v>0</v>
          </cell>
          <cell r="D113">
            <v>44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N531YB036</v>
          </cell>
          <cell r="B114" t="str">
            <v>N5100Y</v>
          </cell>
          <cell r="C114">
            <v>0</v>
          </cell>
          <cell r="D114">
            <v>54</v>
          </cell>
          <cell r="E114">
            <v>0</v>
          </cell>
          <cell r="F114">
            <v>0</v>
          </cell>
          <cell r="G114">
            <v>0</v>
          </cell>
        </row>
        <row r="115">
          <cell r="A115" t="str">
            <v>N531YB038</v>
          </cell>
          <cell r="B115" t="str">
            <v>N5100Y</v>
          </cell>
          <cell r="C115">
            <v>0</v>
          </cell>
          <cell r="D115">
            <v>26</v>
          </cell>
          <cell r="E115">
            <v>0</v>
          </cell>
          <cell r="F115">
            <v>0</v>
          </cell>
          <cell r="G115">
            <v>0</v>
          </cell>
        </row>
        <row r="116">
          <cell r="A116" t="str">
            <v>N531YB040</v>
          </cell>
          <cell r="B116" t="str">
            <v>N531Y</v>
          </cell>
          <cell r="C116">
            <v>0</v>
          </cell>
          <cell r="D116">
            <v>27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N531YK034</v>
          </cell>
          <cell r="B117" t="str">
            <v>N531Y</v>
          </cell>
          <cell r="C117">
            <v>0</v>
          </cell>
          <cell r="D117">
            <v>27</v>
          </cell>
          <cell r="E117">
            <v>0</v>
          </cell>
          <cell r="F117">
            <v>0</v>
          </cell>
          <cell r="G117">
            <v>0</v>
          </cell>
        </row>
        <row r="118">
          <cell r="A118" t="str">
            <v>N531YK036</v>
          </cell>
          <cell r="B118" t="str">
            <v>N531Y</v>
          </cell>
          <cell r="C118">
            <v>0</v>
          </cell>
          <cell r="D118">
            <v>27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N531YK038</v>
          </cell>
          <cell r="B119" t="str">
            <v>N531Y</v>
          </cell>
          <cell r="C119">
            <v>0</v>
          </cell>
          <cell r="D119">
            <v>26</v>
          </cell>
          <cell r="E119">
            <v>0</v>
          </cell>
          <cell r="F119">
            <v>0</v>
          </cell>
          <cell r="G119">
            <v>0</v>
          </cell>
        </row>
        <row r="120">
          <cell r="A120" t="str">
            <v>N531YK040</v>
          </cell>
          <cell r="B120" t="str">
            <v>N531Y</v>
          </cell>
          <cell r="C120">
            <v>0</v>
          </cell>
          <cell r="D120">
            <v>28</v>
          </cell>
          <cell r="E120">
            <v>0</v>
          </cell>
          <cell r="F120">
            <v>0</v>
          </cell>
          <cell r="G120">
            <v>0</v>
          </cell>
        </row>
        <row r="121">
          <cell r="A121" t="str">
            <v>N531YQL34</v>
          </cell>
          <cell r="B121" t="str">
            <v>N531Y</v>
          </cell>
          <cell r="C121">
            <v>0</v>
          </cell>
          <cell r="D121">
            <v>28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N531YQL36</v>
          </cell>
          <cell r="B122" t="str">
            <v>N531Y</v>
          </cell>
          <cell r="C122">
            <v>0</v>
          </cell>
          <cell r="D122">
            <v>25</v>
          </cell>
          <cell r="E122">
            <v>0</v>
          </cell>
          <cell r="F122">
            <v>0</v>
          </cell>
          <cell r="G122">
            <v>0</v>
          </cell>
        </row>
        <row r="123">
          <cell r="A123" t="str">
            <v>N531YQL38</v>
          </cell>
          <cell r="B123" t="str">
            <v>N531Y</v>
          </cell>
          <cell r="C123">
            <v>0</v>
          </cell>
          <cell r="D123">
            <v>30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 t="str">
            <v>N531YR034</v>
          </cell>
          <cell r="B124" t="str">
            <v>N531Y</v>
          </cell>
          <cell r="C124">
            <v>0</v>
          </cell>
          <cell r="D124">
            <v>27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N531YR036</v>
          </cell>
          <cell r="B125" t="str">
            <v>N531Y</v>
          </cell>
          <cell r="C125">
            <v>0</v>
          </cell>
          <cell r="D125">
            <v>29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N531YR038</v>
          </cell>
          <cell r="B126" t="str">
            <v>N531Y</v>
          </cell>
          <cell r="C126">
            <v>0</v>
          </cell>
          <cell r="D126">
            <v>26</v>
          </cell>
          <cell r="E126">
            <v>0</v>
          </cell>
          <cell r="F126">
            <v>0</v>
          </cell>
          <cell r="G126">
            <v>0</v>
          </cell>
        </row>
        <row r="127">
          <cell r="A127" t="str">
            <v>N531YXS34</v>
          </cell>
          <cell r="B127" t="str">
            <v>N531Y</v>
          </cell>
          <cell r="C127">
            <v>0</v>
          </cell>
          <cell r="D127">
            <v>30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N531YXS36</v>
          </cell>
          <cell r="B128" t="str">
            <v>N531Y</v>
          </cell>
          <cell r="C128">
            <v>0</v>
          </cell>
          <cell r="D128">
            <v>28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N531YXS38</v>
          </cell>
          <cell r="B129" t="str">
            <v>N531Y</v>
          </cell>
          <cell r="C129">
            <v>0</v>
          </cell>
          <cell r="D129">
            <v>28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N531YXS40</v>
          </cell>
          <cell r="B130" t="str">
            <v>N531Y</v>
          </cell>
          <cell r="C130">
            <v>0</v>
          </cell>
          <cell r="D130">
            <v>26</v>
          </cell>
          <cell r="E130">
            <v>0</v>
          </cell>
          <cell r="F130">
            <v>0</v>
          </cell>
          <cell r="G130">
            <v>0</v>
          </cell>
        </row>
        <row r="131">
          <cell r="A131" t="str">
            <v>N583YQZ40</v>
          </cell>
          <cell r="B131" t="str">
            <v>N5330Y</v>
          </cell>
          <cell r="C131">
            <v>0</v>
          </cell>
          <cell r="D131">
            <v>3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N583YQZ42</v>
          </cell>
          <cell r="B132" t="str">
            <v>N583Y</v>
          </cell>
          <cell r="C132">
            <v>0</v>
          </cell>
          <cell r="D132">
            <v>3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N888YK036</v>
          </cell>
          <cell r="B133" t="str">
            <v>N87319K</v>
          </cell>
          <cell r="C133">
            <v>0</v>
          </cell>
          <cell r="D133">
            <v>3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N888YK038</v>
          </cell>
          <cell r="B134" t="str">
            <v>N87319K</v>
          </cell>
          <cell r="C134">
            <v>0</v>
          </cell>
          <cell r="D134">
            <v>2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N888YK042</v>
          </cell>
          <cell r="B135" t="str">
            <v>N888Y</v>
          </cell>
          <cell r="C135">
            <v>0</v>
          </cell>
          <cell r="D135">
            <v>3</v>
          </cell>
          <cell r="E135">
            <v>0</v>
          </cell>
          <cell r="F135">
            <v>0</v>
          </cell>
          <cell r="G135">
            <v>0</v>
          </cell>
        </row>
        <row r="136">
          <cell r="A136" t="str">
            <v>N888YR536</v>
          </cell>
          <cell r="B136" t="str">
            <v>N888Y</v>
          </cell>
          <cell r="C136">
            <v>0</v>
          </cell>
          <cell r="D136">
            <v>2</v>
          </cell>
          <cell r="E136">
            <v>0</v>
          </cell>
          <cell r="F136">
            <v>0</v>
          </cell>
          <cell r="G136">
            <v>0</v>
          </cell>
        </row>
        <row r="137">
          <cell r="A137" t="str">
            <v>N888YR538</v>
          </cell>
          <cell r="B137" t="str">
            <v>N888Y</v>
          </cell>
          <cell r="C137">
            <v>0</v>
          </cell>
          <cell r="D137">
            <v>3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N888YR540</v>
          </cell>
          <cell r="B138" t="str">
            <v>N888Y</v>
          </cell>
          <cell r="C138">
            <v>0</v>
          </cell>
          <cell r="D138">
            <v>3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N888YR542</v>
          </cell>
          <cell r="B139" t="str">
            <v>N888Y</v>
          </cell>
          <cell r="C139">
            <v>0</v>
          </cell>
          <cell r="D139">
            <v>3</v>
          </cell>
          <cell r="E139">
            <v>0</v>
          </cell>
          <cell r="F139">
            <v>0</v>
          </cell>
          <cell r="G139">
            <v>0</v>
          </cell>
        </row>
        <row r="140">
          <cell r="A140" t="str">
            <v>N888YXS36</v>
          </cell>
          <cell r="B140" t="str">
            <v>N888Y</v>
          </cell>
          <cell r="C140">
            <v>0</v>
          </cell>
          <cell r="D140">
            <v>3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N888YXS38</v>
          </cell>
          <cell r="B141" t="str">
            <v>N888Y</v>
          </cell>
          <cell r="C141">
            <v>0</v>
          </cell>
          <cell r="D141">
            <v>3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N9383YB040</v>
          </cell>
          <cell r="B142" t="str">
            <v>N89122K</v>
          </cell>
          <cell r="C142">
            <v>0</v>
          </cell>
          <cell r="D142">
            <v>13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N9383YB046</v>
          </cell>
          <cell r="B143" t="str">
            <v>N9383Y</v>
          </cell>
          <cell r="C143">
            <v>0</v>
          </cell>
          <cell r="D143">
            <v>10</v>
          </cell>
          <cell r="E143">
            <v>0</v>
          </cell>
          <cell r="F143">
            <v>0</v>
          </cell>
          <cell r="G143">
            <v>0</v>
          </cell>
        </row>
        <row r="144">
          <cell r="A144" t="str">
            <v>N9383YG042</v>
          </cell>
          <cell r="B144" t="str">
            <v>N9383Y</v>
          </cell>
          <cell r="C144">
            <v>0</v>
          </cell>
          <cell r="D144">
            <v>3</v>
          </cell>
          <cell r="E144">
            <v>0</v>
          </cell>
          <cell r="F144">
            <v>0</v>
          </cell>
          <cell r="G144">
            <v>0</v>
          </cell>
        </row>
        <row r="145">
          <cell r="A145" t="str">
            <v>N9383YG044</v>
          </cell>
          <cell r="B145" t="str">
            <v>N9383Y</v>
          </cell>
          <cell r="C145">
            <v>0</v>
          </cell>
          <cell r="D145">
            <v>10</v>
          </cell>
          <cell r="E145">
            <v>0</v>
          </cell>
          <cell r="F145">
            <v>0</v>
          </cell>
          <cell r="G145">
            <v>0</v>
          </cell>
        </row>
        <row r="146">
          <cell r="A146" t="str">
            <v>N9383YMH40</v>
          </cell>
          <cell r="B146" t="str">
            <v>N9383Y</v>
          </cell>
          <cell r="C146">
            <v>0</v>
          </cell>
          <cell r="D146">
            <v>6</v>
          </cell>
          <cell r="E146">
            <v>0</v>
          </cell>
          <cell r="F146">
            <v>0</v>
          </cell>
          <cell r="G146">
            <v>0</v>
          </cell>
        </row>
        <row r="147">
          <cell r="A147" t="str">
            <v>N9383YP040</v>
          </cell>
          <cell r="B147" t="str">
            <v>N9383Y</v>
          </cell>
          <cell r="C147">
            <v>0</v>
          </cell>
          <cell r="D147">
            <v>17</v>
          </cell>
          <cell r="E147">
            <v>0</v>
          </cell>
          <cell r="F147">
            <v>0</v>
          </cell>
          <cell r="G147">
            <v>0</v>
          </cell>
        </row>
        <row r="148">
          <cell r="A148" t="str">
            <v>N9383YP042</v>
          </cell>
          <cell r="B148" t="str">
            <v>N9383Y</v>
          </cell>
          <cell r="C148">
            <v>0</v>
          </cell>
          <cell r="D148">
            <v>5</v>
          </cell>
          <cell r="E148">
            <v>0</v>
          </cell>
          <cell r="F148">
            <v>0</v>
          </cell>
          <cell r="G148">
            <v>0</v>
          </cell>
        </row>
        <row r="149">
          <cell r="A149" t="str">
            <v>N9383YR040</v>
          </cell>
          <cell r="B149" t="str">
            <v>N9383Y</v>
          </cell>
          <cell r="C149">
            <v>0</v>
          </cell>
          <cell r="D149">
            <v>8</v>
          </cell>
          <cell r="E149">
            <v>0</v>
          </cell>
          <cell r="F149">
            <v>0</v>
          </cell>
          <cell r="G149">
            <v>0</v>
          </cell>
        </row>
        <row r="150">
          <cell r="A150" t="str">
            <v>N9383YR042</v>
          </cell>
          <cell r="B150" t="str">
            <v>N9383Y</v>
          </cell>
          <cell r="C150">
            <v>0</v>
          </cell>
          <cell r="D150">
            <v>22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N9383YXGH38</v>
          </cell>
          <cell r="B151" t="str">
            <v>N9383Y</v>
          </cell>
          <cell r="C151">
            <v>0</v>
          </cell>
          <cell r="D151">
            <v>21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N9383YXGH44</v>
          </cell>
          <cell r="B152" t="str">
            <v>N9383Y</v>
          </cell>
          <cell r="C152">
            <v>0</v>
          </cell>
          <cell r="D152">
            <v>7</v>
          </cell>
          <cell r="E152">
            <v>0</v>
          </cell>
          <cell r="F152">
            <v>0</v>
          </cell>
          <cell r="G152">
            <v>0</v>
          </cell>
        </row>
        <row r="153">
          <cell r="A153" t="str">
            <v>N9932YK038</v>
          </cell>
          <cell r="B153" t="str">
            <v>N9383Y</v>
          </cell>
          <cell r="C153">
            <v>0</v>
          </cell>
          <cell r="D153">
            <v>3</v>
          </cell>
          <cell r="E153">
            <v>0</v>
          </cell>
          <cell r="F153">
            <v>0</v>
          </cell>
          <cell r="G153">
            <v>0</v>
          </cell>
        </row>
        <row r="154">
          <cell r="A154" t="str">
            <v>N9932YR538</v>
          </cell>
          <cell r="B154" t="str">
            <v>N9932Y</v>
          </cell>
          <cell r="C154">
            <v>0</v>
          </cell>
          <cell r="D154">
            <v>3</v>
          </cell>
          <cell r="E154">
            <v>0</v>
          </cell>
          <cell r="F154">
            <v>0</v>
          </cell>
          <cell r="G154">
            <v>0</v>
          </cell>
        </row>
        <row r="155">
          <cell r="A155" t="str">
            <v>N9932YXS34</v>
          </cell>
          <cell r="B155" t="str">
            <v>N9932Y</v>
          </cell>
          <cell r="C155">
            <v>0</v>
          </cell>
          <cell r="D155">
            <v>2</v>
          </cell>
          <cell r="E155">
            <v>0</v>
          </cell>
          <cell r="F155">
            <v>0</v>
          </cell>
          <cell r="G155">
            <v>0</v>
          </cell>
        </row>
        <row r="156">
          <cell r="A156" t="str">
            <v>N9932YXS38</v>
          </cell>
          <cell r="B156" t="str">
            <v>N9932Y</v>
          </cell>
          <cell r="C156">
            <v>0</v>
          </cell>
          <cell r="D156">
            <v>3</v>
          </cell>
          <cell r="E156">
            <v>0</v>
          </cell>
          <cell r="F156">
            <v>0</v>
          </cell>
          <cell r="G156">
            <v>0</v>
          </cell>
        </row>
        <row r="157">
          <cell r="A157" t="str">
            <v>NK-XUHM001-K0-L</v>
          </cell>
          <cell r="B157" t="str">
            <v>ZIMUYH</v>
          </cell>
          <cell r="C157">
            <v>0</v>
          </cell>
          <cell r="D157">
            <v>71</v>
          </cell>
          <cell r="E157">
            <v>0</v>
          </cell>
          <cell r="F157">
            <v>0</v>
          </cell>
          <cell r="G157">
            <v>0</v>
          </cell>
        </row>
        <row r="158">
          <cell r="A158" t="str">
            <v>NK-XUHM001-K0-S</v>
          </cell>
          <cell r="B158" t="str">
            <v>ZZTS</v>
          </cell>
          <cell r="C158">
            <v>0</v>
          </cell>
          <cell r="D158">
            <v>33</v>
          </cell>
          <cell r="E158">
            <v>0</v>
          </cell>
          <cell r="F158">
            <v>0</v>
          </cell>
          <cell r="G158">
            <v>0</v>
          </cell>
        </row>
        <row r="159">
          <cell r="A159" t="str">
            <v>NK-XUHM001-K0-XXL</v>
          </cell>
          <cell r="B159" t="str">
            <v>NK-XUHM001</v>
          </cell>
          <cell r="C159">
            <v>0</v>
          </cell>
          <cell r="D159">
            <v>12</v>
          </cell>
          <cell r="E159">
            <v>0</v>
          </cell>
          <cell r="F159">
            <v>0</v>
          </cell>
          <cell r="G159">
            <v>0</v>
          </cell>
        </row>
        <row r="160">
          <cell r="A160" t="str">
            <v>NY-XUHM001-K0-36C</v>
          </cell>
          <cell r="B160" t="str">
            <v>NK-XUHM001</v>
          </cell>
          <cell r="C160">
            <v>0</v>
          </cell>
          <cell r="D160">
            <v>15</v>
          </cell>
          <cell r="E160">
            <v>0</v>
          </cell>
          <cell r="F160">
            <v>0</v>
          </cell>
          <cell r="G160">
            <v>0</v>
          </cell>
        </row>
        <row r="161">
          <cell r="A161" t="str">
            <v>NY-XUHM001-K0-38C</v>
          </cell>
          <cell r="B161" t="str">
            <v>NY-XUHM001</v>
          </cell>
          <cell r="C161">
            <v>0</v>
          </cell>
          <cell r="D161">
            <v>28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NY-XUHM001-K0-40C</v>
          </cell>
          <cell r="B162" t="str">
            <v>NY-XUHM001</v>
          </cell>
          <cell r="C162">
            <v>0</v>
          </cell>
          <cell r="D162">
            <v>30</v>
          </cell>
          <cell r="E162">
            <v>0</v>
          </cell>
          <cell r="F162">
            <v>0</v>
          </cell>
          <cell r="G162">
            <v>0</v>
          </cell>
        </row>
        <row r="163">
          <cell r="A163" t="str">
            <v>NY-XUHM001-K0-42C</v>
          </cell>
          <cell r="B163" t="str">
            <v>NY-XUHM001</v>
          </cell>
          <cell r="C163">
            <v>0</v>
          </cell>
          <cell r="D163">
            <v>13</v>
          </cell>
          <cell r="E163">
            <v>0</v>
          </cell>
          <cell r="F163">
            <v>0</v>
          </cell>
          <cell r="G163">
            <v>0</v>
          </cell>
        </row>
        <row r="164">
          <cell r="A164" t="str">
            <v>NY-XUHM001-K0-44C</v>
          </cell>
          <cell r="B164" t="str">
            <v>NK-XUHM001</v>
          </cell>
          <cell r="C164">
            <v>0</v>
          </cell>
          <cell r="D164">
            <v>9</v>
          </cell>
          <cell r="E164">
            <v>0</v>
          </cell>
          <cell r="F164">
            <v>0</v>
          </cell>
          <cell r="G164">
            <v>0</v>
          </cell>
        </row>
        <row r="165">
          <cell r="A165" t="str">
            <v>NY-XUHM011-K0-36C</v>
          </cell>
          <cell r="B165" t="str">
            <v>NK-XUHM001</v>
          </cell>
          <cell r="C165">
            <v>0</v>
          </cell>
          <cell r="D165">
            <v>14</v>
          </cell>
          <cell r="E165">
            <v>0</v>
          </cell>
          <cell r="F165">
            <v>0</v>
          </cell>
          <cell r="G165">
            <v>0</v>
          </cell>
        </row>
        <row r="166">
          <cell r="A166" t="str">
            <v>NY-XUHM011-K0-38C</v>
          </cell>
          <cell r="B166" t="str">
            <v>NY-XUHM011</v>
          </cell>
          <cell r="C166">
            <v>0</v>
          </cell>
          <cell r="D166">
            <v>29</v>
          </cell>
          <cell r="E166">
            <v>0</v>
          </cell>
          <cell r="F166">
            <v>0</v>
          </cell>
          <cell r="G166">
            <v>0</v>
          </cell>
        </row>
        <row r="167">
          <cell r="A167" t="str">
            <v>NY-XUHM011-K0-40C</v>
          </cell>
          <cell r="B167" t="str">
            <v>NY-XUHM011</v>
          </cell>
          <cell r="C167">
            <v>0</v>
          </cell>
          <cell r="D167">
            <v>27</v>
          </cell>
          <cell r="E167">
            <v>0</v>
          </cell>
          <cell r="F167">
            <v>0</v>
          </cell>
          <cell r="G167">
            <v>0</v>
          </cell>
        </row>
        <row r="168">
          <cell r="A168" t="str">
            <v>NY-XUHM011-K0-42C</v>
          </cell>
          <cell r="B168" t="str">
            <v>NY-XUHM011</v>
          </cell>
          <cell r="C168">
            <v>0</v>
          </cell>
          <cell r="D168">
            <v>14</v>
          </cell>
          <cell r="E168">
            <v>0</v>
          </cell>
          <cell r="F168">
            <v>0</v>
          </cell>
          <cell r="G168">
            <v>0</v>
          </cell>
        </row>
        <row r="169">
          <cell r="A169" t="str">
            <v>NY-XUHM011-K0-44C</v>
          </cell>
          <cell r="B169" t="str">
            <v>NK-XUHM011</v>
          </cell>
          <cell r="C169">
            <v>0</v>
          </cell>
          <cell r="D169">
            <v>10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XTHQXSC</v>
          </cell>
          <cell r="B170" t="str">
            <v>XTHQ</v>
          </cell>
          <cell r="C170">
            <v>0</v>
          </cell>
          <cell r="D170">
            <v>33</v>
          </cell>
          <cell r="E170">
            <v>0</v>
          </cell>
          <cell r="F170">
            <v>0</v>
          </cell>
          <cell r="G170">
            <v>0</v>
          </cell>
        </row>
        <row r="171">
          <cell r="A171" t="str">
            <v>MY71107K0L</v>
          </cell>
          <cell r="B171" t="str">
            <v>MY16055</v>
          </cell>
          <cell r="C171">
            <v>0</v>
          </cell>
          <cell r="D171">
            <v>1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PYJKDKB0L</v>
          </cell>
          <cell r="B172" t="str">
            <v>PYJKCX</v>
          </cell>
          <cell r="C172">
            <v>0</v>
          </cell>
          <cell r="D172">
            <v>1</v>
          </cell>
          <cell r="E172">
            <v>0</v>
          </cell>
          <cell r="F172">
            <v>0</v>
          </cell>
          <cell r="G172">
            <v>0</v>
          </cell>
        </row>
        <row r="173">
          <cell r="A173" t="str">
            <v>MY71107ZQS</v>
          </cell>
          <cell r="B173" t="str">
            <v>MY71107</v>
          </cell>
          <cell r="C173">
            <v>0</v>
          </cell>
          <cell r="D173">
            <v>1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PYJKTSR0L</v>
          </cell>
          <cell r="B174" t="str">
            <v>PYJKTS</v>
          </cell>
          <cell r="C174">
            <v>0</v>
          </cell>
          <cell r="D174">
            <v>1</v>
          </cell>
          <cell r="E174">
            <v>0</v>
          </cell>
          <cell r="F174">
            <v>0</v>
          </cell>
          <cell r="G174">
            <v>0</v>
          </cell>
        </row>
        <row r="175">
          <cell r="A175" t="str">
            <v>PYJKJSR0L</v>
          </cell>
          <cell r="B175" t="str">
            <v>PYJKJS</v>
          </cell>
          <cell r="C175">
            <v>0</v>
          </cell>
          <cell r="D175">
            <v>1</v>
          </cell>
          <cell r="E175">
            <v>0</v>
          </cell>
          <cell r="F175">
            <v>0</v>
          </cell>
          <cell r="G175">
            <v>0</v>
          </cell>
        </row>
        <row r="176">
          <cell r="A176" t="str">
            <v>MY16055ZQM</v>
          </cell>
          <cell r="B176" t="str">
            <v>MY16055</v>
          </cell>
          <cell r="C176">
            <v>0</v>
          </cell>
          <cell r="D176">
            <v>1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MY16055ZQXXL</v>
          </cell>
          <cell r="B177" t="str">
            <v>MY16055</v>
          </cell>
          <cell r="C177">
            <v>2</v>
          </cell>
          <cell r="D177">
            <v>1</v>
          </cell>
          <cell r="E177">
            <v>0</v>
          </cell>
          <cell r="F177">
            <v>0</v>
          </cell>
          <cell r="G177">
            <v>28.66</v>
          </cell>
        </row>
        <row r="178">
          <cell r="A178" t="str">
            <v>MY16055K0L</v>
          </cell>
          <cell r="B178" t="str">
            <v>MQZHK</v>
          </cell>
          <cell r="C178">
            <v>0</v>
          </cell>
          <cell r="D178">
            <v>1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PYJKTSKFL</v>
          </cell>
          <cell r="B179" t="str">
            <v>PYJKTS</v>
          </cell>
          <cell r="C179">
            <v>0</v>
          </cell>
          <cell r="D179">
            <v>2</v>
          </cell>
          <cell r="E179">
            <v>0</v>
          </cell>
          <cell r="F179">
            <v>0</v>
          </cell>
          <cell r="G179">
            <v>0</v>
          </cell>
        </row>
        <row r="180">
          <cell r="A180" t="str">
            <v>MY71115K0S</v>
          </cell>
          <cell r="B180" t="str">
            <v>MY71107</v>
          </cell>
          <cell r="C180">
            <v>0</v>
          </cell>
          <cell r="D180">
            <v>2</v>
          </cell>
          <cell r="E180">
            <v>0</v>
          </cell>
          <cell r="F180">
            <v>0</v>
          </cell>
          <cell r="G180">
            <v>0</v>
          </cell>
        </row>
        <row r="181">
          <cell r="A181" t="str">
            <v>PYJKTSY0L</v>
          </cell>
          <cell r="B181" t="str">
            <v>PYJKTS</v>
          </cell>
          <cell r="C181">
            <v>0</v>
          </cell>
          <cell r="D181">
            <v>2</v>
          </cell>
          <cell r="E181">
            <v>0</v>
          </cell>
          <cell r="F181">
            <v>0</v>
          </cell>
          <cell r="G181">
            <v>0</v>
          </cell>
        </row>
        <row r="182">
          <cell r="A182" t="str">
            <v>MY16055K0S</v>
          </cell>
          <cell r="B182" t="str">
            <v>MQZHK</v>
          </cell>
          <cell r="C182">
            <v>0</v>
          </cell>
          <cell r="D182">
            <v>2</v>
          </cell>
          <cell r="E182">
            <v>0</v>
          </cell>
          <cell r="F182">
            <v>0</v>
          </cell>
          <cell r="G182">
            <v>0</v>
          </cell>
        </row>
        <row r="183">
          <cell r="A183" t="str">
            <v>MY16055ZQL</v>
          </cell>
          <cell r="B183" t="str">
            <v>MY16055</v>
          </cell>
          <cell r="C183">
            <v>0</v>
          </cell>
          <cell r="D183">
            <v>2</v>
          </cell>
          <cell r="E183">
            <v>0</v>
          </cell>
          <cell r="F183">
            <v>0</v>
          </cell>
          <cell r="G183">
            <v>0</v>
          </cell>
        </row>
        <row r="184">
          <cell r="A184" t="str">
            <v>PYJKJSK0M</v>
          </cell>
          <cell r="B184" t="str">
            <v>PYJKJS</v>
          </cell>
          <cell r="C184">
            <v>0</v>
          </cell>
          <cell r="D184">
            <v>2</v>
          </cell>
          <cell r="E184">
            <v>0</v>
          </cell>
          <cell r="F184">
            <v>0</v>
          </cell>
          <cell r="G184">
            <v>0</v>
          </cell>
        </row>
        <row r="185">
          <cell r="A185" t="str">
            <v>PYJKJSY0XXXL</v>
          </cell>
          <cell r="B185" t="str">
            <v>PYJKJS</v>
          </cell>
          <cell r="C185">
            <v>0</v>
          </cell>
          <cell r="D185">
            <v>3</v>
          </cell>
          <cell r="E185">
            <v>0</v>
          </cell>
          <cell r="F185">
            <v>0</v>
          </cell>
          <cell r="G185">
            <v>0</v>
          </cell>
        </row>
        <row r="186">
          <cell r="A186" t="str">
            <v>MY71115MSM</v>
          </cell>
          <cell r="B186" t="str">
            <v>MY71115</v>
          </cell>
          <cell r="C186">
            <v>0</v>
          </cell>
          <cell r="D186">
            <v>3</v>
          </cell>
          <cell r="E186">
            <v>0</v>
          </cell>
          <cell r="F186">
            <v>0</v>
          </cell>
          <cell r="G186">
            <v>0</v>
          </cell>
        </row>
        <row r="187">
          <cell r="A187" t="str">
            <v>MY16055K0XL</v>
          </cell>
          <cell r="B187" t="str">
            <v>MY16055</v>
          </cell>
          <cell r="C187">
            <v>0</v>
          </cell>
          <cell r="D187">
            <v>3</v>
          </cell>
          <cell r="E187">
            <v>0</v>
          </cell>
          <cell r="F187">
            <v>0</v>
          </cell>
          <cell r="G187">
            <v>0</v>
          </cell>
        </row>
        <row r="188">
          <cell r="A188" t="str">
            <v>MY16055ZQS</v>
          </cell>
          <cell r="B188" t="str">
            <v>MY16055</v>
          </cell>
          <cell r="C188">
            <v>0</v>
          </cell>
          <cell r="D188">
            <v>3</v>
          </cell>
          <cell r="E188">
            <v>0</v>
          </cell>
          <cell r="F188">
            <v>0</v>
          </cell>
          <cell r="G188">
            <v>0</v>
          </cell>
        </row>
        <row r="189">
          <cell r="A189" t="str">
            <v>MY71115ZQXL</v>
          </cell>
          <cell r="B189" t="str">
            <v>MY71115</v>
          </cell>
          <cell r="C189">
            <v>0</v>
          </cell>
          <cell r="D189">
            <v>3</v>
          </cell>
          <cell r="E189">
            <v>0</v>
          </cell>
          <cell r="F189">
            <v>0</v>
          </cell>
          <cell r="G189">
            <v>0</v>
          </cell>
        </row>
        <row r="190">
          <cell r="A190" t="str">
            <v>MY71107MSL</v>
          </cell>
          <cell r="B190" t="str">
            <v>MY71107</v>
          </cell>
          <cell r="C190">
            <v>0</v>
          </cell>
          <cell r="D190">
            <v>3</v>
          </cell>
          <cell r="E190">
            <v>0</v>
          </cell>
          <cell r="F190">
            <v>0</v>
          </cell>
          <cell r="G190">
            <v>0</v>
          </cell>
        </row>
        <row r="191">
          <cell r="A191" t="str">
            <v>MY71107K0S</v>
          </cell>
          <cell r="B191" t="str">
            <v>MY16055</v>
          </cell>
          <cell r="C191">
            <v>0</v>
          </cell>
          <cell r="D191">
            <v>3</v>
          </cell>
          <cell r="E191">
            <v>0</v>
          </cell>
          <cell r="F191">
            <v>0</v>
          </cell>
          <cell r="G191">
            <v>0</v>
          </cell>
        </row>
        <row r="192">
          <cell r="A192" t="str">
            <v>MY71115K0XL</v>
          </cell>
          <cell r="B192" t="str">
            <v>MY71115</v>
          </cell>
          <cell r="C192">
            <v>0</v>
          </cell>
          <cell r="D192">
            <v>4</v>
          </cell>
          <cell r="E192">
            <v>0</v>
          </cell>
          <cell r="F192">
            <v>0</v>
          </cell>
          <cell r="G192">
            <v>0</v>
          </cell>
        </row>
        <row r="193">
          <cell r="A193" t="str">
            <v>MY16055MSXL</v>
          </cell>
          <cell r="B193" t="str">
            <v>MY16055</v>
          </cell>
          <cell r="C193">
            <v>0</v>
          </cell>
          <cell r="D193">
            <v>4</v>
          </cell>
          <cell r="E193">
            <v>0</v>
          </cell>
          <cell r="F193">
            <v>0</v>
          </cell>
          <cell r="G193">
            <v>0</v>
          </cell>
        </row>
        <row r="194">
          <cell r="A194" t="str">
            <v>PYJKJSK0XL</v>
          </cell>
          <cell r="B194" t="str">
            <v>PYJKJS</v>
          </cell>
          <cell r="C194">
            <v>0</v>
          </cell>
          <cell r="D194">
            <v>4</v>
          </cell>
          <cell r="E194">
            <v>0</v>
          </cell>
          <cell r="F194">
            <v>0</v>
          </cell>
          <cell r="G194">
            <v>0</v>
          </cell>
        </row>
        <row r="195">
          <cell r="A195" t="str">
            <v>MY16055MSXXL</v>
          </cell>
          <cell r="B195" t="str">
            <v>MY16055</v>
          </cell>
          <cell r="C195">
            <v>0</v>
          </cell>
          <cell r="D195">
            <v>4</v>
          </cell>
          <cell r="E195">
            <v>0</v>
          </cell>
          <cell r="F195">
            <v>0</v>
          </cell>
          <cell r="G195">
            <v>0</v>
          </cell>
        </row>
        <row r="196">
          <cell r="A196" t="str">
            <v>PYJKJSK0L</v>
          </cell>
          <cell r="B196" t="str">
            <v>PYJKJS</v>
          </cell>
          <cell r="C196">
            <v>0</v>
          </cell>
          <cell r="D196">
            <v>4</v>
          </cell>
          <cell r="E196">
            <v>0</v>
          </cell>
          <cell r="F196">
            <v>0</v>
          </cell>
          <cell r="G196">
            <v>0</v>
          </cell>
        </row>
        <row r="197">
          <cell r="A197" t="str">
            <v>MY71115MSXXL</v>
          </cell>
          <cell r="B197" t="str">
            <v>MY71115</v>
          </cell>
          <cell r="C197">
            <v>0</v>
          </cell>
          <cell r="D197">
            <v>4</v>
          </cell>
          <cell r="E197">
            <v>0</v>
          </cell>
          <cell r="F197">
            <v>0</v>
          </cell>
          <cell r="G197">
            <v>0</v>
          </cell>
        </row>
        <row r="198">
          <cell r="A198" t="str">
            <v>MY71115ZQL</v>
          </cell>
          <cell r="B198" t="str">
            <v>MY71115</v>
          </cell>
          <cell r="C198">
            <v>0</v>
          </cell>
          <cell r="D198">
            <v>4</v>
          </cell>
          <cell r="E198">
            <v>0</v>
          </cell>
          <cell r="F198">
            <v>0</v>
          </cell>
          <cell r="G198">
            <v>0</v>
          </cell>
        </row>
        <row r="199">
          <cell r="A199" t="str">
            <v>MY71107MSXXL</v>
          </cell>
          <cell r="B199" t="str">
            <v>MY71107</v>
          </cell>
          <cell r="C199">
            <v>0</v>
          </cell>
          <cell r="D199">
            <v>4</v>
          </cell>
          <cell r="E199">
            <v>0</v>
          </cell>
          <cell r="F199">
            <v>0</v>
          </cell>
          <cell r="G199">
            <v>0</v>
          </cell>
        </row>
        <row r="200">
          <cell r="A200" t="str">
            <v>PYJKTSK0L</v>
          </cell>
          <cell r="B200" t="str">
            <v>PYJKJS</v>
          </cell>
          <cell r="C200">
            <v>0</v>
          </cell>
          <cell r="D200">
            <v>4</v>
          </cell>
          <cell r="E200">
            <v>0</v>
          </cell>
          <cell r="F200">
            <v>0</v>
          </cell>
          <cell r="G200">
            <v>0</v>
          </cell>
        </row>
        <row r="201">
          <cell r="A201" t="str">
            <v>MY16055MSM</v>
          </cell>
          <cell r="B201" t="str">
            <v>MY16055</v>
          </cell>
          <cell r="C201">
            <v>0</v>
          </cell>
          <cell r="D201">
            <v>4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MY71115MSS</v>
          </cell>
          <cell r="B202" t="str">
            <v>MY71115</v>
          </cell>
          <cell r="C202">
            <v>0</v>
          </cell>
          <cell r="D202">
            <v>5</v>
          </cell>
          <cell r="E202">
            <v>0</v>
          </cell>
          <cell r="F202">
            <v>0</v>
          </cell>
          <cell r="G202">
            <v>0</v>
          </cell>
        </row>
        <row r="203">
          <cell r="A203" t="str">
            <v>PYJKJSK0XXXL</v>
          </cell>
          <cell r="B203" t="str">
            <v>PYJKJS</v>
          </cell>
          <cell r="C203">
            <v>0</v>
          </cell>
          <cell r="D203">
            <v>5</v>
          </cell>
          <cell r="E203">
            <v>0</v>
          </cell>
          <cell r="F203">
            <v>0</v>
          </cell>
          <cell r="G203">
            <v>0</v>
          </cell>
        </row>
        <row r="204">
          <cell r="A204" t="str">
            <v>MY71107MSS</v>
          </cell>
          <cell r="B204" t="str">
            <v>MY71107</v>
          </cell>
          <cell r="C204">
            <v>0</v>
          </cell>
          <cell r="D204">
            <v>5</v>
          </cell>
          <cell r="E204">
            <v>0</v>
          </cell>
          <cell r="F204">
            <v>0</v>
          </cell>
          <cell r="G204">
            <v>0</v>
          </cell>
        </row>
        <row r="205">
          <cell r="A205" t="str">
            <v>MY71115MSL</v>
          </cell>
          <cell r="B205" t="str">
            <v>MY71115</v>
          </cell>
          <cell r="C205">
            <v>0</v>
          </cell>
          <cell r="D205">
            <v>5</v>
          </cell>
          <cell r="E205">
            <v>0</v>
          </cell>
          <cell r="F205">
            <v>0</v>
          </cell>
          <cell r="G205">
            <v>0</v>
          </cell>
        </row>
        <row r="206">
          <cell r="A206" t="str">
            <v>MY16055K0M</v>
          </cell>
          <cell r="B206" t="str">
            <v>MQZHK</v>
          </cell>
          <cell r="C206">
            <v>0</v>
          </cell>
          <cell r="D206">
            <v>5</v>
          </cell>
          <cell r="E206">
            <v>0</v>
          </cell>
          <cell r="F206">
            <v>0</v>
          </cell>
          <cell r="G206">
            <v>0</v>
          </cell>
        </row>
        <row r="207">
          <cell r="A207" t="str">
            <v>MY71115MSXL</v>
          </cell>
          <cell r="B207" t="str">
            <v>MY71115</v>
          </cell>
          <cell r="C207">
            <v>0</v>
          </cell>
          <cell r="D207">
            <v>5</v>
          </cell>
          <cell r="E207">
            <v>0</v>
          </cell>
          <cell r="F207">
            <v>0</v>
          </cell>
          <cell r="G207">
            <v>0</v>
          </cell>
        </row>
        <row r="208">
          <cell r="A208" t="str">
            <v>MY16055MSS</v>
          </cell>
          <cell r="B208" t="str">
            <v>MY16055</v>
          </cell>
          <cell r="C208">
            <v>0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</row>
        <row r="209">
          <cell r="A209" t="str">
            <v>MY71115ZQS</v>
          </cell>
          <cell r="B209" t="str">
            <v>MY71115</v>
          </cell>
          <cell r="C209">
            <v>0</v>
          </cell>
          <cell r="D209">
            <v>6</v>
          </cell>
          <cell r="E209">
            <v>0</v>
          </cell>
          <cell r="F209">
            <v>0</v>
          </cell>
          <cell r="G209">
            <v>0</v>
          </cell>
        </row>
        <row r="210">
          <cell r="A210" t="str">
            <v>MY71115ZQM</v>
          </cell>
          <cell r="B210" t="str">
            <v>MY71115</v>
          </cell>
          <cell r="C210">
            <v>0</v>
          </cell>
          <cell r="D210">
            <v>7</v>
          </cell>
          <cell r="E210">
            <v>0</v>
          </cell>
          <cell r="F210">
            <v>0</v>
          </cell>
          <cell r="G210">
            <v>0</v>
          </cell>
        </row>
        <row r="211">
          <cell r="A211" t="str">
            <v>MY71107MSM</v>
          </cell>
          <cell r="B211" t="str">
            <v>MY71107</v>
          </cell>
          <cell r="C211">
            <v>0</v>
          </cell>
          <cell r="D211">
            <v>7</v>
          </cell>
          <cell r="E211">
            <v>0</v>
          </cell>
          <cell r="F211">
            <v>0</v>
          </cell>
          <cell r="G211">
            <v>0</v>
          </cell>
        </row>
        <row r="212">
          <cell r="A212" t="str">
            <v>MY71107MSXL</v>
          </cell>
          <cell r="B212" t="str">
            <v>MY71107</v>
          </cell>
          <cell r="C212">
            <v>0</v>
          </cell>
          <cell r="D212">
            <v>7</v>
          </cell>
          <cell r="E212">
            <v>0</v>
          </cell>
          <cell r="F212">
            <v>0</v>
          </cell>
          <cell r="G212">
            <v>0</v>
          </cell>
        </row>
        <row r="213">
          <cell r="A213" t="str">
            <v>MY71115ZQXXL</v>
          </cell>
          <cell r="B213" t="str">
            <v>MY71115</v>
          </cell>
          <cell r="C213">
            <v>0</v>
          </cell>
          <cell r="D213">
            <v>7</v>
          </cell>
          <cell r="E213">
            <v>0</v>
          </cell>
          <cell r="F213">
            <v>0</v>
          </cell>
          <cell r="G213">
            <v>0</v>
          </cell>
        </row>
        <row r="214">
          <cell r="A214" t="str">
            <v>NY-B15021-K0-M</v>
          </cell>
          <cell r="B214" t="str">
            <v>NY-B15021</v>
          </cell>
          <cell r="C214">
            <v>1</v>
          </cell>
          <cell r="D214">
            <v>1</v>
          </cell>
          <cell r="E214">
            <v>0</v>
          </cell>
          <cell r="F214">
            <v>0</v>
          </cell>
          <cell r="G214">
            <v>15.99</v>
          </cell>
        </row>
        <row r="215">
          <cell r="A215" t="str">
            <v>N9383YP048</v>
          </cell>
          <cell r="B215" t="str">
            <v>N9383Y</v>
          </cell>
          <cell r="C215">
            <v>0</v>
          </cell>
          <cell r="D215">
            <v>1</v>
          </cell>
          <cell r="E215">
            <v>0</v>
          </cell>
          <cell r="F215">
            <v>0</v>
          </cell>
          <cell r="G215">
            <v>13.9</v>
          </cell>
        </row>
        <row r="216">
          <cell r="A216" t="str">
            <v>NY-B15021-PI-M</v>
          </cell>
          <cell r="B216" t="str">
            <v>NY-B15021</v>
          </cell>
          <cell r="C216">
            <v>0</v>
          </cell>
          <cell r="D216">
            <v>1</v>
          </cell>
          <cell r="E216">
            <v>0</v>
          </cell>
          <cell r="F216">
            <v>0</v>
          </cell>
          <cell r="G216">
            <v>15.99</v>
          </cell>
        </row>
        <row r="217">
          <cell r="A217" t="str">
            <v>N9932YK036</v>
          </cell>
          <cell r="B217" t="str">
            <v>N9383Y</v>
          </cell>
          <cell r="C217">
            <v>0</v>
          </cell>
          <cell r="D217">
            <v>1</v>
          </cell>
          <cell r="E217">
            <v>0</v>
          </cell>
          <cell r="F217">
            <v>0</v>
          </cell>
          <cell r="G217">
            <v>12.9</v>
          </cell>
        </row>
        <row r="218">
          <cell r="A218" t="str">
            <v>N2033YK040</v>
          </cell>
          <cell r="B218" t="str">
            <v>N1709Y</v>
          </cell>
          <cell r="C218">
            <v>0</v>
          </cell>
          <cell r="D218">
            <v>1</v>
          </cell>
          <cell r="E218">
            <v>0</v>
          </cell>
          <cell r="F218">
            <v>0</v>
          </cell>
          <cell r="G218">
            <v>17.9</v>
          </cell>
        </row>
        <row r="219">
          <cell r="A219" t="str">
            <v>NY-B15016-K0-S</v>
          </cell>
          <cell r="B219" t="str">
            <v>NWZE</v>
          </cell>
          <cell r="C219">
            <v>0</v>
          </cell>
          <cell r="D219">
            <v>1</v>
          </cell>
          <cell r="E219">
            <v>0</v>
          </cell>
          <cell r="F219">
            <v>0</v>
          </cell>
          <cell r="G219">
            <v>15.99</v>
          </cell>
        </row>
        <row r="220">
          <cell r="A220" t="str">
            <v>XYBXBAF008W0L</v>
          </cell>
          <cell r="B220" t="str">
            <v>XXBF</v>
          </cell>
          <cell r="C220">
            <v>0</v>
          </cell>
          <cell r="D220">
            <v>1</v>
          </cell>
          <cell r="E220">
            <v>0</v>
          </cell>
          <cell r="F220">
            <v>0</v>
          </cell>
          <cell r="G220">
            <v>8</v>
          </cell>
        </row>
        <row r="221">
          <cell r="A221" t="str">
            <v>XYBXBAF008W0XL</v>
          </cell>
          <cell r="B221" t="str">
            <v>XXGNW</v>
          </cell>
          <cell r="C221">
            <v>0</v>
          </cell>
          <cell r="D221">
            <v>1</v>
          </cell>
          <cell r="E221">
            <v>0</v>
          </cell>
          <cell r="F221">
            <v>0</v>
          </cell>
          <cell r="G221">
            <v>8</v>
          </cell>
        </row>
        <row r="222">
          <cell r="A222" t="str">
            <v>NY-XUHM463-K0-XL</v>
          </cell>
          <cell r="B222" t="str">
            <v>NY-XUHM463</v>
          </cell>
          <cell r="C222">
            <v>0</v>
          </cell>
          <cell r="D222">
            <v>1</v>
          </cell>
          <cell r="E222">
            <v>0</v>
          </cell>
          <cell r="F222">
            <v>0</v>
          </cell>
          <cell r="G222">
            <v>15.99</v>
          </cell>
        </row>
        <row r="223">
          <cell r="A223" t="str">
            <v>NY-XUHM463-P0-S</v>
          </cell>
          <cell r="B223" t="str">
            <v>NY-XUHM463</v>
          </cell>
          <cell r="C223">
            <v>0</v>
          </cell>
          <cell r="D223">
            <v>1</v>
          </cell>
          <cell r="E223">
            <v>0</v>
          </cell>
          <cell r="F223">
            <v>0</v>
          </cell>
          <cell r="G223">
            <v>15.99</v>
          </cell>
        </row>
        <row r="224">
          <cell r="A224" t="str">
            <v>N9383YMH44</v>
          </cell>
          <cell r="B224" t="str">
            <v>N9383Y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13.9</v>
          </cell>
        </row>
        <row r="225">
          <cell r="A225" t="str">
            <v>NY-XUHM463-K0-L</v>
          </cell>
          <cell r="B225" t="str">
            <v>NY-XUHM463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15.99</v>
          </cell>
        </row>
        <row r="226">
          <cell r="A226" t="str">
            <v>NY-XUHM463-K0-M</v>
          </cell>
          <cell r="B226" t="str">
            <v>NY-XUHM463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15.99</v>
          </cell>
        </row>
        <row r="227">
          <cell r="A227" t="str">
            <v>NY-XUHM463-P0-L</v>
          </cell>
          <cell r="B227" t="str">
            <v>NY-XUHM463</v>
          </cell>
          <cell r="C227">
            <v>1</v>
          </cell>
          <cell r="D227">
            <v>0</v>
          </cell>
          <cell r="E227">
            <v>0</v>
          </cell>
          <cell r="F227">
            <v>0</v>
          </cell>
          <cell r="G227">
            <v>10</v>
          </cell>
        </row>
        <row r="228">
          <cell r="A228" t="str">
            <v>NY-XUHM002-PI-L</v>
          </cell>
          <cell r="B228" t="str">
            <v>NY-B15021</v>
          </cell>
          <cell r="C228">
            <v>2</v>
          </cell>
          <cell r="D228">
            <v>0</v>
          </cell>
          <cell r="E228">
            <v>0</v>
          </cell>
          <cell r="F228">
            <v>0</v>
          </cell>
          <cell r="G228">
            <v>15.99</v>
          </cell>
        </row>
        <row r="314">
          <cell r="A314" t="str">
            <v>NY-B15016-Y0-S</v>
          </cell>
        </row>
        <row r="336">
          <cell r="A336" t="str">
            <v>KTKXKW0L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NY-B15016</v>
          </cell>
          <cell r="B2">
            <v>15.99</v>
          </cell>
        </row>
        <row r="3">
          <cell r="A3" t="str">
            <v>DDHNY</v>
          </cell>
          <cell r="B3">
            <v>5.33</v>
          </cell>
        </row>
        <row r="4">
          <cell r="A4" t="str">
            <v>GJHNY</v>
          </cell>
          <cell r="B4">
            <v>13.99</v>
          </cell>
        </row>
        <row r="5">
          <cell r="A5" t="str">
            <v>NY-B15021</v>
          </cell>
          <cell r="B5">
            <v>16.51625</v>
          </cell>
        </row>
        <row r="6">
          <cell r="A6" t="str">
            <v>KTKXXK</v>
          </cell>
          <cell r="B6">
            <v>11.4075</v>
          </cell>
        </row>
        <row r="7">
          <cell r="A7" t="str">
            <v>N029Y</v>
          </cell>
          <cell r="B7">
            <v>0.194624277456647</v>
          </cell>
        </row>
        <row r="8">
          <cell r="A8" t="str">
            <v>N89122K</v>
          </cell>
          <cell r="B8">
            <v>1.7375</v>
          </cell>
        </row>
        <row r="9">
          <cell r="A9" t="str">
            <v>N263Y</v>
          </cell>
          <cell r="B9">
            <v>0.078125</v>
          </cell>
        </row>
        <row r="10">
          <cell r="A10" t="str">
            <v>XTHQ</v>
          </cell>
          <cell r="B10">
            <v>0.264411764705882</v>
          </cell>
        </row>
        <row r="11">
          <cell r="A11" t="str">
            <v>N531Y</v>
          </cell>
          <cell r="B11">
            <v>0.0502795698924731</v>
          </cell>
        </row>
        <row r="12">
          <cell r="A12" t="str">
            <v>N2716Y</v>
          </cell>
          <cell r="B12">
            <v>0.421666666666667</v>
          </cell>
        </row>
        <row r="13">
          <cell r="A13" t="str">
            <v>N9932Y</v>
          </cell>
          <cell r="B13">
            <v>2.15</v>
          </cell>
        </row>
        <row r="14">
          <cell r="A14" t="str">
            <v>NY-XUHM333</v>
          </cell>
          <cell r="B14">
            <v>15.99</v>
          </cell>
        </row>
        <row r="15">
          <cell r="A15" t="str">
            <v>DDBNY</v>
          </cell>
          <cell r="B15">
            <v>0.726818181818182</v>
          </cell>
        </row>
        <row r="16">
          <cell r="A16" t="str">
            <v>SJKTK</v>
          </cell>
          <cell r="B16">
            <v>13.99</v>
          </cell>
        </row>
        <row r="17">
          <cell r="A17" t="str">
            <v>ZSNW</v>
          </cell>
          <cell r="B17">
            <v>0.124821428571429</v>
          </cell>
        </row>
        <row r="18">
          <cell r="A18" t="str">
            <v>N9383Y</v>
          </cell>
          <cell r="B18">
            <v>0.735114503816794</v>
          </cell>
        </row>
        <row r="19">
          <cell r="A19" t="str">
            <v>N87301K</v>
          </cell>
          <cell r="B19">
            <v>5.63</v>
          </cell>
        </row>
        <row r="20">
          <cell r="A20" t="str">
            <v>N888Y</v>
          </cell>
          <cell r="B20">
            <v>1.17272727272727</v>
          </cell>
        </row>
        <row r="21">
          <cell r="A21" t="str">
            <v>N039Y</v>
          </cell>
          <cell r="B21">
            <v>0.1189972899729</v>
          </cell>
        </row>
        <row r="22">
          <cell r="A22" t="str">
            <v>NK-XUHM001</v>
          </cell>
          <cell r="B22">
            <v>0.245263157894737</v>
          </cell>
        </row>
        <row r="23">
          <cell r="A23" t="str">
            <v>XTLA</v>
          </cell>
          <cell r="B23">
            <v>0.374583333333333</v>
          </cell>
        </row>
        <row r="24">
          <cell r="A24" t="str">
            <v>JBLKTK</v>
          </cell>
          <cell r="B24">
            <v>20.9</v>
          </cell>
        </row>
        <row r="25">
          <cell r="A25" t="str">
            <v>N31459Y</v>
          </cell>
          <cell r="B25">
            <v>0.262264150943396</v>
          </cell>
        </row>
        <row r="26">
          <cell r="A26" t="str">
            <v>MZCXK</v>
          </cell>
          <cell r="B26">
            <v>0.12464</v>
          </cell>
        </row>
        <row r="27">
          <cell r="A27" t="str">
            <v>N3818-2Y</v>
          </cell>
          <cell r="B27">
            <v>0.0468783068783069</v>
          </cell>
        </row>
        <row r="28">
          <cell r="A28" t="str">
            <v>N1228Y</v>
          </cell>
          <cell r="B28">
            <v>0</v>
          </cell>
        </row>
        <row r="29">
          <cell r="A29" t="str">
            <v>N158Y</v>
          </cell>
          <cell r="B29">
            <v>0</v>
          </cell>
        </row>
        <row r="30">
          <cell r="A30" t="str">
            <v>N1709Y</v>
          </cell>
          <cell r="B30">
            <v>0.416279069767442</v>
          </cell>
        </row>
        <row r="31">
          <cell r="A31" t="str">
            <v>N2047Y</v>
          </cell>
          <cell r="B31">
            <v>0</v>
          </cell>
        </row>
        <row r="32">
          <cell r="A32" t="str">
            <v>N299Y</v>
          </cell>
          <cell r="B32">
            <v>0</v>
          </cell>
        </row>
        <row r="33">
          <cell r="A33" t="str">
            <v>N5100Y</v>
          </cell>
          <cell r="B33">
            <v>0</v>
          </cell>
        </row>
        <row r="34">
          <cell r="A34" t="str">
            <v>N5330Y</v>
          </cell>
          <cell r="B34">
            <v>0</v>
          </cell>
        </row>
        <row r="35">
          <cell r="A35" t="str">
            <v>N583Y</v>
          </cell>
          <cell r="B35">
            <v>0</v>
          </cell>
        </row>
        <row r="36">
          <cell r="A36" t="str">
            <v>N87319K</v>
          </cell>
          <cell r="B36">
            <v>0</v>
          </cell>
        </row>
        <row r="37">
          <cell r="A37" t="str">
            <v>ZIMUYH</v>
          </cell>
          <cell r="B37">
            <v>0</v>
          </cell>
        </row>
        <row r="38">
          <cell r="A38" t="str">
            <v>ZZTS</v>
          </cell>
          <cell r="B38">
            <v>0</v>
          </cell>
        </row>
        <row r="39">
          <cell r="A39" t="str">
            <v>NY-XUHM001</v>
          </cell>
          <cell r="B39">
            <v>0</v>
          </cell>
        </row>
        <row r="40">
          <cell r="A40" t="str">
            <v>NY-XUHM011</v>
          </cell>
          <cell r="B40">
            <v>0</v>
          </cell>
        </row>
        <row r="41">
          <cell r="A41" t="str">
            <v>NK-XUHM011</v>
          </cell>
          <cell r="B41">
            <v>0</v>
          </cell>
        </row>
        <row r="42">
          <cell r="A42" t="str">
            <v>MY16055</v>
          </cell>
          <cell r="B42">
            <v>2.60545454545455</v>
          </cell>
        </row>
        <row r="43">
          <cell r="A43" t="str">
            <v>PYJKCX</v>
          </cell>
          <cell r="B43">
            <v>0</v>
          </cell>
        </row>
        <row r="44">
          <cell r="A44" t="str">
            <v>MY71107</v>
          </cell>
          <cell r="B44">
            <v>0</v>
          </cell>
        </row>
        <row r="45">
          <cell r="A45" t="str">
            <v>PYJKTS</v>
          </cell>
          <cell r="B45">
            <v>0</v>
          </cell>
        </row>
        <row r="46">
          <cell r="A46" t="str">
            <v>PYJKJS</v>
          </cell>
          <cell r="B46">
            <v>0</v>
          </cell>
        </row>
        <row r="47">
          <cell r="A47" t="str">
            <v>MQZHK</v>
          </cell>
          <cell r="B47">
            <v>0</v>
          </cell>
        </row>
        <row r="48">
          <cell r="A48" t="str">
            <v>MY71115</v>
          </cell>
          <cell r="B48">
            <v>0</v>
          </cell>
        </row>
        <row r="49">
          <cell r="A49" t="str">
            <v>NWZE</v>
          </cell>
          <cell r="B49">
            <v>15.99</v>
          </cell>
        </row>
        <row r="50">
          <cell r="A50" t="str">
            <v>XXBF</v>
          </cell>
          <cell r="B50">
            <v>8</v>
          </cell>
        </row>
        <row r="51">
          <cell r="A51" t="str">
            <v>XXGNW</v>
          </cell>
          <cell r="B51">
            <v>8</v>
          </cell>
        </row>
        <row r="52">
          <cell r="A52" t="str">
            <v>NY-XUHM463</v>
          </cell>
          <cell r="B52">
            <v>14.792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566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43311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20</v>
      </c>
      <c r="E5" s="5">
        <f>SUM(E6:E19972)</f>
        <v>2847</v>
      </c>
      <c r="F5" s="5">
        <f>SUM(F6:F19972)</f>
        <v>40</v>
      </c>
      <c r="G5" s="5">
        <f>SUM(G6:G19972)</f>
        <v>52</v>
      </c>
      <c r="I5" s="5">
        <f t="shared" ref="I5:O5" si="4">SUM(I6:I2972)</f>
        <v>1721</v>
      </c>
      <c r="J5" s="5">
        <f t="shared" si="4"/>
        <v>44</v>
      </c>
      <c r="K5" s="5">
        <f t="shared" si="4"/>
        <v>401</v>
      </c>
      <c r="L5" s="5">
        <f t="shared" si="4"/>
        <v>261</v>
      </c>
      <c r="M5" s="5">
        <f t="shared" si="4"/>
        <v>2427</v>
      </c>
      <c r="N5" s="5">
        <f t="shared" si="4"/>
        <v>14</v>
      </c>
      <c r="O5" s="5">
        <f t="shared" si="4"/>
        <v>1294</v>
      </c>
      <c r="AB5" s="5">
        <f>SUM(AB6:AB2072)</f>
        <v>36.76</v>
      </c>
      <c r="AC5" s="5">
        <f>SUM(AC6:AC2072)</f>
        <v>105.96</v>
      </c>
      <c r="AD5" s="5">
        <f>SUM(AD6:AD2072)</f>
        <v>329.78</v>
      </c>
      <c r="AE5" s="5">
        <f>SUM(AE6:AE2072)</f>
        <v>374.35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0</v>
      </c>
      <c r="J6" s="35">
        <v>0</v>
      </c>
      <c r="K6" s="35">
        <v>0</v>
      </c>
      <c r="L6" s="35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5</v>
      </c>
      <c r="AK6">
        <v>5</v>
      </c>
      <c r="AL6">
        <v>6</v>
      </c>
      <c r="AM6">
        <v>9</v>
      </c>
      <c r="AN6" s="23">
        <v>0</v>
      </c>
      <c r="AO6" s="23">
        <v>0</v>
      </c>
      <c r="AP6" s="23">
        <v>0</v>
      </c>
      <c r="AQ6" s="23">
        <v>0</v>
      </c>
      <c r="AR6" s="37">
        <v>0</v>
      </c>
      <c r="AS6" s="37">
        <v>0</v>
      </c>
      <c r="AT6" s="37">
        <v>0</v>
      </c>
      <c r="AU6" s="33" t="str">
        <f t="shared" si="3"/>
        <v>库存为0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0</v>
      </c>
      <c r="J7" s="35">
        <v>0</v>
      </c>
      <c r="K7" s="35">
        <v>0</v>
      </c>
      <c r="L7" s="35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6</v>
      </c>
      <c r="AK7">
        <v>3</v>
      </c>
      <c r="AL7">
        <v>10</v>
      </c>
      <c r="AM7">
        <v>13</v>
      </c>
      <c r="AN7" s="23">
        <v>0</v>
      </c>
      <c r="AO7" s="23">
        <v>0</v>
      </c>
      <c r="AP7" s="23">
        <v>0</v>
      </c>
      <c r="AQ7" s="23">
        <v>0</v>
      </c>
      <c r="AR7" s="37">
        <v>0</v>
      </c>
      <c r="AS7" s="37">
        <v>0</v>
      </c>
      <c r="AT7" s="37">
        <v>0</v>
      </c>
      <c r="AU7" s="33" t="str">
        <f t="shared" si="3"/>
        <v>库存为0</v>
      </c>
      <c r="AV7" s="38" t="str">
        <f>IFERROR(时间!$B$4+AU7,"上周无销量")</f>
        <v>上周无销量</v>
      </c>
    </row>
    <row r="8" spans="1:48">
      <c r="A8" s="21" t="s">
        <v>58</v>
      </c>
      <c r="B8" t="s">
        <v>52</v>
      </c>
      <c r="C8" t="s">
        <v>59</v>
      </c>
      <c r="D8" s="33">
        <v>0</v>
      </c>
      <c r="E8" s="33">
        <v>21</v>
      </c>
      <c r="F8" s="33">
        <v>0</v>
      </c>
      <c r="G8" s="33">
        <v>1</v>
      </c>
      <c r="H8" s="34">
        <v>0.726818181818182</v>
      </c>
      <c r="I8">
        <v>2</v>
      </c>
      <c r="J8" s="35">
        <v>0</v>
      </c>
      <c r="K8" s="35">
        <v>0</v>
      </c>
      <c r="L8" s="35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5</v>
      </c>
      <c r="AK8">
        <v>5</v>
      </c>
      <c r="AL8">
        <v>6</v>
      </c>
      <c r="AM8">
        <v>9</v>
      </c>
      <c r="AN8" s="23">
        <v>0</v>
      </c>
      <c r="AO8" s="23">
        <v>4.2</v>
      </c>
      <c r="AP8" s="23">
        <v>0</v>
      </c>
      <c r="AQ8" s="23">
        <v>0.111111111111111</v>
      </c>
      <c r="AR8" s="37">
        <v>0</v>
      </c>
      <c r="AS8" s="37">
        <v>0</v>
      </c>
      <c r="AT8" s="37">
        <v>2</v>
      </c>
      <c r="AU8" s="33" t="str">
        <f t="shared" si="3"/>
        <v>库存为2</v>
      </c>
      <c r="AV8" s="38" t="str">
        <f>IFERROR(时间!$B$4+AU8,"上周无销量")</f>
        <v>上周无销量</v>
      </c>
    </row>
    <row r="9" spans="1:48">
      <c r="A9" s="21" t="s">
        <v>60</v>
      </c>
      <c r="B9" t="s">
        <v>56</v>
      </c>
      <c r="C9" t="s">
        <v>61</v>
      </c>
      <c r="D9" s="33">
        <v>0</v>
      </c>
      <c r="E9" s="33">
        <v>2</v>
      </c>
      <c r="F9" s="33">
        <v>0</v>
      </c>
      <c r="G9" s="33">
        <v>1</v>
      </c>
      <c r="H9" s="34">
        <v>5.33</v>
      </c>
      <c r="I9">
        <v>2</v>
      </c>
      <c r="J9" s="35">
        <v>0</v>
      </c>
      <c r="K9" s="35">
        <v>0</v>
      </c>
      <c r="L9" s="35">
        <v>0</v>
      </c>
      <c r="M9">
        <v>2</v>
      </c>
      <c r="N9">
        <v>0</v>
      </c>
      <c r="O9">
        <v>2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6</v>
      </c>
      <c r="AK9">
        <v>3</v>
      </c>
      <c r="AL9">
        <v>10</v>
      </c>
      <c r="AM9">
        <v>13</v>
      </c>
      <c r="AN9" s="23">
        <v>0</v>
      </c>
      <c r="AO9" s="23">
        <v>0.666666666666667</v>
      </c>
      <c r="AP9" s="23">
        <v>0</v>
      </c>
      <c r="AQ9" s="23">
        <v>0.0769230769230769</v>
      </c>
      <c r="AR9" s="37">
        <v>0</v>
      </c>
      <c r="AS9" s="37">
        <v>0</v>
      </c>
      <c r="AT9" s="37">
        <v>2</v>
      </c>
      <c r="AU9" s="33" t="str">
        <f t="shared" si="3"/>
        <v>库存为2</v>
      </c>
      <c r="AV9" s="38" t="str">
        <f>IFERROR(时间!$B$4+AU9,"上周无销量")</f>
        <v>上周无销量</v>
      </c>
    </row>
    <row r="10" spans="1:48">
      <c r="A10" s="21" t="s">
        <v>62</v>
      </c>
      <c r="B10" t="s">
        <v>63</v>
      </c>
      <c r="C10" t="s">
        <v>64</v>
      </c>
      <c r="D10" s="33">
        <v>0</v>
      </c>
      <c r="E10" s="33">
        <v>0</v>
      </c>
      <c r="F10" s="33">
        <v>2</v>
      </c>
      <c r="G10" s="33">
        <v>4</v>
      </c>
      <c r="H10" s="34">
        <v>13.99</v>
      </c>
      <c r="I10">
        <v>30</v>
      </c>
      <c r="J10" s="35">
        <v>0</v>
      </c>
      <c r="K10" s="35">
        <v>0</v>
      </c>
      <c r="L10" s="35">
        <v>0</v>
      </c>
      <c r="M10">
        <v>30</v>
      </c>
      <c r="N10">
        <v>0</v>
      </c>
      <c r="O10">
        <v>30</v>
      </c>
      <c r="P10">
        <v>0</v>
      </c>
      <c r="Q10">
        <v>12670</v>
      </c>
      <c r="R10">
        <v>52014</v>
      </c>
      <c r="S10">
        <v>48679</v>
      </c>
      <c r="T10">
        <v>0</v>
      </c>
      <c r="U10">
        <v>23</v>
      </c>
      <c r="V10">
        <v>95</v>
      </c>
      <c r="W10">
        <v>145</v>
      </c>
      <c r="X10" s="23" t="s">
        <v>54</v>
      </c>
      <c r="Y10" s="23">
        <v>0.00181531176006314</v>
      </c>
      <c r="Z10" s="23">
        <v>0.00182643134540701</v>
      </c>
      <c r="AA10" s="23">
        <v>0.00297869717948191</v>
      </c>
      <c r="AB10">
        <v>0</v>
      </c>
      <c r="AC10">
        <v>8.35</v>
      </c>
      <c r="AD10">
        <v>35.86</v>
      </c>
      <c r="AE10">
        <v>63.22</v>
      </c>
      <c r="AF10" s="23" t="s">
        <v>54</v>
      </c>
      <c r="AG10" s="23" t="s">
        <v>65</v>
      </c>
      <c r="AH10" s="23">
        <v>1.28162973552538</v>
      </c>
      <c r="AI10" s="23">
        <v>1.12973552537527</v>
      </c>
      <c r="AJ10">
        <v>8</v>
      </c>
      <c r="AK10">
        <v>28</v>
      </c>
      <c r="AL10">
        <v>57</v>
      </c>
      <c r="AM10">
        <v>82</v>
      </c>
      <c r="AN10" s="23">
        <v>0</v>
      </c>
      <c r="AO10" s="23">
        <v>0</v>
      </c>
      <c r="AP10" s="23">
        <v>0.0350877192982456</v>
      </c>
      <c r="AQ10" s="23">
        <v>0.0487804878048781</v>
      </c>
      <c r="AR10" s="37">
        <v>0</v>
      </c>
      <c r="AS10" s="37">
        <v>0</v>
      </c>
      <c r="AT10" s="37">
        <v>30</v>
      </c>
      <c r="AU10" s="33" t="str">
        <f t="shared" si="3"/>
        <v>库存为30</v>
      </c>
      <c r="AV10" s="38" t="str">
        <f>IFERROR(时间!$B$4+AU10,"上周无销量")</f>
        <v>上周无销量</v>
      </c>
    </row>
    <row r="11" spans="1:48">
      <c r="A11" s="21" t="s">
        <v>66</v>
      </c>
      <c r="B11" t="s">
        <v>67</v>
      </c>
      <c r="C11" t="s">
        <v>68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45</v>
      </c>
      <c r="J11" s="35">
        <v>0</v>
      </c>
      <c r="K11" s="35">
        <v>0</v>
      </c>
      <c r="L11" s="35">
        <v>0</v>
      </c>
      <c r="M11">
        <v>45</v>
      </c>
      <c r="N11">
        <v>0</v>
      </c>
      <c r="O11">
        <v>45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5</v>
      </c>
      <c r="AK11">
        <v>5</v>
      </c>
      <c r="AL11">
        <v>1</v>
      </c>
      <c r="AM11">
        <v>6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45</v>
      </c>
      <c r="AU11" s="33" t="str">
        <f t="shared" si="3"/>
        <v>库存为45</v>
      </c>
      <c r="AV11" s="38" t="str">
        <f>IFERROR(时间!$B$4+AU11,"上周无销量")</f>
        <v>上周无销量</v>
      </c>
    </row>
    <row r="12" spans="1:48">
      <c r="A12" s="21" t="s">
        <v>69</v>
      </c>
      <c r="B12" t="s">
        <v>70</v>
      </c>
      <c r="C12" t="s">
        <v>71</v>
      </c>
      <c r="D12" s="33">
        <v>0</v>
      </c>
      <c r="E12" s="33">
        <v>0</v>
      </c>
      <c r="F12" s="33">
        <v>1</v>
      </c>
      <c r="G12" s="33">
        <v>0</v>
      </c>
      <c r="H12" s="34">
        <v>20.9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4</v>
      </c>
      <c r="AK12">
        <v>6</v>
      </c>
      <c r="AL12">
        <v>4</v>
      </c>
      <c r="AM12">
        <v>3</v>
      </c>
      <c r="AN12" s="23">
        <v>0</v>
      </c>
      <c r="AO12" s="23">
        <v>0</v>
      </c>
      <c r="AP12" s="23">
        <v>0.25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72</v>
      </c>
      <c r="B13" t="s">
        <v>73</v>
      </c>
      <c r="C13" t="s">
        <v>71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3</v>
      </c>
      <c r="J13" s="35">
        <v>0</v>
      </c>
      <c r="K13" s="35">
        <v>0</v>
      </c>
      <c r="L13" s="35">
        <v>0</v>
      </c>
      <c r="M13">
        <v>3</v>
      </c>
      <c r="N13">
        <v>0</v>
      </c>
      <c r="O13">
        <v>3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5</v>
      </c>
      <c r="AK13">
        <v>6</v>
      </c>
      <c r="AL13">
        <v>3</v>
      </c>
      <c r="AM13">
        <v>4</v>
      </c>
      <c r="AN13" s="23">
        <v>0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3</v>
      </c>
      <c r="AU13" s="33" t="str">
        <f t="shared" si="3"/>
        <v>库存为3</v>
      </c>
      <c r="AV13" s="38" t="str">
        <f>IFERROR(时间!$B$4+AU13,"上周无销量")</f>
        <v>上周无销量</v>
      </c>
    </row>
    <row r="14" spans="1:48">
      <c r="A14" s="21" t="s">
        <v>74</v>
      </c>
      <c r="B14" t="s">
        <v>75</v>
      </c>
      <c r="C14" t="s">
        <v>71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1</v>
      </c>
      <c r="J14" s="35">
        <v>0</v>
      </c>
      <c r="K14" s="35">
        <v>0</v>
      </c>
      <c r="L14" s="35">
        <v>0</v>
      </c>
      <c r="M14">
        <v>1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7</v>
      </c>
      <c r="AK14">
        <v>5</v>
      </c>
      <c r="AL14">
        <v>2</v>
      </c>
      <c r="AM14">
        <v>2</v>
      </c>
      <c r="AN14" s="23">
        <v>0</v>
      </c>
      <c r="AO14" s="23">
        <v>0</v>
      </c>
      <c r="AP14" s="23">
        <v>0</v>
      </c>
      <c r="AQ14" s="23">
        <v>0</v>
      </c>
      <c r="AR14" s="37">
        <v>0</v>
      </c>
      <c r="AS14" s="37">
        <v>0</v>
      </c>
      <c r="AT14" s="37">
        <v>1</v>
      </c>
      <c r="AU14" s="33" t="str">
        <f t="shared" si="3"/>
        <v>库存为1</v>
      </c>
      <c r="AV14" s="38" t="str">
        <f>IFERROR(时间!$B$4+AU14,"上周无销量")</f>
        <v>上周无销量</v>
      </c>
    </row>
    <row r="15" spans="1:48">
      <c r="A15" s="21" t="s">
        <v>76</v>
      </c>
      <c r="B15" t="s">
        <v>77</v>
      </c>
      <c r="C15" t="s">
        <v>78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s">
        <v>54</v>
      </c>
      <c r="AO15" s="23" t="s">
        <v>54</v>
      </c>
      <c r="AP15" s="23" t="s">
        <v>54</v>
      </c>
      <c r="AQ15" s="23" t="s">
        <v>54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79</v>
      </c>
      <c r="B16" t="s">
        <v>80</v>
      </c>
      <c r="C16" t="s">
        <v>78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0</v>
      </c>
      <c r="J16" s="35">
        <v>0</v>
      </c>
      <c r="K16" s="35">
        <v>0</v>
      </c>
      <c r="L16" s="35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s">
        <v>54</v>
      </c>
      <c r="AO16" s="23" t="s">
        <v>54</v>
      </c>
      <c r="AP16" s="23" t="s">
        <v>54</v>
      </c>
      <c r="AQ16" s="23" t="s">
        <v>54</v>
      </c>
      <c r="AR16" s="37">
        <v>0</v>
      </c>
      <c r="AS16" s="37">
        <v>0</v>
      </c>
      <c r="AT16" s="37">
        <v>0</v>
      </c>
      <c r="AU16" s="33" t="str">
        <f t="shared" si="3"/>
        <v>库存为0</v>
      </c>
      <c r="AV16" s="38" t="str">
        <f>IFERROR(时间!$B$4+AU16,"上周无销量")</f>
        <v>上周无销量</v>
      </c>
    </row>
    <row r="17" spans="1:48">
      <c r="A17" s="21" t="s">
        <v>81</v>
      </c>
      <c r="B17" t="s">
        <v>82</v>
      </c>
      <c r="C17" t="s">
        <v>78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2</v>
      </c>
      <c r="J17" s="35">
        <v>0</v>
      </c>
      <c r="K17" s="35">
        <v>0</v>
      </c>
      <c r="L17" s="35">
        <v>0</v>
      </c>
      <c r="M17">
        <v>2</v>
      </c>
      <c r="N17">
        <v>0</v>
      </c>
      <c r="O17">
        <v>2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4</v>
      </c>
      <c r="AK17">
        <v>3</v>
      </c>
      <c r="AL17">
        <v>3</v>
      </c>
      <c r="AM17">
        <v>3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2</v>
      </c>
      <c r="AU17" s="33" t="str">
        <f t="shared" si="3"/>
        <v>库存为2</v>
      </c>
      <c r="AV17" s="38" t="str">
        <f>IFERROR(时间!$B$4+AU17,"上周无销量")</f>
        <v>上周无销量</v>
      </c>
    </row>
    <row r="18" spans="1:48">
      <c r="A18" s="21" t="s">
        <v>83</v>
      </c>
      <c r="B18" t="s">
        <v>84</v>
      </c>
      <c r="C18" t="s">
        <v>78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5</v>
      </c>
      <c r="J18" s="35">
        <v>0</v>
      </c>
      <c r="K18" s="35">
        <v>0</v>
      </c>
      <c r="L18" s="35">
        <v>0</v>
      </c>
      <c r="M18">
        <v>5</v>
      </c>
      <c r="N18">
        <v>0</v>
      </c>
      <c r="O18">
        <v>5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4</v>
      </c>
      <c r="AK18">
        <v>4</v>
      </c>
      <c r="AL18">
        <v>3</v>
      </c>
      <c r="AM18">
        <v>6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5</v>
      </c>
      <c r="AU18" s="33" t="str">
        <f t="shared" si="3"/>
        <v>库存为5</v>
      </c>
      <c r="AV18" s="38" t="str">
        <f>IFERROR(时间!$B$4+AU18,"上周无销量")</f>
        <v>上周无销量</v>
      </c>
    </row>
    <row r="19" spans="1:48">
      <c r="A19" s="21" t="s">
        <v>85</v>
      </c>
      <c r="B19" t="s">
        <v>86</v>
      </c>
      <c r="C19" t="s">
        <v>78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2</v>
      </c>
      <c r="J19" s="35">
        <v>0</v>
      </c>
      <c r="K19" s="35">
        <v>0</v>
      </c>
      <c r="L19" s="35">
        <v>0</v>
      </c>
      <c r="M19">
        <v>2</v>
      </c>
      <c r="N19">
        <v>0</v>
      </c>
      <c r="O19">
        <v>2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7</v>
      </c>
      <c r="AL19">
        <v>3</v>
      </c>
      <c r="AM19">
        <v>3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2</v>
      </c>
      <c r="AU19" s="33" t="str">
        <f t="shared" si="3"/>
        <v>库存为2</v>
      </c>
      <c r="AV19" s="38" t="str">
        <f>IFERROR(时间!$B$4+AU19,"上周无销量")</f>
        <v>上周无销量</v>
      </c>
    </row>
    <row r="20" spans="1:48">
      <c r="A20" s="21" t="s">
        <v>87</v>
      </c>
      <c r="B20" t="s">
        <v>88</v>
      </c>
      <c r="C20" t="s">
        <v>78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5</v>
      </c>
      <c r="J20" s="35">
        <v>0</v>
      </c>
      <c r="K20" s="35">
        <v>0</v>
      </c>
      <c r="L20" s="35">
        <v>0</v>
      </c>
      <c r="M20">
        <v>5</v>
      </c>
      <c r="N20">
        <v>0</v>
      </c>
      <c r="O20">
        <v>5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5</v>
      </c>
      <c r="AK20">
        <v>5</v>
      </c>
      <c r="AL20">
        <v>2</v>
      </c>
      <c r="AM20">
        <v>4</v>
      </c>
      <c r="AN20" s="23">
        <v>0</v>
      </c>
      <c r="AO20" s="23">
        <v>0</v>
      </c>
      <c r="AP20" s="23">
        <v>0</v>
      </c>
      <c r="AQ20" s="23">
        <v>0</v>
      </c>
      <c r="AR20" s="37">
        <v>0</v>
      </c>
      <c r="AS20" s="37">
        <v>0</v>
      </c>
      <c r="AT20" s="37">
        <v>5</v>
      </c>
      <c r="AU20" s="33" t="str">
        <f t="shared" si="3"/>
        <v>库存为5</v>
      </c>
      <c r="AV20" s="38" t="str">
        <f>IFERROR(时间!$B$4+AU20,"上周无销量")</f>
        <v>上周无销量</v>
      </c>
    </row>
    <row r="21" spans="1:48">
      <c r="A21" s="21" t="s">
        <v>89</v>
      </c>
      <c r="B21" t="s">
        <v>90</v>
      </c>
      <c r="C21" t="s">
        <v>91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s">
        <v>54</v>
      </c>
      <c r="AO21" s="23" t="s">
        <v>54</v>
      </c>
      <c r="AP21" s="23" t="s">
        <v>54</v>
      </c>
      <c r="AQ21" s="23" t="s">
        <v>54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92</v>
      </c>
      <c r="B22" t="s">
        <v>93</v>
      </c>
      <c r="C22" t="s">
        <v>94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7">
        <v>0</v>
      </c>
      <c r="AS22" s="37">
        <v>0</v>
      </c>
      <c r="AT22" s="37">
        <v>0</v>
      </c>
      <c r="AU22" s="33" t="str">
        <f t="shared" si="3"/>
        <v>库存为0</v>
      </c>
      <c r="AV22" s="38" t="str">
        <f>IFERROR(时间!$B$4+AU22,"上周无销量")</f>
        <v>上周无销量</v>
      </c>
    </row>
    <row r="23" spans="1:48">
      <c r="A23" s="21" t="s">
        <v>95</v>
      </c>
      <c r="B23" t="s">
        <v>96</v>
      </c>
      <c r="C23" t="s">
        <v>94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97</v>
      </c>
      <c r="B24" t="s">
        <v>98</v>
      </c>
      <c r="C24" t="s">
        <v>94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99</v>
      </c>
      <c r="B25" t="s">
        <v>100</v>
      </c>
      <c r="C25" t="s">
        <v>101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102</v>
      </c>
      <c r="B26" t="s">
        <v>103</v>
      </c>
      <c r="C26" t="s">
        <v>101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3</v>
      </c>
      <c r="J26" s="35">
        <v>0</v>
      </c>
      <c r="K26" s="35">
        <v>0</v>
      </c>
      <c r="L26" s="35">
        <v>0</v>
      </c>
      <c r="M26">
        <v>3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7">
        <v>0</v>
      </c>
      <c r="AS26" s="37">
        <v>0</v>
      </c>
      <c r="AT26" s="37">
        <v>3</v>
      </c>
      <c r="AU26" s="33" t="str">
        <f t="shared" si="3"/>
        <v>库存为3</v>
      </c>
      <c r="AV26" s="38" t="str">
        <f>IFERROR(时间!$B$4+AU26,"上周无销量")</f>
        <v>上周无销量</v>
      </c>
    </row>
    <row r="27" spans="1:48">
      <c r="A27" s="21" t="s">
        <v>104</v>
      </c>
      <c r="B27" t="s">
        <v>105</v>
      </c>
      <c r="C27" t="s">
        <v>101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0</v>
      </c>
      <c r="J27" s="35">
        <v>0</v>
      </c>
      <c r="K27" s="35">
        <v>0</v>
      </c>
      <c r="L27" s="35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7">
        <v>0</v>
      </c>
      <c r="AS27" s="37">
        <v>0</v>
      </c>
      <c r="AT27" s="37">
        <v>0</v>
      </c>
      <c r="AU27" s="33" t="str">
        <f t="shared" si="3"/>
        <v>库存为0</v>
      </c>
      <c r="AV27" s="38" t="str">
        <f>IFERROR(时间!$B$4+AU27,"上周无销量")</f>
        <v>上周无销量</v>
      </c>
    </row>
    <row r="28" spans="1:48">
      <c r="A28" s="21" t="s">
        <v>106</v>
      </c>
      <c r="B28" t="s">
        <v>107</v>
      </c>
      <c r="C28" t="s">
        <v>101</v>
      </c>
      <c r="D28" s="33">
        <v>2</v>
      </c>
      <c r="E28" s="33">
        <v>7</v>
      </c>
      <c r="F28" s="33">
        <v>0</v>
      </c>
      <c r="G28" s="33">
        <v>3</v>
      </c>
      <c r="H28" s="34">
        <v>11.4075</v>
      </c>
      <c r="I28">
        <v>5</v>
      </c>
      <c r="J28" s="35">
        <v>0</v>
      </c>
      <c r="K28" s="35">
        <v>0</v>
      </c>
      <c r="L28" s="35">
        <v>0</v>
      </c>
      <c r="M28">
        <v>5</v>
      </c>
      <c r="N28">
        <v>0</v>
      </c>
      <c r="O28">
        <v>3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73</v>
      </c>
      <c r="AK28">
        <v>54</v>
      </c>
      <c r="AL28">
        <v>51</v>
      </c>
      <c r="AM28">
        <v>22</v>
      </c>
      <c r="AN28" s="23">
        <v>0.0273972602739726</v>
      </c>
      <c r="AO28" s="23">
        <v>0.12962962962963</v>
      </c>
      <c r="AP28" s="23">
        <v>0</v>
      </c>
      <c r="AQ28" s="23">
        <v>0.136363636363636</v>
      </c>
      <c r="AR28" s="37">
        <v>0.285714285714286</v>
      </c>
      <c r="AS28" s="37">
        <v>17.1428571428571</v>
      </c>
      <c r="AT28" s="37">
        <v>-12.1428571428571</v>
      </c>
      <c r="AU28" s="33">
        <f t="shared" si="3"/>
        <v>17</v>
      </c>
      <c r="AV28" s="38">
        <f>IFERROR(时间!$B$4+AU28,"上周无销量")</f>
        <v>43356</v>
      </c>
    </row>
    <row r="29" spans="1:48">
      <c r="A29" s="21" t="s">
        <v>108</v>
      </c>
      <c r="B29" t="s">
        <v>109</v>
      </c>
      <c r="C29" t="s">
        <v>101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5</v>
      </c>
      <c r="J29" s="35">
        <v>0</v>
      </c>
      <c r="K29" s="35">
        <v>0</v>
      </c>
      <c r="L29" s="35">
        <v>0</v>
      </c>
      <c r="M29">
        <v>5</v>
      </c>
      <c r="N29">
        <v>0</v>
      </c>
      <c r="O29">
        <v>2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0</v>
      </c>
      <c r="AL29">
        <v>0</v>
      </c>
      <c r="AM29">
        <v>0</v>
      </c>
      <c r="AN29" s="23" t="s">
        <v>54</v>
      </c>
      <c r="AO29" s="23" t="s">
        <v>54</v>
      </c>
      <c r="AP29" s="23" t="s">
        <v>54</v>
      </c>
      <c r="AQ29" s="23" t="s">
        <v>54</v>
      </c>
      <c r="AR29" s="37">
        <v>0</v>
      </c>
      <c r="AS29" s="37">
        <v>0</v>
      </c>
      <c r="AT29" s="37">
        <v>5</v>
      </c>
      <c r="AU29" s="33" t="str">
        <f t="shared" si="3"/>
        <v>库存为5</v>
      </c>
      <c r="AV29" s="38" t="str">
        <f>IFERROR(时间!$B$4+AU29,"上周无销量")</f>
        <v>上周无销量</v>
      </c>
    </row>
    <row r="30" spans="1:48">
      <c r="A30" s="21" t="s">
        <v>110</v>
      </c>
      <c r="B30" t="s">
        <v>111</v>
      </c>
      <c r="C30" t="s">
        <v>112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0</v>
      </c>
      <c r="J30" s="35">
        <v>0</v>
      </c>
      <c r="K30" s="35">
        <v>0</v>
      </c>
      <c r="L30" s="35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5</v>
      </c>
      <c r="AK30">
        <v>5</v>
      </c>
      <c r="AL30">
        <v>7</v>
      </c>
      <c r="AM30">
        <v>2</v>
      </c>
      <c r="AN30" s="23">
        <v>0</v>
      </c>
      <c r="AO30" s="23">
        <v>0</v>
      </c>
      <c r="AP30" s="23">
        <v>0</v>
      </c>
      <c r="AQ30" s="23">
        <v>0</v>
      </c>
      <c r="AR30" s="37">
        <v>0</v>
      </c>
      <c r="AS30" s="37">
        <v>0</v>
      </c>
      <c r="AT30" s="37">
        <v>0</v>
      </c>
      <c r="AU30" s="33" t="str">
        <f t="shared" si="3"/>
        <v>库存为0</v>
      </c>
      <c r="AV30" s="38" t="str">
        <f>IFERROR(时间!$B$4+AU30,"上周无销量")</f>
        <v>上周无销量</v>
      </c>
    </row>
    <row r="31" spans="1:48">
      <c r="A31" s="21" t="s">
        <v>113</v>
      </c>
      <c r="B31" t="s">
        <v>114</v>
      </c>
      <c r="C31" t="s">
        <v>112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0</v>
      </c>
      <c r="J31" s="35">
        <v>5</v>
      </c>
      <c r="K31" s="35">
        <v>5</v>
      </c>
      <c r="L31" s="35">
        <v>0</v>
      </c>
      <c r="M31">
        <v>10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5</v>
      </c>
      <c r="AM31">
        <v>4</v>
      </c>
      <c r="AN31" s="23" t="s">
        <v>54</v>
      </c>
      <c r="AO31" s="23" t="s">
        <v>54</v>
      </c>
      <c r="AP31" s="23">
        <v>0</v>
      </c>
      <c r="AQ31" s="23">
        <v>0</v>
      </c>
      <c r="AR31" s="37">
        <v>0</v>
      </c>
      <c r="AS31" s="37">
        <v>0</v>
      </c>
      <c r="AT31" s="37">
        <v>10</v>
      </c>
      <c r="AU31" s="33" t="str">
        <f t="shared" si="3"/>
        <v>库存为10</v>
      </c>
      <c r="AV31" s="38" t="str">
        <f>IFERROR(时间!$B$4+AU31,"上周无销量")</f>
        <v>上周无销量</v>
      </c>
    </row>
    <row r="32" spans="1:48">
      <c r="A32" s="21" t="s">
        <v>115</v>
      </c>
      <c r="B32" t="s">
        <v>116</v>
      </c>
      <c r="C32" t="s">
        <v>112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0</v>
      </c>
      <c r="J32" s="35">
        <v>0</v>
      </c>
      <c r="K32" s="35">
        <v>0</v>
      </c>
      <c r="L32" s="35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4</v>
      </c>
      <c r="AK32">
        <v>3</v>
      </c>
      <c r="AL32">
        <v>7</v>
      </c>
      <c r="AM32">
        <v>4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0</v>
      </c>
      <c r="AU32" s="33" t="str">
        <f t="shared" si="3"/>
        <v>库存为0</v>
      </c>
      <c r="AV32" s="38" t="str">
        <f>IFERROR(时间!$B$4+AU32,"上周无销量")</f>
        <v>上周无销量</v>
      </c>
    </row>
    <row r="33" spans="1:48">
      <c r="A33" s="21" t="s">
        <v>117</v>
      </c>
      <c r="B33" t="s">
        <v>118</v>
      </c>
      <c r="C33" t="s">
        <v>112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4</v>
      </c>
      <c r="L33" s="35">
        <v>0</v>
      </c>
      <c r="M33">
        <v>4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7</v>
      </c>
      <c r="AM33">
        <v>2</v>
      </c>
      <c r="AN33" s="23" t="s">
        <v>54</v>
      </c>
      <c r="AO33" s="23" t="s">
        <v>54</v>
      </c>
      <c r="AP33" s="23">
        <v>0</v>
      </c>
      <c r="AQ33" s="23">
        <v>0</v>
      </c>
      <c r="AR33" s="37">
        <v>0</v>
      </c>
      <c r="AS33" s="37">
        <v>0</v>
      </c>
      <c r="AT33" s="37">
        <v>4</v>
      </c>
      <c r="AU33" s="33" t="str">
        <f t="shared" si="3"/>
        <v>库存为4</v>
      </c>
      <c r="AV33" s="38" t="str">
        <f>IFERROR(时间!$B$4+AU33,"上周无销量")</f>
        <v>上周无销量</v>
      </c>
    </row>
    <row r="34" spans="1:48">
      <c r="A34" s="21" t="s">
        <v>119</v>
      </c>
      <c r="B34" t="s">
        <v>120</v>
      </c>
      <c r="C34" t="s">
        <v>112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0</v>
      </c>
      <c r="J34" s="35">
        <v>5</v>
      </c>
      <c r="K34" s="35">
        <v>5</v>
      </c>
      <c r="L34" s="35">
        <v>0</v>
      </c>
      <c r="M34">
        <v>10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1</v>
      </c>
      <c r="AL34">
        <v>6</v>
      </c>
      <c r="AM34">
        <v>2</v>
      </c>
      <c r="AN34" s="23" t="s">
        <v>54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10</v>
      </c>
      <c r="AU34" s="33" t="str">
        <f t="shared" si="3"/>
        <v>库存为10</v>
      </c>
      <c r="AV34" s="38" t="str">
        <f>IFERROR(时间!$B$4+AU34,"上周无销量")</f>
        <v>上周无销量</v>
      </c>
    </row>
    <row r="35" spans="1:48">
      <c r="A35" s="21" t="s">
        <v>121</v>
      </c>
      <c r="B35" t="s">
        <v>122</v>
      </c>
      <c r="C35" t="s">
        <v>112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0</v>
      </c>
      <c r="J35" s="35">
        <v>6</v>
      </c>
      <c r="K35" s="35">
        <v>0</v>
      </c>
      <c r="L35" s="35">
        <v>0</v>
      </c>
      <c r="M35">
        <v>6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4</v>
      </c>
      <c r="AM35">
        <v>10</v>
      </c>
      <c r="AN35" s="23" t="s">
        <v>54</v>
      </c>
      <c r="AO35" s="23" t="s">
        <v>54</v>
      </c>
      <c r="AP35" s="23">
        <v>0</v>
      </c>
      <c r="AQ35" s="23">
        <v>0</v>
      </c>
      <c r="AR35" s="37">
        <v>0</v>
      </c>
      <c r="AS35" s="37">
        <v>0</v>
      </c>
      <c r="AT35" s="37">
        <v>6</v>
      </c>
      <c r="AU35" s="33" t="str">
        <f t="shared" si="3"/>
        <v>库存为6</v>
      </c>
      <c r="AV35" s="38" t="str">
        <f>IFERROR(时间!$B$4+AU35,"上周无销量")</f>
        <v>上周无销量</v>
      </c>
    </row>
    <row r="36" spans="1:48">
      <c r="A36" s="21" t="s">
        <v>123</v>
      </c>
      <c r="B36" t="s">
        <v>124</v>
      </c>
      <c r="C36" t="s">
        <v>112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10</v>
      </c>
      <c r="L36" s="35">
        <v>0</v>
      </c>
      <c r="M36">
        <v>10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4</v>
      </c>
      <c r="AM36">
        <v>3</v>
      </c>
      <c r="AN36" s="23" t="s">
        <v>54</v>
      </c>
      <c r="AO36" s="23" t="s">
        <v>54</v>
      </c>
      <c r="AP36" s="23">
        <v>0</v>
      </c>
      <c r="AQ36" s="23">
        <v>0</v>
      </c>
      <c r="AR36" s="37">
        <v>0</v>
      </c>
      <c r="AS36" s="37">
        <v>0</v>
      </c>
      <c r="AT36" s="37">
        <v>10</v>
      </c>
      <c r="AU36" s="33" t="str">
        <f t="shared" si="3"/>
        <v>库存为10</v>
      </c>
      <c r="AV36" s="38" t="str">
        <f>IFERROR(时间!$B$4+AU36,"上周无销量")</f>
        <v>上周无销量</v>
      </c>
    </row>
    <row r="37" spans="1:48">
      <c r="A37" s="21" t="s">
        <v>125</v>
      </c>
      <c r="B37" t="s">
        <v>126</v>
      </c>
      <c r="C37" t="s">
        <v>112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0</v>
      </c>
      <c r="J37" s="35">
        <v>0</v>
      </c>
      <c r="K37" s="35">
        <v>0</v>
      </c>
      <c r="L37" s="35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4</v>
      </c>
      <c r="AM37">
        <v>9</v>
      </c>
      <c r="AN37" s="23" t="s">
        <v>54</v>
      </c>
      <c r="AO37" s="23" t="s">
        <v>54</v>
      </c>
      <c r="AP37" s="23">
        <v>0</v>
      </c>
      <c r="AQ37" s="23">
        <v>0</v>
      </c>
      <c r="AR37" s="37">
        <v>0</v>
      </c>
      <c r="AS37" s="37">
        <v>0</v>
      </c>
      <c r="AT37" s="37">
        <v>0</v>
      </c>
      <c r="AU37" s="33" t="str">
        <f t="shared" si="3"/>
        <v>库存为0</v>
      </c>
      <c r="AV37" s="38" t="str">
        <f>IFERROR(时间!$B$4+AU37,"上周无销量")</f>
        <v>上周无销量</v>
      </c>
    </row>
    <row r="38" spans="1:48">
      <c r="A38" s="21" t="s">
        <v>127</v>
      </c>
      <c r="B38" t="s">
        <v>128</v>
      </c>
      <c r="C38" t="s">
        <v>112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0</v>
      </c>
      <c r="J38" s="35">
        <v>0</v>
      </c>
      <c r="K38" s="35">
        <v>0</v>
      </c>
      <c r="L38" s="35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3</v>
      </c>
      <c r="AM38">
        <v>6</v>
      </c>
      <c r="AN38" s="23" t="s">
        <v>54</v>
      </c>
      <c r="AO38" s="23" t="s">
        <v>54</v>
      </c>
      <c r="AP38" s="23">
        <v>0</v>
      </c>
      <c r="AQ38" s="23">
        <v>0</v>
      </c>
      <c r="AR38" s="37">
        <v>0</v>
      </c>
      <c r="AS38" s="37">
        <v>0</v>
      </c>
      <c r="AT38" s="37">
        <v>0</v>
      </c>
      <c r="AU38" s="33" t="str">
        <f t="shared" si="3"/>
        <v>库存为0</v>
      </c>
      <c r="AV38" s="38" t="str">
        <f>IFERROR(时间!$B$4+AU38,"上周无销量")</f>
        <v>上周无销量</v>
      </c>
    </row>
    <row r="39" spans="1:48">
      <c r="A39" s="21" t="s">
        <v>129</v>
      </c>
      <c r="B39" t="s">
        <v>130</v>
      </c>
      <c r="C39" t="s">
        <v>112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1</v>
      </c>
      <c r="J39" s="35">
        <v>0</v>
      </c>
      <c r="K39" s="35">
        <v>0</v>
      </c>
      <c r="L39" s="35">
        <v>0</v>
      </c>
      <c r="M39">
        <v>1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2</v>
      </c>
      <c r="AM39">
        <v>4</v>
      </c>
      <c r="AN39" s="23" t="s">
        <v>54</v>
      </c>
      <c r="AO39" s="23" t="s">
        <v>54</v>
      </c>
      <c r="AP39" s="23">
        <v>0</v>
      </c>
      <c r="AQ39" s="23">
        <v>0</v>
      </c>
      <c r="AR39" s="37">
        <v>0</v>
      </c>
      <c r="AS39" s="37">
        <v>0</v>
      </c>
      <c r="AT39" s="37">
        <v>1</v>
      </c>
      <c r="AU39" s="33" t="str">
        <f t="shared" si="3"/>
        <v>库存为1</v>
      </c>
      <c r="AV39" s="38" t="str">
        <f>IFERROR(时间!$B$4+AU39,"上周无销量")</f>
        <v>上周无销量</v>
      </c>
    </row>
    <row r="40" spans="1:48">
      <c r="A40" s="21" t="s">
        <v>131</v>
      </c>
      <c r="B40" t="s">
        <v>132</v>
      </c>
      <c r="C40" t="s">
        <v>112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0</v>
      </c>
      <c r="J40" s="35">
        <v>0</v>
      </c>
      <c r="K40" s="35">
        <v>0</v>
      </c>
      <c r="L40" s="35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4</v>
      </c>
      <c r="AM40">
        <v>3</v>
      </c>
      <c r="AN40" s="23" t="s">
        <v>54</v>
      </c>
      <c r="AO40" s="23" t="s">
        <v>54</v>
      </c>
      <c r="AP40" s="23">
        <v>0</v>
      </c>
      <c r="AQ40" s="23">
        <v>0</v>
      </c>
      <c r="AR40" s="37">
        <v>0</v>
      </c>
      <c r="AS40" s="37">
        <v>0</v>
      </c>
      <c r="AT40" s="37">
        <v>0</v>
      </c>
      <c r="AU40" s="33" t="str">
        <f t="shared" si="3"/>
        <v>库存为0</v>
      </c>
      <c r="AV40" s="38" t="str">
        <f>IFERROR(时间!$B$4+AU40,"上周无销量")</f>
        <v>上周无销量</v>
      </c>
    </row>
    <row r="41" spans="1:48">
      <c r="A41" s="21" t="s">
        <v>133</v>
      </c>
      <c r="B41" t="s">
        <v>134</v>
      </c>
      <c r="C41" t="s">
        <v>112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0</v>
      </c>
      <c r="J41" s="35">
        <v>0</v>
      </c>
      <c r="K41" s="35">
        <v>0</v>
      </c>
      <c r="L41" s="35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17</v>
      </c>
      <c r="AK41">
        <v>6</v>
      </c>
      <c r="AL41">
        <v>7</v>
      </c>
      <c r="AM41">
        <v>3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0</v>
      </c>
      <c r="AU41" s="33" t="str">
        <f t="shared" si="3"/>
        <v>库存为0</v>
      </c>
      <c r="AV41" s="38" t="str">
        <f>IFERROR(时间!$B$4+AU41,"上周无销量")</f>
        <v>上周无销量</v>
      </c>
    </row>
    <row r="42" spans="1:48">
      <c r="A42" s="21" t="s">
        <v>135</v>
      </c>
      <c r="B42" t="s">
        <v>136</v>
      </c>
      <c r="C42" t="s">
        <v>137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0</v>
      </c>
      <c r="J42" s="35">
        <v>0</v>
      </c>
      <c r="K42" s="35">
        <v>0</v>
      </c>
      <c r="L42" s="35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9</v>
      </c>
      <c r="AM42">
        <v>3</v>
      </c>
      <c r="AN42" s="23" t="s">
        <v>54</v>
      </c>
      <c r="AO42" s="23" t="s">
        <v>54</v>
      </c>
      <c r="AP42" s="23">
        <v>0</v>
      </c>
      <c r="AQ42" s="23">
        <v>0</v>
      </c>
      <c r="AR42" s="37">
        <v>0</v>
      </c>
      <c r="AS42" s="37">
        <v>0</v>
      </c>
      <c r="AT42" s="37">
        <v>0</v>
      </c>
      <c r="AU42" s="33" t="str">
        <f t="shared" si="3"/>
        <v>库存为0</v>
      </c>
      <c r="AV42" s="38" t="str">
        <f>IFERROR(时间!$B$4+AU42,"上周无销量")</f>
        <v>上周无销量</v>
      </c>
    </row>
    <row r="43" spans="1:48">
      <c r="A43" s="21" t="s">
        <v>138</v>
      </c>
      <c r="B43" t="s">
        <v>139</v>
      </c>
      <c r="C43" t="s">
        <v>137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5</v>
      </c>
      <c r="K43" s="35">
        <v>5</v>
      </c>
      <c r="L43" s="35">
        <v>0</v>
      </c>
      <c r="M43">
        <v>10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4</v>
      </c>
      <c r="AK43">
        <v>5</v>
      </c>
      <c r="AL43">
        <v>4</v>
      </c>
      <c r="AM43">
        <v>5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10</v>
      </c>
      <c r="AU43" s="33" t="str">
        <f t="shared" si="3"/>
        <v>库存为10</v>
      </c>
      <c r="AV43" s="38" t="str">
        <f>IFERROR(时间!$B$4+AU43,"上周无销量")</f>
        <v>上周无销量</v>
      </c>
    </row>
    <row r="44" spans="1:48">
      <c r="A44" s="21" t="s">
        <v>140</v>
      </c>
      <c r="B44" t="s">
        <v>141</v>
      </c>
      <c r="C44" t="s">
        <v>137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0</v>
      </c>
      <c r="J44" s="35">
        <v>0</v>
      </c>
      <c r="K44" s="35">
        <v>0</v>
      </c>
      <c r="L44" s="35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8</v>
      </c>
      <c r="AM44">
        <v>3</v>
      </c>
      <c r="AN44" s="23" t="s">
        <v>54</v>
      </c>
      <c r="AO44" s="23" t="s">
        <v>54</v>
      </c>
      <c r="AP44" s="23">
        <v>0</v>
      </c>
      <c r="AQ44" s="23">
        <v>0</v>
      </c>
      <c r="AR44" s="37">
        <v>0</v>
      </c>
      <c r="AS44" s="37">
        <v>0</v>
      </c>
      <c r="AT44" s="37">
        <v>0</v>
      </c>
      <c r="AU44" s="33" t="str">
        <f t="shared" si="3"/>
        <v>库存为0</v>
      </c>
      <c r="AV44" s="38" t="str">
        <f>IFERROR(时间!$B$4+AU44,"上周无销量")</f>
        <v>上周无销量</v>
      </c>
    </row>
    <row r="45" spans="1:48">
      <c r="A45" s="21" t="s">
        <v>142</v>
      </c>
      <c r="B45" t="s">
        <v>143</v>
      </c>
      <c r="C45" t="s">
        <v>137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0</v>
      </c>
      <c r="J45" s="35">
        <v>0</v>
      </c>
      <c r="K45" s="35">
        <v>8</v>
      </c>
      <c r="L45" s="35">
        <v>0</v>
      </c>
      <c r="M45">
        <v>8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7</v>
      </c>
      <c r="AM45">
        <v>6</v>
      </c>
      <c r="AN45" s="23" t="s">
        <v>54</v>
      </c>
      <c r="AO45" s="23" t="s">
        <v>54</v>
      </c>
      <c r="AP45" s="23">
        <v>0</v>
      </c>
      <c r="AQ45" s="23">
        <v>0</v>
      </c>
      <c r="AR45" s="37">
        <v>0</v>
      </c>
      <c r="AS45" s="37">
        <v>0</v>
      </c>
      <c r="AT45" s="37">
        <v>8</v>
      </c>
      <c r="AU45" s="33" t="str">
        <f t="shared" si="3"/>
        <v>库存为8</v>
      </c>
      <c r="AV45" s="38" t="str">
        <f>IFERROR(时间!$B$4+AU45,"上周无销量")</f>
        <v>上周无销量</v>
      </c>
    </row>
    <row r="46" spans="1:48">
      <c r="A46" s="21" t="s">
        <v>144</v>
      </c>
      <c r="B46" t="s">
        <v>145</v>
      </c>
      <c r="C46" t="s">
        <v>137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0</v>
      </c>
      <c r="J46" s="35">
        <v>0</v>
      </c>
      <c r="K46" s="35">
        <v>0</v>
      </c>
      <c r="L46" s="35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8</v>
      </c>
      <c r="AM46">
        <v>4</v>
      </c>
      <c r="AN46" s="23" t="s">
        <v>54</v>
      </c>
      <c r="AO46" s="23" t="s">
        <v>54</v>
      </c>
      <c r="AP46" s="23">
        <v>0</v>
      </c>
      <c r="AQ46" s="23">
        <v>0</v>
      </c>
      <c r="AR46" s="37">
        <v>0</v>
      </c>
      <c r="AS46" s="37">
        <v>0</v>
      </c>
      <c r="AT46" s="37">
        <v>0</v>
      </c>
      <c r="AU46" s="33" t="str">
        <f t="shared" si="3"/>
        <v>库存为0</v>
      </c>
      <c r="AV46" s="38" t="str">
        <f>IFERROR(时间!$B$4+AU46,"上周无销量")</f>
        <v>上周无销量</v>
      </c>
    </row>
    <row r="47" spans="1:48">
      <c r="A47" s="21" t="s">
        <v>146</v>
      </c>
      <c r="B47" t="s">
        <v>147</v>
      </c>
      <c r="C47" t="s">
        <v>137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5</v>
      </c>
      <c r="AK47">
        <v>8</v>
      </c>
      <c r="AL47">
        <v>8</v>
      </c>
      <c r="AM47">
        <v>7</v>
      </c>
      <c r="AN47" s="23">
        <v>0</v>
      </c>
      <c r="AO47" s="23">
        <v>0</v>
      </c>
      <c r="AP47" s="23">
        <v>0</v>
      </c>
      <c r="AQ47" s="23">
        <v>0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148</v>
      </c>
      <c r="B48" t="s">
        <v>149</v>
      </c>
      <c r="C48" t="s">
        <v>137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4</v>
      </c>
      <c r="L48" s="35">
        <v>0</v>
      </c>
      <c r="M48">
        <v>4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4</v>
      </c>
      <c r="AK48">
        <v>6</v>
      </c>
      <c r="AL48">
        <v>2</v>
      </c>
      <c r="AM48">
        <v>5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4</v>
      </c>
      <c r="AU48" s="33" t="str">
        <f t="shared" si="3"/>
        <v>库存为4</v>
      </c>
      <c r="AV48" s="38" t="str">
        <f>IFERROR(时间!$B$4+AU48,"上周无销量")</f>
        <v>上周无销量</v>
      </c>
    </row>
    <row r="49" spans="1:48">
      <c r="A49" s="21" t="s">
        <v>150</v>
      </c>
      <c r="B49" t="s">
        <v>151</v>
      </c>
      <c r="C49" t="s">
        <v>137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0</v>
      </c>
      <c r="J49" s="35">
        <v>0</v>
      </c>
      <c r="K49" s="35">
        <v>0</v>
      </c>
      <c r="L49" s="35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4</v>
      </c>
      <c r="AK49">
        <v>3</v>
      </c>
      <c r="AL49">
        <v>9</v>
      </c>
      <c r="AM49">
        <v>2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0</v>
      </c>
      <c r="AU49" s="33" t="str">
        <f t="shared" si="3"/>
        <v>库存为0</v>
      </c>
      <c r="AV49" s="38" t="str">
        <f>IFERROR(时间!$B$4+AU49,"上周无销量")</f>
        <v>上周无销量</v>
      </c>
    </row>
    <row r="50" spans="1:48">
      <c r="A50" s="21" t="s">
        <v>152</v>
      </c>
      <c r="B50" t="s">
        <v>153</v>
      </c>
      <c r="C50" t="s">
        <v>154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0</v>
      </c>
      <c r="J50" s="35">
        <v>3</v>
      </c>
      <c r="K50" s="35">
        <v>0</v>
      </c>
      <c r="L50" s="35">
        <v>0</v>
      </c>
      <c r="M50">
        <v>3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5</v>
      </c>
      <c r="AK50">
        <v>3</v>
      </c>
      <c r="AL50">
        <v>7</v>
      </c>
      <c r="AM50">
        <v>3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3</v>
      </c>
      <c r="AU50" s="33" t="str">
        <f t="shared" si="3"/>
        <v>库存为3</v>
      </c>
      <c r="AV50" s="38" t="str">
        <f>IFERROR(时间!$B$4+AU50,"上周无销量")</f>
        <v>上周无销量</v>
      </c>
    </row>
    <row r="51" spans="1:48">
      <c r="A51" s="21" t="s">
        <v>155</v>
      </c>
      <c r="B51" t="s">
        <v>156</v>
      </c>
      <c r="C51" t="s">
        <v>154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0</v>
      </c>
      <c r="J51" s="35">
        <v>8</v>
      </c>
      <c r="K51" s="35">
        <v>0</v>
      </c>
      <c r="L51" s="35">
        <v>0</v>
      </c>
      <c r="M51">
        <v>8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9</v>
      </c>
      <c r="AK51">
        <v>9</v>
      </c>
      <c r="AL51">
        <v>10</v>
      </c>
      <c r="AM51">
        <v>7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8</v>
      </c>
      <c r="AU51" s="33" t="str">
        <f t="shared" si="3"/>
        <v>库存为8</v>
      </c>
      <c r="AV51" s="38" t="str">
        <f>IFERROR(时间!$B$4+AU51,"上周无销量")</f>
        <v>上周无销量</v>
      </c>
    </row>
    <row r="52" spans="1:48">
      <c r="A52" s="21" t="s">
        <v>157</v>
      </c>
      <c r="B52" t="s">
        <v>158</v>
      </c>
      <c r="C52" t="s">
        <v>154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0</v>
      </c>
      <c r="J52" s="35">
        <v>0</v>
      </c>
      <c r="K52" s="35">
        <v>5</v>
      </c>
      <c r="L52" s="35">
        <v>0</v>
      </c>
      <c r="M52">
        <v>5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12</v>
      </c>
      <c r="AM52">
        <v>4</v>
      </c>
      <c r="AN52" s="23" t="s">
        <v>54</v>
      </c>
      <c r="AO52" s="23" t="s">
        <v>54</v>
      </c>
      <c r="AP52" s="23">
        <v>0</v>
      </c>
      <c r="AQ52" s="23">
        <v>0</v>
      </c>
      <c r="AR52" s="37">
        <v>0</v>
      </c>
      <c r="AS52" s="37">
        <v>0</v>
      </c>
      <c r="AT52" s="37">
        <v>5</v>
      </c>
      <c r="AU52" s="33" t="str">
        <f t="shared" si="3"/>
        <v>库存为5</v>
      </c>
      <c r="AV52" s="38" t="str">
        <f>IFERROR(时间!$B$4+AU52,"上周无销量")</f>
        <v>上周无销量</v>
      </c>
    </row>
    <row r="53" spans="1:48">
      <c r="A53" s="21" t="s">
        <v>159</v>
      </c>
      <c r="B53" t="s">
        <v>160</v>
      </c>
      <c r="C53" t="s">
        <v>154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0</v>
      </c>
      <c r="J53" s="35">
        <v>0</v>
      </c>
      <c r="K53" s="35">
        <v>3</v>
      </c>
      <c r="L53" s="35">
        <v>0</v>
      </c>
      <c r="M53">
        <v>3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4</v>
      </c>
      <c r="AK53">
        <v>4</v>
      </c>
      <c r="AL53">
        <v>3</v>
      </c>
      <c r="AM53">
        <v>2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3</v>
      </c>
      <c r="AU53" s="33" t="str">
        <f t="shared" si="3"/>
        <v>库存为3</v>
      </c>
      <c r="AV53" s="38" t="str">
        <f>IFERROR(时间!$B$4+AU53,"上周无销量")</f>
        <v>上周无销量</v>
      </c>
    </row>
    <row r="54" spans="1:48">
      <c r="A54" s="21" t="s">
        <v>161</v>
      </c>
      <c r="B54" t="s">
        <v>162</v>
      </c>
      <c r="C54" t="s">
        <v>154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0</v>
      </c>
      <c r="J54" s="35">
        <v>0</v>
      </c>
      <c r="K54" s="35">
        <v>6</v>
      </c>
      <c r="L54" s="35">
        <v>0</v>
      </c>
      <c r="M54">
        <v>6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5</v>
      </c>
      <c r="AM54">
        <v>4</v>
      </c>
      <c r="AN54" s="23" t="s">
        <v>54</v>
      </c>
      <c r="AO54" s="23" t="s">
        <v>54</v>
      </c>
      <c r="AP54" s="23">
        <v>0</v>
      </c>
      <c r="AQ54" s="23">
        <v>0</v>
      </c>
      <c r="AR54" s="37">
        <v>0</v>
      </c>
      <c r="AS54" s="37">
        <v>0</v>
      </c>
      <c r="AT54" s="37">
        <v>6</v>
      </c>
      <c r="AU54" s="33" t="str">
        <f t="shared" si="3"/>
        <v>库存为6</v>
      </c>
      <c r="AV54" s="38" t="str">
        <f>IFERROR(时间!$B$4+AU54,"上周无销量")</f>
        <v>上周无销量</v>
      </c>
    </row>
    <row r="55" spans="1:48">
      <c r="A55" s="21" t="s">
        <v>163</v>
      </c>
      <c r="B55" t="s">
        <v>164</v>
      </c>
      <c r="C55" t="s">
        <v>154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0</v>
      </c>
      <c r="J55" s="35">
        <v>0</v>
      </c>
      <c r="K55" s="35">
        <v>5</v>
      </c>
      <c r="L55" s="35">
        <v>0</v>
      </c>
      <c r="M55">
        <v>5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4</v>
      </c>
      <c r="AM55">
        <v>4</v>
      </c>
      <c r="AN55" s="23" t="s">
        <v>54</v>
      </c>
      <c r="AO55" s="23" t="s">
        <v>54</v>
      </c>
      <c r="AP55" s="23">
        <v>0</v>
      </c>
      <c r="AQ55" s="23">
        <v>0</v>
      </c>
      <c r="AR55" s="37">
        <v>0</v>
      </c>
      <c r="AS55" s="37">
        <v>0</v>
      </c>
      <c r="AT55" s="37">
        <v>5</v>
      </c>
      <c r="AU55" s="33" t="str">
        <f t="shared" si="3"/>
        <v>库存为5</v>
      </c>
      <c r="AV55" s="38" t="str">
        <f>IFERROR(时间!$B$4+AU55,"上周无销量")</f>
        <v>上周无销量</v>
      </c>
    </row>
    <row r="56" spans="1:48">
      <c r="A56" s="21" t="s">
        <v>165</v>
      </c>
      <c r="B56" t="s">
        <v>166</v>
      </c>
      <c r="C56" t="s">
        <v>154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0</v>
      </c>
      <c r="J56" s="35">
        <v>0</v>
      </c>
      <c r="K56" s="35">
        <v>4</v>
      </c>
      <c r="L56" s="35">
        <v>0</v>
      </c>
      <c r="M56">
        <v>4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13</v>
      </c>
      <c r="AM56">
        <v>3</v>
      </c>
      <c r="AN56" s="23" t="s">
        <v>54</v>
      </c>
      <c r="AO56" s="23" t="s">
        <v>54</v>
      </c>
      <c r="AP56" s="23">
        <v>0</v>
      </c>
      <c r="AQ56" s="23">
        <v>0</v>
      </c>
      <c r="AR56" s="37">
        <v>0</v>
      </c>
      <c r="AS56" s="37">
        <v>0</v>
      </c>
      <c r="AT56" s="37">
        <v>4</v>
      </c>
      <c r="AU56" s="33" t="str">
        <f t="shared" si="3"/>
        <v>库存为4</v>
      </c>
      <c r="AV56" s="38" t="str">
        <f>IFERROR(时间!$B$4+AU56,"上周无销量")</f>
        <v>上周无销量</v>
      </c>
    </row>
    <row r="57" spans="1:48">
      <c r="A57" s="21" t="s">
        <v>167</v>
      </c>
      <c r="B57" t="s">
        <v>168</v>
      </c>
      <c r="C57" t="s">
        <v>154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6</v>
      </c>
      <c r="K57" s="35">
        <v>0</v>
      </c>
      <c r="L57" s="35">
        <v>0</v>
      </c>
      <c r="M57">
        <v>6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7</v>
      </c>
      <c r="AK57">
        <v>7</v>
      </c>
      <c r="AL57">
        <v>7</v>
      </c>
      <c r="AM57">
        <v>5</v>
      </c>
      <c r="AN57" s="23">
        <v>0</v>
      </c>
      <c r="AO57" s="23">
        <v>0</v>
      </c>
      <c r="AP57" s="23">
        <v>0</v>
      </c>
      <c r="AQ57" s="23">
        <v>0</v>
      </c>
      <c r="AR57" s="37">
        <v>0</v>
      </c>
      <c r="AS57" s="37">
        <v>0</v>
      </c>
      <c r="AT57" s="37">
        <v>6</v>
      </c>
      <c r="AU57" s="33" t="str">
        <f t="shared" si="3"/>
        <v>库存为6</v>
      </c>
      <c r="AV57" s="38" t="str">
        <f>IFERROR(时间!$B$4+AU57,"上周无销量")</f>
        <v>上周无销量</v>
      </c>
    </row>
    <row r="58" spans="1:48">
      <c r="A58" s="21" t="s">
        <v>169</v>
      </c>
      <c r="B58" t="s">
        <v>170</v>
      </c>
      <c r="C58" t="s">
        <v>154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0</v>
      </c>
      <c r="J58" s="35">
        <v>0</v>
      </c>
      <c r="K58" s="35">
        <v>6</v>
      </c>
      <c r="L58" s="35">
        <v>0</v>
      </c>
      <c r="M58">
        <v>6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5</v>
      </c>
      <c r="AM58">
        <v>3</v>
      </c>
      <c r="AN58" s="23" t="s">
        <v>54</v>
      </c>
      <c r="AO58" s="23" t="s">
        <v>54</v>
      </c>
      <c r="AP58" s="23">
        <v>0</v>
      </c>
      <c r="AQ58" s="23">
        <v>0</v>
      </c>
      <c r="AR58" s="37">
        <v>0</v>
      </c>
      <c r="AS58" s="37">
        <v>0</v>
      </c>
      <c r="AT58" s="37">
        <v>6</v>
      </c>
      <c r="AU58" s="33" t="str">
        <f t="shared" si="3"/>
        <v>库存为6</v>
      </c>
      <c r="AV58" s="38" t="str">
        <f>IFERROR(时间!$B$4+AU58,"上周无销量")</f>
        <v>上周无销量</v>
      </c>
    </row>
    <row r="59" spans="1:48">
      <c r="A59" s="21" t="s">
        <v>171</v>
      </c>
      <c r="B59" t="s">
        <v>172</v>
      </c>
      <c r="C59" t="s">
        <v>154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0</v>
      </c>
      <c r="J59" s="35">
        <v>0</v>
      </c>
      <c r="K59" s="35">
        <v>7</v>
      </c>
      <c r="L59" s="35">
        <v>0</v>
      </c>
      <c r="M59">
        <v>7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7</v>
      </c>
      <c r="AM59">
        <v>7</v>
      </c>
      <c r="AN59" s="23" t="s">
        <v>54</v>
      </c>
      <c r="AO59" s="23" t="s">
        <v>54</v>
      </c>
      <c r="AP59" s="23">
        <v>0</v>
      </c>
      <c r="AQ59" s="23">
        <v>0</v>
      </c>
      <c r="AR59" s="37">
        <v>0</v>
      </c>
      <c r="AS59" s="37">
        <v>0</v>
      </c>
      <c r="AT59" s="37">
        <v>7</v>
      </c>
      <c r="AU59" s="33" t="str">
        <f t="shared" si="3"/>
        <v>库存为7</v>
      </c>
      <c r="AV59" s="38" t="str">
        <f>IFERROR(时间!$B$4+AU59,"上周无销量")</f>
        <v>上周无销量</v>
      </c>
    </row>
    <row r="60" spans="1:48">
      <c r="A60" s="21" t="s">
        <v>173</v>
      </c>
      <c r="B60" t="s">
        <v>174</v>
      </c>
      <c r="C60" t="s">
        <v>154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0</v>
      </c>
      <c r="J60" s="35">
        <v>3</v>
      </c>
      <c r="K60" s="35">
        <v>0</v>
      </c>
      <c r="L60" s="35">
        <v>0</v>
      </c>
      <c r="M60">
        <v>3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4</v>
      </c>
      <c r="AK60">
        <v>5</v>
      </c>
      <c r="AL60">
        <v>5</v>
      </c>
      <c r="AM60">
        <v>8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3</v>
      </c>
      <c r="AU60" s="33" t="str">
        <f t="shared" si="3"/>
        <v>库存为3</v>
      </c>
      <c r="AV60" s="38" t="str">
        <f>IFERROR(时间!$B$4+AU60,"上周无销量")</f>
        <v>上周无销量</v>
      </c>
    </row>
    <row r="61" spans="1:48">
      <c r="A61" s="21" t="s">
        <v>175</v>
      </c>
      <c r="B61" t="s">
        <v>176</v>
      </c>
      <c r="C61" t="s">
        <v>154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0</v>
      </c>
      <c r="J61" s="35">
        <v>3</v>
      </c>
      <c r="K61" s="35">
        <v>1</v>
      </c>
      <c r="L61" s="35">
        <v>0</v>
      </c>
      <c r="M61">
        <v>4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4</v>
      </c>
      <c r="AK61">
        <v>2</v>
      </c>
      <c r="AL61">
        <v>2</v>
      </c>
      <c r="AM61">
        <v>4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4</v>
      </c>
      <c r="AU61" s="33" t="str">
        <f t="shared" si="3"/>
        <v>库存为4</v>
      </c>
      <c r="AV61" s="38" t="str">
        <f>IFERROR(时间!$B$4+AU61,"上周无销量")</f>
        <v>上周无销量</v>
      </c>
    </row>
    <row r="62" spans="1:48">
      <c r="A62" s="21" t="s">
        <v>177</v>
      </c>
      <c r="B62" t="s">
        <v>111</v>
      </c>
      <c r="C62" t="s">
        <v>112</v>
      </c>
      <c r="D62" s="33">
        <v>0</v>
      </c>
      <c r="E62" s="33">
        <v>1</v>
      </c>
      <c r="F62" s="33">
        <v>0</v>
      </c>
      <c r="G62" s="33">
        <v>0</v>
      </c>
      <c r="H62" s="34">
        <v>0</v>
      </c>
      <c r="I62">
        <v>1</v>
      </c>
      <c r="J62" s="35">
        <v>0</v>
      </c>
      <c r="K62" s="35">
        <v>0</v>
      </c>
      <c r="L62" s="35">
        <v>0</v>
      </c>
      <c r="M62">
        <v>1</v>
      </c>
      <c r="N62">
        <v>0</v>
      </c>
      <c r="O62">
        <v>1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5</v>
      </c>
      <c r="AK62">
        <v>5</v>
      </c>
      <c r="AL62">
        <v>7</v>
      </c>
      <c r="AM62">
        <v>2</v>
      </c>
      <c r="AN62" s="23">
        <v>0</v>
      </c>
      <c r="AO62" s="23">
        <v>0.2</v>
      </c>
      <c r="AP62" s="23">
        <v>0</v>
      </c>
      <c r="AQ62" s="23">
        <v>0</v>
      </c>
      <c r="AR62" s="37">
        <v>0</v>
      </c>
      <c r="AS62" s="37">
        <v>0</v>
      </c>
      <c r="AT62" s="37">
        <v>1</v>
      </c>
      <c r="AU62" s="33" t="str">
        <f t="shared" si="3"/>
        <v>库存为1</v>
      </c>
      <c r="AV62" s="38" t="str">
        <f>IFERROR(时间!$B$4+AU62,"上周无销量")</f>
        <v>上周无销量</v>
      </c>
    </row>
    <row r="63" spans="1:48">
      <c r="A63" s="21" t="s">
        <v>178</v>
      </c>
      <c r="B63" t="s">
        <v>114</v>
      </c>
      <c r="C63" t="s">
        <v>112</v>
      </c>
      <c r="D63" s="33">
        <v>0</v>
      </c>
      <c r="E63" s="33">
        <v>5</v>
      </c>
      <c r="F63" s="33">
        <v>0</v>
      </c>
      <c r="G63" s="33">
        <v>0</v>
      </c>
      <c r="H63" s="34">
        <v>0</v>
      </c>
      <c r="I63">
        <v>0</v>
      </c>
      <c r="J63" s="35">
        <v>0</v>
      </c>
      <c r="K63" s="35">
        <v>0</v>
      </c>
      <c r="L63" s="35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5</v>
      </c>
      <c r="AM63">
        <v>4</v>
      </c>
      <c r="AN63" s="23" t="s">
        <v>54</v>
      </c>
      <c r="AO63" s="23" t="s">
        <v>54</v>
      </c>
      <c r="AP63" s="23">
        <v>0</v>
      </c>
      <c r="AQ63" s="23">
        <v>0</v>
      </c>
      <c r="AR63" s="37">
        <v>0</v>
      </c>
      <c r="AS63" s="37">
        <v>0</v>
      </c>
      <c r="AT63" s="37">
        <v>0</v>
      </c>
      <c r="AU63" s="33" t="str">
        <f t="shared" si="3"/>
        <v>库存为0</v>
      </c>
      <c r="AV63" s="38" t="str">
        <f>IFERROR(时间!$B$4+AU63,"上周无销量")</f>
        <v>上周无销量</v>
      </c>
    </row>
    <row r="64" spans="1:48">
      <c r="A64" s="21" t="s">
        <v>179</v>
      </c>
      <c r="B64" t="s">
        <v>116</v>
      </c>
      <c r="C64" t="s">
        <v>112</v>
      </c>
      <c r="D64" s="33">
        <v>0</v>
      </c>
      <c r="E64" s="33">
        <v>2</v>
      </c>
      <c r="F64" s="33">
        <v>0</v>
      </c>
      <c r="G64" s="33">
        <v>0</v>
      </c>
      <c r="H64" s="34">
        <v>0</v>
      </c>
      <c r="I64">
        <v>1</v>
      </c>
      <c r="J64" s="35">
        <v>0</v>
      </c>
      <c r="K64" s="35">
        <v>0</v>
      </c>
      <c r="L64" s="35">
        <v>0</v>
      </c>
      <c r="M64">
        <v>1</v>
      </c>
      <c r="N64">
        <v>0</v>
      </c>
      <c r="O64">
        <v>1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4</v>
      </c>
      <c r="AK64">
        <v>3</v>
      </c>
      <c r="AL64">
        <v>7</v>
      </c>
      <c r="AM64">
        <v>4</v>
      </c>
      <c r="AN64" s="23">
        <v>0</v>
      </c>
      <c r="AO64" s="23">
        <v>0.666666666666667</v>
      </c>
      <c r="AP64" s="23">
        <v>0</v>
      </c>
      <c r="AQ64" s="23">
        <v>0</v>
      </c>
      <c r="AR64" s="37">
        <v>0</v>
      </c>
      <c r="AS64" s="37">
        <v>0</v>
      </c>
      <c r="AT64" s="37">
        <v>1</v>
      </c>
      <c r="AU64" s="33" t="str">
        <f t="shared" si="3"/>
        <v>库存为1</v>
      </c>
      <c r="AV64" s="38" t="str">
        <f>IFERROR(时间!$B$4+AU64,"上周无销量")</f>
        <v>上周无销量</v>
      </c>
    </row>
    <row r="65" spans="1:48">
      <c r="A65" s="21" t="s">
        <v>180</v>
      </c>
      <c r="B65" t="s">
        <v>118</v>
      </c>
      <c r="C65" t="s">
        <v>112</v>
      </c>
      <c r="D65" s="33">
        <v>0</v>
      </c>
      <c r="E65" s="33">
        <v>3</v>
      </c>
      <c r="F65" s="33">
        <v>0</v>
      </c>
      <c r="G65" s="33">
        <v>0</v>
      </c>
      <c r="H65" s="34">
        <v>0</v>
      </c>
      <c r="I65">
        <v>0</v>
      </c>
      <c r="J65" s="35">
        <v>0</v>
      </c>
      <c r="K65" s="35">
        <v>0</v>
      </c>
      <c r="L65" s="35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7</v>
      </c>
      <c r="AM65">
        <v>2</v>
      </c>
      <c r="AN65" s="23" t="s">
        <v>54</v>
      </c>
      <c r="AO65" s="23" t="s">
        <v>54</v>
      </c>
      <c r="AP65" s="23">
        <v>0</v>
      </c>
      <c r="AQ65" s="23">
        <v>0</v>
      </c>
      <c r="AR65" s="37">
        <v>0</v>
      </c>
      <c r="AS65" s="37">
        <v>0</v>
      </c>
      <c r="AT65" s="37">
        <v>0</v>
      </c>
      <c r="AU65" s="33" t="str">
        <f t="shared" si="3"/>
        <v>库存为0</v>
      </c>
      <c r="AV65" s="38" t="str">
        <f>IFERROR(时间!$B$4+AU65,"上周无销量")</f>
        <v>上周无销量</v>
      </c>
    </row>
    <row r="66" spans="1:48">
      <c r="A66" s="21" t="s">
        <v>181</v>
      </c>
      <c r="B66" t="s">
        <v>182</v>
      </c>
      <c r="C66" t="s">
        <v>112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8</v>
      </c>
      <c r="AK66">
        <v>2</v>
      </c>
      <c r="AL66">
        <v>7</v>
      </c>
      <c r="AM66">
        <v>6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2</v>
      </c>
      <c r="AU66" s="33" t="str">
        <f t="shared" si="3"/>
        <v>库存为2</v>
      </c>
      <c r="AV66" s="38" t="str">
        <f>IFERROR(时间!$B$4+AU66,"上周无销量")</f>
        <v>上周无销量</v>
      </c>
    </row>
    <row r="67" spans="1:48">
      <c r="A67" s="21" t="s">
        <v>183</v>
      </c>
      <c r="B67" t="s">
        <v>120</v>
      </c>
      <c r="C67" t="s">
        <v>112</v>
      </c>
      <c r="D67" s="33">
        <v>0</v>
      </c>
      <c r="E67" s="33">
        <v>4</v>
      </c>
      <c r="F67" s="33">
        <v>0</v>
      </c>
      <c r="G67" s="33">
        <v>0</v>
      </c>
      <c r="H67" s="34">
        <v>0</v>
      </c>
      <c r="I67">
        <v>0</v>
      </c>
      <c r="J67" s="35">
        <v>0</v>
      </c>
      <c r="K67" s="35">
        <v>0</v>
      </c>
      <c r="L67" s="35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1</v>
      </c>
      <c r="AL67">
        <v>6</v>
      </c>
      <c r="AM67">
        <v>2</v>
      </c>
      <c r="AN67" s="23" t="s">
        <v>54</v>
      </c>
      <c r="AO67" s="23">
        <v>4</v>
      </c>
      <c r="AP67" s="23">
        <v>0</v>
      </c>
      <c r="AQ67" s="23">
        <v>0</v>
      </c>
      <c r="AR67" s="37">
        <v>0</v>
      </c>
      <c r="AS67" s="37">
        <v>0</v>
      </c>
      <c r="AT67" s="37">
        <v>0</v>
      </c>
      <c r="AU67" s="33" t="str">
        <f t="shared" si="3"/>
        <v>库存为0</v>
      </c>
      <c r="AV67" s="38" t="str">
        <f>IFERROR(时间!$B$4+AU67,"上周无销量")</f>
        <v>上周无销量</v>
      </c>
    </row>
    <row r="68" spans="1:48">
      <c r="A68" s="21" t="s">
        <v>184</v>
      </c>
      <c r="B68" t="s">
        <v>122</v>
      </c>
      <c r="C68" t="s">
        <v>112</v>
      </c>
      <c r="D68" s="33">
        <v>0</v>
      </c>
      <c r="E68" s="33">
        <v>5</v>
      </c>
      <c r="F68" s="33">
        <v>0</v>
      </c>
      <c r="G68" s="33">
        <v>0</v>
      </c>
      <c r="H68" s="34">
        <v>0</v>
      </c>
      <c r="I68">
        <v>0</v>
      </c>
      <c r="J68" s="35">
        <v>0</v>
      </c>
      <c r="K68" s="35">
        <v>0</v>
      </c>
      <c r="L68" s="35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4</v>
      </c>
      <c r="AM68">
        <v>10</v>
      </c>
      <c r="AN68" s="23" t="s">
        <v>54</v>
      </c>
      <c r="AO68" s="23" t="s">
        <v>54</v>
      </c>
      <c r="AP68" s="23">
        <v>0</v>
      </c>
      <c r="AQ68" s="23">
        <v>0</v>
      </c>
      <c r="AR68" s="37">
        <v>0</v>
      </c>
      <c r="AS68" s="37">
        <v>0</v>
      </c>
      <c r="AT68" s="37">
        <v>0</v>
      </c>
      <c r="AU68" s="33" t="str">
        <f t="shared" si="3"/>
        <v>库存为0</v>
      </c>
      <c r="AV68" s="38" t="str">
        <f>IFERROR(时间!$B$4+AU68,"上周无销量")</f>
        <v>上周无销量</v>
      </c>
    </row>
    <row r="69" spans="1:48">
      <c r="A69" s="21" t="s">
        <v>185</v>
      </c>
      <c r="B69" t="s">
        <v>124</v>
      </c>
      <c r="C69" t="s">
        <v>112</v>
      </c>
      <c r="D69" s="33">
        <v>0</v>
      </c>
      <c r="E69" s="33">
        <v>4</v>
      </c>
      <c r="F69" s="33">
        <v>0</v>
      </c>
      <c r="G69" s="33">
        <v>0</v>
      </c>
      <c r="H69" s="34">
        <v>0</v>
      </c>
      <c r="I69">
        <v>0</v>
      </c>
      <c r="J69" s="35">
        <v>0</v>
      </c>
      <c r="K69" s="35">
        <v>0</v>
      </c>
      <c r="L69" s="35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4</v>
      </c>
      <c r="AM69">
        <v>3</v>
      </c>
      <c r="AN69" s="23" t="s">
        <v>54</v>
      </c>
      <c r="AO69" s="23" t="s">
        <v>54</v>
      </c>
      <c r="AP69" s="23">
        <v>0</v>
      </c>
      <c r="AQ69" s="23">
        <v>0</v>
      </c>
      <c r="AR69" s="37">
        <v>0</v>
      </c>
      <c r="AS69" s="37">
        <v>0</v>
      </c>
      <c r="AT69" s="37">
        <v>0</v>
      </c>
      <c r="AU69" s="33" t="str">
        <f t="shared" ref="AU69:AU132" si="5">IF(AR69="","库存为"&amp;M69,IF(AS69=0,"库存为"&amp;M69,INT(M69/AR69)))</f>
        <v>库存为0</v>
      </c>
      <c r="AV69" s="38" t="str">
        <f>IFERROR(时间!$B$4+AU69,"上周无销量")</f>
        <v>上周无销量</v>
      </c>
    </row>
    <row r="70" spans="1:48">
      <c r="A70" s="21" t="s">
        <v>186</v>
      </c>
      <c r="B70" t="s">
        <v>126</v>
      </c>
      <c r="C70" t="s">
        <v>112</v>
      </c>
      <c r="D70" s="33">
        <v>0</v>
      </c>
      <c r="E70" s="33">
        <v>4</v>
      </c>
      <c r="F70" s="33">
        <v>0</v>
      </c>
      <c r="G70" s="33">
        <v>0</v>
      </c>
      <c r="H70" s="34">
        <v>0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4</v>
      </c>
      <c r="AM70">
        <v>9</v>
      </c>
      <c r="AN70" s="23" t="s">
        <v>54</v>
      </c>
      <c r="AO70" s="23" t="s">
        <v>54</v>
      </c>
      <c r="AP70" s="23">
        <v>0</v>
      </c>
      <c r="AQ70" s="23">
        <v>0</v>
      </c>
      <c r="AR70" s="37">
        <v>0</v>
      </c>
      <c r="AS70" s="37">
        <v>0</v>
      </c>
      <c r="AT70" s="37">
        <v>0</v>
      </c>
      <c r="AU70" s="33" t="str">
        <f t="shared" si="5"/>
        <v>库存为0</v>
      </c>
      <c r="AV70" s="38" t="str">
        <f>IFERROR(时间!$B$4+AU70,"上周无销量")</f>
        <v>上周无销量</v>
      </c>
    </row>
    <row r="71" spans="1:48">
      <c r="A71" s="21" t="s">
        <v>187</v>
      </c>
      <c r="B71" t="s">
        <v>128</v>
      </c>
      <c r="C71" t="s">
        <v>112</v>
      </c>
      <c r="D71" s="33">
        <v>0</v>
      </c>
      <c r="E71" s="33">
        <v>2</v>
      </c>
      <c r="F71" s="33">
        <v>0</v>
      </c>
      <c r="G71" s="33">
        <v>0</v>
      </c>
      <c r="H71" s="34">
        <v>0</v>
      </c>
      <c r="I71">
        <v>0</v>
      </c>
      <c r="J71" s="35">
        <v>0</v>
      </c>
      <c r="K71" s="35">
        <v>0</v>
      </c>
      <c r="L71" s="35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3</v>
      </c>
      <c r="AM71">
        <v>6</v>
      </c>
      <c r="AN71" s="23" t="s">
        <v>54</v>
      </c>
      <c r="AO71" s="23" t="s">
        <v>54</v>
      </c>
      <c r="AP71" s="23">
        <v>0</v>
      </c>
      <c r="AQ71" s="23">
        <v>0</v>
      </c>
      <c r="AR71" s="37">
        <v>0</v>
      </c>
      <c r="AS71" s="37">
        <v>0</v>
      </c>
      <c r="AT71" s="37">
        <v>0</v>
      </c>
      <c r="AU71" s="33" t="str">
        <f t="shared" si="5"/>
        <v>库存为0</v>
      </c>
      <c r="AV71" s="38" t="str">
        <f>IFERROR(时间!$B$4+AU71,"上周无销量")</f>
        <v>上周无销量</v>
      </c>
    </row>
    <row r="72" spans="1:48">
      <c r="A72" s="21" t="s">
        <v>188</v>
      </c>
      <c r="B72" t="s">
        <v>130</v>
      </c>
      <c r="C72" t="s">
        <v>112</v>
      </c>
      <c r="D72" s="33">
        <v>0</v>
      </c>
      <c r="E72" s="33">
        <v>1</v>
      </c>
      <c r="F72" s="33">
        <v>0</v>
      </c>
      <c r="G72" s="33">
        <v>0</v>
      </c>
      <c r="H72" s="34">
        <v>0</v>
      </c>
      <c r="I72">
        <v>0</v>
      </c>
      <c r="J72" s="35">
        <v>0</v>
      </c>
      <c r="K72" s="35">
        <v>0</v>
      </c>
      <c r="L72" s="35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2</v>
      </c>
      <c r="AM72">
        <v>4</v>
      </c>
      <c r="AN72" s="23" t="s">
        <v>54</v>
      </c>
      <c r="AO72" s="23" t="s">
        <v>54</v>
      </c>
      <c r="AP72" s="23">
        <v>0</v>
      </c>
      <c r="AQ72" s="23">
        <v>0</v>
      </c>
      <c r="AR72" s="37">
        <v>0</v>
      </c>
      <c r="AS72" s="37">
        <v>0</v>
      </c>
      <c r="AT72" s="37">
        <v>0</v>
      </c>
      <c r="AU72" s="33" t="str">
        <f t="shared" si="5"/>
        <v>库存为0</v>
      </c>
      <c r="AV72" s="38" t="str">
        <f>IFERROR(时间!$B$4+AU72,"上周无销量")</f>
        <v>上周无销量</v>
      </c>
    </row>
    <row r="73" spans="1:48">
      <c r="A73" s="21" t="s">
        <v>189</v>
      </c>
      <c r="B73" t="s">
        <v>132</v>
      </c>
      <c r="C73" t="s">
        <v>112</v>
      </c>
      <c r="D73" s="33">
        <v>0</v>
      </c>
      <c r="E73" s="33">
        <v>3</v>
      </c>
      <c r="F73" s="33">
        <v>0</v>
      </c>
      <c r="G73" s="33">
        <v>0</v>
      </c>
      <c r="H73" s="34">
        <v>0</v>
      </c>
      <c r="I73">
        <v>0</v>
      </c>
      <c r="J73" s="35">
        <v>0</v>
      </c>
      <c r="K73" s="35">
        <v>0</v>
      </c>
      <c r="L73" s="35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4</v>
      </c>
      <c r="AM73">
        <v>3</v>
      </c>
      <c r="AN73" s="23" t="s">
        <v>54</v>
      </c>
      <c r="AO73" s="23" t="s">
        <v>54</v>
      </c>
      <c r="AP73" s="23">
        <v>0</v>
      </c>
      <c r="AQ73" s="23">
        <v>0</v>
      </c>
      <c r="AR73" s="37">
        <v>0</v>
      </c>
      <c r="AS73" s="37">
        <v>0</v>
      </c>
      <c r="AT73" s="37">
        <v>0</v>
      </c>
      <c r="AU73" s="33" t="str">
        <f t="shared" si="5"/>
        <v>库存为0</v>
      </c>
      <c r="AV73" s="38" t="str">
        <f>IFERROR(时间!$B$4+AU73,"上周无销量")</f>
        <v>上周无销量</v>
      </c>
    </row>
    <row r="74" spans="1:48">
      <c r="A74" s="21" t="s">
        <v>190</v>
      </c>
      <c r="B74" t="s">
        <v>134</v>
      </c>
      <c r="C74" t="s">
        <v>112</v>
      </c>
      <c r="D74" s="33">
        <v>2</v>
      </c>
      <c r="E74" s="33">
        <v>1</v>
      </c>
      <c r="F74" s="33">
        <v>0</v>
      </c>
      <c r="G74" s="33">
        <v>0</v>
      </c>
      <c r="H74" s="34">
        <v>28.66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3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17</v>
      </c>
      <c r="AK74">
        <v>6</v>
      </c>
      <c r="AL74">
        <v>7</v>
      </c>
      <c r="AM74">
        <v>3</v>
      </c>
      <c r="AN74" s="23">
        <v>0.117647058823529</v>
      </c>
      <c r="AO74" s="23">
        <v>0.166666666666667</v>
      </c>
      <c r="AP74" s="23">
        <v>0</v>
      </c>
      <c r="AQ74" s="23">
        <v>0</v>
      </c>
      <c r="AR74" s="37">
        <v>0.285714285714286</v>
      </c>
      <c r="AS74" s="37">
        <v>17.1428571428571</v>
      </c>
      <c r="AT74" s="37">
        <v>-16.1428571428571</v>
      </c>
      <c r="AU74" s="33">
        <f t="shared" si="5"/>
        <v>3</v>
      </c>
      <c r="AV74" s="38">
        <f>IFERROR(时间!$B$4+AU74,"上周无销量")</f>
        <v>43342</v>
      </c>
    </row>
    <row r="75" spans="1:48">
      <c r="A75" s="21" t="s">
        <v>191</v>
      </c>
      <c r="B75" t="s">
        <v>136</v>
      </c>
      <c r="C75" t="s">
        <v>137</v>
      </c>
      <c r="D75" s="33">
        <v>0</v>
      </c>
      <c r="E75" s="33">
        <v>1</v>
      </c>
      <c r="F75" s="33">
        <v>0</v>
      </c>
      <c r="G75" s="33">
        <v>0</v>
      </c>
      <c r="H75" s="34">
        <v>0</v>
      </c>
      <c r="I75">
        <v>0</v>
      </c>
      <c r="J75" s="35">
        <v>0</v>
      </c>
      <c r="K75" s="35">
        <v>0</v>
      </c>
      <c r="L75" s="35">
        <v>0</v>
      </c>
      <c r="M75">
        <v>0</v>
      </c>
      <c r="N75">
        <v>1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9</v>
      </c>
      <c r="AM75">
        <v>3</v>
      </c>
      <c r="AN75" s="23" t="s">
        <v>54</v>
      </c>
      <c r="AO75" s="23" t="s">
        <v>54</v>
      </c>
      <c r="AP75" s="23">
        <v>0</v>
      </c>
      <c r="AQ75" s="23">
        <v>0</v>
      </c>
      <c r="AR75" s="37">
        <v>0</v>
      </c>
      <c r="AS75" s="37">
        <v>0</v>
      </c>
      <c r="AT75" s="37">
        <v>0</v>
      </c>
      <c r="AU75" s="33" t="str">
        <f t="shared" si="5"/>
        <v>库存为0</v>
      </c>
      <c r="AV75" s="38" t="str">
        <f>IFERROR(时间!$B$4+AU75,"上周无销量")</f>
        <v>上周无销量</v>
      </c>
    </row>
    <row r="76" spans="1:48">
      <c r="A76" s="21" t="s">
        <v>192</v>
      </c>
      <c r="B76" t="s">
        <v>193</v>
      </c>
      <c r="C76" t="s">
        <v>137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0</v>
      </c>
      <c r="J76" s="35">
        <v>0</v>
      </c>
      <c r="K76" s="35">
        <v>0</v>
      </c>
      <c r="L76" s="35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7">
        <v>0</v>
      </c>
      <c r="AS76" s="37">
        <v>0</v>
      </c>
      <c r="AT76" s="37">
        <v>0</v>
      </c>
      <c r="AU76" s="33" t="str">
        <f t="shared" si="5"/>
        <v>库存为0</v>
      </c>
      <c r="AV76" s="38" t="str">
        <f>IFERROR(时间!$B$4+AU76,"上周无销量")</f>
        <v>上周无销量</v>
      </c>
    </row>
    <row r="77" spans="1:48">
      <c r="A77" s="21" t="s">
        <v>194</v>
      </c>
      <c r="B77" t="s">
        <v>139</v>
      </c>
      <c r="C77" t="s">
        <v>137</v>
      </c>
      <c r="D77" s="33">
        <v>0</v>
      </c>
      <c r="E77" s="33">
        <v>3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4</v>
      </c>
      <c r="AK77">
        <v>5</v>
      </c>
      <c r="AL77">
        <v>4</v>
      </c>
      <c r="AM77">
        <v>5</v>
      </c>
      <c r="AN77" s="23">
        <v>0</v>
      </c>
      <c r="AO77" s="23">
        <v>0.6</v>
      </c>
      <c r="AP77" s="23">
        <v>0</v>
      </c>
      <c r="AQ77" s="23">
        <v>0</v>
      </c>
      <c r="AR77" s="37">
        <v>0</v>
      </c>
      <c r="AS77" s="37">
        <v>0</v>
      </c>
      <c r="AT77" s="37">
        <v>1</v>
      </c>
      <c r="AU77" s="33" t="str">
        <f t="shared" si="5"/>
        <v>库存为1</v>
      </c>
      <c r="AV77" s="38" t="str">
        <f>IFERROR(时间!$B$4+AU77,"上周无销量")</f>
        <v>上周无销量</v>
      </c>
    </row>
    <row r="78" spans="1:48">
      <c r="A78" s="21" t="s">
        <v>195</v>
      </c>
      <c r="B78" t="s">
        <v>196</v>
      </c>
      <c r="C78" t="s">
        <v>137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0</v>
      </c>
      <c r="J78" s="35">
        <v>0</v>
      </c>
      <c r="K78" s="35">
        <v>0</v>
      </c>
      <c r="L78" s="35">
        <v>0</v>
      </c>
      <c r="M78">
        <v>0</v>
      </c>
      <c r="N78">
        <v>3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7">
        <v>0</v>
      </c>
      <c r="AS78" s="37">
        <v>0</v>
      </c>
      <c r="AT78" s="37">
        <v>0</v>
      </c>
      <c r="AU78" s="33" t="str">
        <f t="shared" si="5"/>
        <v>库存为0</v>
      </c>
      <c r="AV78" s="38" t="str">
        <f>IFERROR(时间!$B$4+AU78,"上周无销量")</f>
        <v>上周无销量</v>
      </c>
    </row>
    <row r="79" spans="1:48">
      <c r="A79" s="21" t="s">
        <v>197</v>
      </c>
      <c r="B79" t="s">
        <v>141</v>
      </c>
      <c r="C79" t="s">
        <v>137</v>
      </c>
      <c r="D79" s="33">
        <v>0</v>
      </c>
      <c r="E79" s="33">
        <v>3</v>
      </c>
      <c r="F79" s="33">
        <v>0</v>
      </c>
      <c r="G79" s="33">
        <v>0</v>
      </c>
      <c r="H79" s="34">
        <v>0</v>
      </c>
      <c r="I79">
        <v>0</v>
      </c>
      <c r="J79" s="35">
        <v>0</v>
      </c>
      <c r="K79" s="35">
        <v>0</v>
      </c>
      <c r="L79" s="35">
        <v>0</v>
      </c>
      <c r="M79">
        <v>0</v>
      </c>
      <c r="N79">
        <v>1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8</v>
      </c>
      <c r="AM79">
        <v>3</v>
      </c>
      <c r="AN79" s="23" t="s">
        <v>54</v>
      </c>
      <c r="AO79" s="23" t="s">
        <v>54</v>
      </c>
      <c r="AP79" s="23">
        <v>0</v>
      </c>
      <c r="AQ79" s="23">
        <v>0</v>
      </c>
      <c r="AR79" s="37">
        <v>0</v>
      </c>
      <c r="AS79" s="37">
        <v>0</v>
      </c>
      <c r="AT79" s="37">
        <v>0</v>
      </c>
      <c r="AU79" s="33" t="str">
        <f t="shared" si="5"/>
        <v>库存为0</v>
      </c>
      <c r="AV79" s="38" t="str">
        <f>IFERROR(时间!$B$4+AU79,"上周无销量")</f>
        <v>上周无销量</v>
      </c>
    </row>
    <row r="80" spans="1:48">
      <c r="A80" s="21" t="s">
        <v>198</v>
      </c>
      <c r="B80" t="s">
        <v>143</v>
      </c>
      <c r="C80" t="s">
        <v>137</v>
      </c>
      <c r="D80" s="33">
        <v>0</v>
      </c>
      <c r="E80" s="33">
        <v>7</v>
      </c>
      <c r="F80" s="33">
        <v>0</v>
      </c>
      <c r="G80" s="33">
        <v>0</v>
      </c>
      <c r="H80" s="34">
        <v>0</v>
      </c>
      <c r="I80">
        <v>0</v>
      </c>
      <c r="J80" s="35">
        <v>0</v>
      </c>
      <c r="K80" s="35">
        <v>0</v>
      </c>
      <c r="L80" s="35">
        <v>0</v>
      </c>
      <c r="M80">
        <v>0</v>
      </c>
      <c r="N80">
        <v>1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7</v>
      </c>
      <c r="AM80">
        <v>6</v>
      </c>
      <c r="AN80" s="23" t="s">
        <v>54</v>
      </c>
      <c r="AO80" s="23" t="s">
        <v>54</v>
      </c>
      <c r="AP80" s="23">
        <v>0</v>
      </c>
      <c r="AQ80" s="23">
        <v>0</v>
      </c>
      <c r="AR80" s="37">
        <v>0</v>
      </c>
      <c r="AS80" s="37">
        <v>0</v>
      </c>
      <c r="AT80" s="37">
        <v>0</v>
      </c>
      <c r="AU80" s="33" t="str">
        <f t="shared" si="5"/>
        <v>库存为0</v>
      </c>
      <c r="AV80" s="38" t="str">
        <f>IFERROR(时间!$B$4+AU80,"上周无销量")</f>
        <v>上周无销量</v>
      </c>
    </row>
    <row r="81" spans="1:48">
      <c r="A81" s="21" t="s">
        <v>199</v>
      </c>
      <c r="B81" t="s">
        <v>145</v>
      </c>
      <c r="C81" t="s">
        <v>137</v>
      </c>
      <c r="D81" s="33">
        <v>0</v>
      </c>
      <c r="E81" s="33">
        <v>5</v>
      </c>
      <c r="F81" s="33">
        <v>0</v>
      </c>
      <c r="G81" s="33">
        <v>0</v>
      </c>
      <c r="H81" s="34">
        <v>0</v>
      </c>
      <c r="I81">
        <v>0</v>
      </c>
      <c r="J81" s="35">
        <v>0</v>
      </c>
      <c r="K81" s="35">
        <v>0</v>
      </c>
      <c r="L81" s="35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8</v>
      </c>
      <c r="AM81">
        <v>4</v>
      </c>
      <c r="AN81" s="23" t="s">
        <v>54</v>
      </c>
      <c r="AO81" s="23" t="s">
        <v>54</v>
      </c>
      <c r="AP81" s="23">
        <v>0</v>
      </c>
      <c r="AQ81" s="23">
        <v>0</v>
      </c>
      <c r="AR81" s="37">
        <v>0</v>
      </c>
      <c r="AS81" s="37">
        <v>0</v>
      </c>
      <c r="AT81" s="37">
        <v>0</v>
      </c>
      <c r="AU81" s="33" t="str">
        <f t="shared" si="5"/>
        <v>库存为0</v>
      </c>
      <c r="AV81" s="38" t="str">
        <f>IFERROR(时间!$B$4+AU81,"上周无销量")</f>
        <v>上周无销量</v>
      </c>
    </row>
    <row r="82" spans="1:48">
      <c r="A82" s="21" t="s">
        <v>200</v>
      </c>
      <c r="B82" t="s">
        <v>147</v>
      </c>
      <c r="C82" t="s">
        <v>137</v>
      </c>
      <c r="D82" s="33">
        <v>0</v>
      </c>
      <c r="E82" s="33">
        <v>7</v>
      </c>
      <c r="F82" s="33">
        <v>0</v>
      </c>
      <c r="G82" s="33">
        <v>0</v>
      </c>
      <c r="H82" s="34">
        <v>0</v>
      </c>
      <c r="I82">
        <v>1</v>
      </c>
      <c r="J82" s="35">
        <v>0</v>
      </c>
      <c r="K82" s="35">
        <v>0</v>
      </c>
      <c r="L82" s="35">
        <v>0</v>
      </c>
      <c r="M82">
        <v>1</v>
      </c>
      <c r="N82">
        <v>1</v>
      </c>
      <c r="O82">
        <v>1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5</v>
      </c>
      <c r="AK82">
        <v>8</v>
      </c>
      <c r="AL82">
        <v>8</v>
      </c>
      <c r="AM82">
        <v>7</v>
      </c>
      <c r="AN82" s="23">
        <v>0</v>
      </c>
      <c r="AO82" s="23">
        <v>0.875</v>
      </c>
      <c r="AP82" s="23">
        <v>0</v>
      </c>
      <c r="AQ82" s="23">
        <v>0</v>
      </c>
      <c r="AR82" s="37">
        <v>0</v>
      </c>
      <c r="AS82" s="37">
        <v>0</v>
      </c>
      <c r="AT82" s="37">
        <v>1</v>
      </c>
      <c r="AU82" s="33" t="str">
        <f t="shared" si="5"/>
        <v>库存为1</v>
      </c>
      <c r="AV82" s="38" t="str">
        <f>IFERROR(时间!$B$4+AU82,"上周无销量")</f>
        <v>上周无销量</v>
      </c>
    </row>
    <row r="83" spans="1:48">
      <c r="A83" s="21" t="s">
        <v>201</v>
      </c>
      <c r="B83" t="s">
        <v>149</v>
      </c>
      <c r="C83" t="s">
        <v>137</v>
      </c>
      <c r="D83" s="33">
        <v>0</v>
      </c>
      <c r="E83" s="33">
        <v>4</v>
      </c>
      <c r="F83" s="33">
        <v>0</v>
      </c>
      <c r="G83" s="33">
        <v>0</v>
      </c>
      <c r="H83" s="34">
        <v>0</v>
      </c>
      <c r="I83">
        <v>6</v>
      </c>
      <c r="J83" s="35">
        <v>0</v>
      </c>
      <c r="K83" s="35">
        <v>0</v>
      </c>
      <c r="L83" s="35">
        <v>0</v>
      </c>
      <c r="M83">
        <v>6</v>
      </c>
      <c r="N83">
        <v>0</v>
      </c>
      <c r="O83">
        <v>6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4</v>
      </c>
      <c r="AK83">
        <v>6</v>
      </c>
      <c r="AL83">
        <v>2</v>
      </c>
      <c r="AM83">
        <v>5</v>
      </c>
      <c r="AN83" s="23">
        <v>0</v>
      </c>
      <c r="AO83" s="23">
        <v>0.666666666666667</v>
      </c>
      <c r="AP83" s="23">
        <v>0</v>
      </c>
      <c r="AQ83" s="23">
        <v>0</v>
      </c>
      <c r="AR83" s="37">
        <v>0</v>
      </c>
      <c r="AS83" s="37">
        <v>0</v>
      </c>
      <c r="AT83" s="37">
        <v>6</v>
      </c>
      <c r="AU83" s="33" t="str">
        <f t="shared" si="5"/>
        <v>库存为6</v>
      </c>
      <c r="AV83" s="38" t="str">
        <f>IFERROR(时间!$B$4+AU83,"上周无销量")</f>
        <v>上周无销量</v>
      </c>
    </row>
    <row r="84" spans="1:48">
      <c r="A84" s="21" t="s">
        <v>202</v>
      </c>
      <c r="B84" t="s">
        <v>203</v>
      </c>
      <c r="C84" t="s">
        <v>137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0</v>
      </c>
      <c r="J84" s="35">
        <v>0</v>
      </c>
      <c r="K84" s="35">
        <v>0</v>
      </c>
      <c r="L84" s="35">
        <v>0</v>
      </c>
      <c r="M84">
        <v>0</v>
      </c>
      <c r="N84">
        <v>1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7">
        <v>0</v>
      </c>
      <c r="AS84" s="37">
        <v>0</v>
      </c>
      <c r="AT84" s="37">
        <v>0</v>
      </c>
      <c r="AU84" s="33" t="str">
        <f t="shared" si="5"/>
        <v>库存为0</v>
      </c>
      <c r="AV84" s="38" t="str">
        <f>IFERROR(时间!$B$4+AU84,"上周无销量")</f>
        <v>上周无销量</v>
      </c>
    </row>
    <row r="85" spans="1:48">
      <c r="A85" s="21" t="s">
        <v>204</v>
      </c>
      <c r="B85" t="s">
        <v>205</v>
      </c>
      <c r="C85" t="s">
        <v>137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1</v>
      </c>
      <c r="J85" s="35">
        <v>0</v>
      </c>
      <c r="K85" s="35">
        <v>0</v>
      </c>
      <c r="L85" s="35">
        <v>0</v>
      </c>
      <c r="M85">
        <v>1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5</v>
      </c>
      <c r="AK85">
        <v>4</v>
      </c>
      <c r="AL85">
        <v>6</v>
      </c>
      <c r="AM85">
        <v>7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1</v>
      </c>
      <c r="AU85" s="33" t="str">
        <f t="shared" si="5"/>
        <v>库存为1</v>
      </c>
      <c r="AV85" s="38" t="str">
        <f>IFERROR(时间!$B$4+AU85,"上周无销量")</f>
        <v>上周无销量</v>
      </c>
    </row>
    <row r="86" spans="1:48">
      <c r="A86" s="21" t="s">
        <v>206</v>
      </c>
      <c r="B86" t="s">
        <v>151</v>
      </c>
      <c r="C86" t="s">
        <v>137</v>
      </c>
      <c r="D86" s="33">
        <v>0</v>
      </c>
      <c r="E86" s="33">
        <v>1</v>
      </c>
      <c r="F86" s="33">
        <v>0</v>
      </c>
      <c r="G86" s="33">
        <v>0</v>
      </c>
      <c r="H86" s="34">
        <v>0</v>
      </c>
      <c r="I86">
        <v>1</v>
      </c>
      <c r="J86" s="35">
        <v>0</v>
      </c>
      <c r="K86" s="35">
        <v>0</v>
      </c>
      <c r="L86" s="35">
        <v>0</v>
      </c>
      <c r="M86">
        <v>1</v>
      </c>
      <c r="N86">
        <v>0</v>
      </c>
      <c r="O86">
        <v>1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4</v>
      </c>
      <c r="AK86">
        <v>3</v>
      </c>
      <c r="AL86">
        <v>9</v>
      </c>
      <c r="AM86">
        <v>2</v>
      </c>
      <c r="AN86" s="23">
        <v>0</v>
      </c>
      <c r="AO86" s="23">
        <v>0.333333333333333</v>
      </c>
      <c r="AP86" s="23">
        <v>0</v>
      </c>
      <c r="AQ86" s="23">
        <v>0</v>
      </c>
      <c r="AR86" s="37">
        <v>0</v>
      </c>
      <c r="AS86" s="37">
        <v>0</v>
      </c>
      <c r="AT86" s="37">
        <v>1</v>
      </c>
      <c r="AU86" s="33" t="str">
        <f t="shared" si="5"/>
        <v>库存为1</v>
      </c>
      <c r="AV86" s="38" t="str">
        <f>IFERROR(时间!$B$4+AU86,"上周无销量")</f>
        <v>上周无销量</v>
      </c>
    </row>
    <row r="87" spans="1:48">
      <c r="A87" s="21" t="s">
        <v>207</v>
      </c>
      <c r="B87" t="s">
        <v>208</v>
      </c>
      <c r="C87" t="s">
        <v>137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0</v>
      </c>
      <c r="J87" s="35">
        <v>0</v>
      </c>
      <c r="K87" s="35">
        <v>0</v>
      </c>
      <c r="L87" s="35">
        <v>0</v>
      </c>
      <c r="M87">
        <v>0</v>
      </c>
      <c r="N87">
        <v>1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7">
        <v>0</v>
      </c>
      <c r="AS87" s="37">
        <v>0</v>
      </c>
      <c r="AT87" s="37">
        <v>0</v>
      </c>
      <c r="AU87" s="33" t="str">
        <f t="shared" si="5"/>
        <v>库存为0</v>
      </c>
      <c r="AV87" s="38" t="str">
        <f>IFERROR(时间!$B$4+AU87,"上周无销量")</f>
        <v>上周无销量</v>
      </c>
    </row>
    <row r="88" spans="1:48">
      <c r="A88" s="21" t="s">
        <v>209</v>
      </c>
      <c r="B88" t="s">
        <v>210</v>
      </c>
      <c r="C88" t="s">
        <v>137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0</v>
      </c>
      <c r="J88" s="35">
        <v>0</v>
      </c>
      <c r="K88" s="35">
        <v>0</v>
      </c>
      <c r="L88" s="35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7">
        <v>0</v>
      </c>
      <c r="AS88" s="37">
        <v>0</v>
      </c>
      <c r="AT88" s="37">
        <v>0</v>
      </c>
      <c r="AU88" s="33" t="str">
        <f t="shared" si="5"/>
        <v>库存为0</v>
      </c>
      <c r="AV88" s="38" t="str">
        <f>IFERROR(时间!$B$4+AU88,"上周无销量")</f>
        <v>上周无销量</v>
      </c>
    </row>
    <row r="89" spans="1:48">
      <c r="A89" s="21" t="s">
        <v>211</v>
      </c>
      <c r="B89" t="s">
        <v>212</v>
      </c>
      <c r="C89" t="s">
        <v>154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0</v>
      </c>
      <c r="J89" s="35">
        <v>0</v>
      </c>
      <c r="K89" s="35">
        <v>0</v>
      </c>
      <c r="L89" s="35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7">
        <v>0</v>
      </c>
      <c r="AS89" s="37">
        <v>0</v>
      </c>
      <c r="AT89" s="37">
        <v>0</v>
      </c>
      <c r="AU89" s="33" t="str">
        <f t="shared" si="5"/>
        <v>库存为0</v>
      </c>
      <c r="AV89" s="38" t="str">
        <f>IFERROR(时间!$B$4+AU89,"上周无销量")</f>
        <v>上周无销量</v>
      </c>
    </row>
    <row r="90" spans="1:48">
      <c r="A90" s="21" t="s">
        <v>213</v>
      </c>
      <c r="B90" t="s">
        <v>214</v>
      </c>
      <c r="C90" t="s">
        <v>154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2</v>
      </c>
      <c r="J90" s="35">
        <v>0</v>
      </c>
      <c r="K90" s="35">
        <v>0</v>
      </c>
      <c r="L90" s="35">
        <v>0</v>
      </c>
      <c r="M90">
        <v>2</v>
      </c>
      <c r="N90">
        <v>1</v>
      </c>
      <c r="O90">
        <v>1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12</v>
      </c>
      <c r="AK90">
        <v>7</v>
      </c>
      <c r="AL90">
        <v>6</v>
      </c>
      <c r="AM90">
        <v>3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2</v>
      </c>
      <c r="AU90" s="33" t="str">
        <f t="shared" si="5"/>
        <v>库存为2</v>
      </c>
      <c r="AV90" s="38" t="str">
        <f>IFERROR(时间!$B$4+AU90,"上周无销量")</f>
        <v>上周无销量</v>
      </c>
    </row>
    <row r="91" spans="1:48">
      <c r="A91" s="21" t="s">
        <v>215</v>
      </c>
      <c r="B91" t="s">
        <v>153</v>
      </c>
      <c r="C91" t="s">
        <v>154</v>
      </c>
      <c r="D91" s="33">
        <v>0</v>
      </c>
      <c r="E91" s="33">
        <v>2</v>
      </c>
      <c r="F91" s="33">
        <v>0</v>
      </c>
      <c r="G91" s="33">
        <v>0</v>
      </c>
      <c r="H91" s="34">
        <v>0</v>
      </c>
      <c r="I91">
        <v>2</v>
      </c>
      <c r="J91" s="35">
        <v>0</v>
      </c>
      <c r="K91" s="35">
        <v>0</v>
      </c>
      <c r="L91" s="35">
        <v>0</v>
      </c>
      <c r="M91">
        <v>2</v>
      </c>
      <c r="N91">
        <v>1</v>
      </c>
      <c r="O91">
        <v>2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5</v>
      </c>
      <c r="AK91">
        <v>3</v>
      </c>
      <c r="AL91">
        <v>7</v>
      </c>
      <c r="AM91">
        <v>3</v>
      </c>
      <c r="AN91" s="23">
        <v>0</v>
      </c>
      <c r="AO91" s="23">
        <v>0.666666666666667</v>
      </c>
      <c r="AP91" s="23">
        <v>0</v>
      </c>
      <c r="AQ91" s="23">
        <v>0</v>
      </c>
      <c r="AR91" s="37">
        <v>0</v>
      </c>
      <c r="AS91" s="37">
        <v>0</v>
      </c>
      <c r="AT91" s="37">
        <v>2</v>
      </c>
      <c r="AU91" s="33" t="str">
        <f t="shared" si="5"/>
        <v>库存为2</v>
      </c>
      <c r="AV91" s="38" t="str">
        <f>IFERROR(时间!$B$4+AU91,"上周无销量")</f>
        <v>上周无销量</v>
      </c>
    </row>
    <row r="92" spans="1:48">
      <c r="A92" s="21" t="s">
        <v>216</v>
      </c>
      <c r="B92" t="s">
        <v>156</v>
      </c>
      <c r="C92" t="s">
        <v>154</v>
      </c>
      <c r="D92" s="33">
        <v>0</v>
      </c>
      <c r="E92" s="33">
        <v>4</v>
      </c>
      <c r="F92" s="33">
        <v>0</v>
      </c>
      <c r="G92" s="33">
        <v>0</v>
      </c>
      <c r="H92" s="34">
        <v>0</v>
      </c>
      <c r="I92">
        <v>2</v>
      </c>
      <c r="J92" s="35">
        <v>0</v>
      </c>
      <c r="K92" s="35">
        <v>0</v>
      </c>
      <c r="L92" s="35">
        <v>0</v>
      </c>
      <c r="M92">
        <v>2</v>
      </c>
      <c r="N92">
        <v>0</v>
      </c>
      <c r="O92">
        <v>2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9</v>
      </c>
      <c r="AK92">
        <v>9</v>
      </c>
      <c r="AL92">
        <v>10</v>
      </c>
      <c r="AM92">
        <v>7</v>
      </c>
      <c r="AN92" s="23">
        <v>0</v>
      </c>
      <c r="AO92" s="23">
        <v>0.444444444444444</v>
      </c>
      <c r="AP92" s="23">
        <v>0</v>
      </c>
      <c r="AQ92" s="23">
        <v>0</v>
      </c>
      <c r="AR92" s="37">
        <v>0</v>
      </c>
      <c r="AS92" s="37">
        <v>0</v>
      </c>
      <c r="AT92" s="37">
        <v>2</v>
      </c>
      <c r="AU92" s="33" t="str">
        <f t="shared" si="5"/>
        <v>库存为2</v>
      </c>
      <c r="AV92" s="38" t="str">
        <f>IFERROR(时间!$B$4+AU92,"上周无销量")</f>
        <v>上周无销量</v>
      </c>
    </row>
    <row r="93" spans="1:48">
      <c r="A93" s="21" t="s">
        <v>217</v>
      </c>
      <c r="B93" t="s">
        <v>218</v>
      </c>
      <c r="C93" t="s">
        <v>154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2</v>
      </c>
      <c r="J93" s="35">
        <v>0</v>
      </c>
      <c r="K93" s="35">
        <v>0</v>
      </c>
      <c r="L93" s="35">
        <v>0</v>
      </c>
      <c r="M93">
        <v>2</v>
      </c>
      <c r="N93">
        <v>0</v>
      </c>
      <c r="O93">
        <v>2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6</v>
      </c>
      <c r="AK93">
        <v>5</v>
      </c>
      <c r="AL93">
        <v>6</v>
      </c>
      <c r="AM93">
        <v>3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2</v>
      </c>
      <c r="AU93" s="33" t="str">
        <f t="shared" si="5"/>
        <v>库存为2</v>
      </c>
      <c r="AV93" s="38" t="str">
        <f>IFERROR(时间!$B$4+AU93,"上周无销量")</f>
        <v>上周无销量</v>
      </c>
    </row>
    <row r="94" spans="1:48">
      <c r="A94" s="21" t="s">
        <v>219</v>
      </c>
      <c r="B94" t="s">
        <v>158</v>
      </c>
      <c r="C94" t="s">
        <v>154</v>
      </c>
      <c r="D94" s="33">
        <v>0</v>
      </c>
      <c r="E94" s="33">
        <v>5</v>
      </c>
      <c r="F94" s="33">
        <v>0</v>
      </c>
      <c r="G94" s="33">
        <v>0</v>
      </c>
      <c r="H94" s="34">
        <v>0</v>
      </c>
      <c r="I94">
        <v>0</v>
      </c>
      <c r="J94" s="35">
        <v>0</v>
      </c>
      <c r="K94" s="35">
        <v>0</v>
      </c>
      <c r="L94" s="35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12</v>
      </c>
      <c r="AM94">
        <v>4</v>
      </c>
      <c r="AN94" s="23" t="s">
        <v>54</v>
      </c>
      <c r="AO94" s="23" t="s">
        <v>54</v>
      </c>
      <c r="AP94" s="23">
        <v>0</v>
      </c>
      <c r="AQ94" s="23">
        <v>0</v>
      </c>
      <c r="AR94" s="37">
        <v>0</v>
      </c>
      <c r="AS94" s="37">
        <v>0</v>
      </c>
      <c r="AT94" s="37">
        <v>0</v>
      </c>
      <c r="AU94" s="33" t="str">
        <f t="shared" si="5"/>
        <v>库存为0</v>
      </c>
      <c r="AV94" s="38" t="str">
        <f>IFERROR(时间!$B$4+AU94,"上周无销量")</f>
        <v>上周无销量</v>
      </c>
    </row>
    <row r="95" spans="1:48">
      <c r="A95" s="21" t="s">
        <v>220</v>
      </c>
      <c r="B95" t="s">
        <v>160</v>
      </c>
      <c r="C95" t="s">
        <v>154</v>
      </c>
      <c r="D95" s="33">
        <v>0</v>
      </c>
      <c r="E95" s="33">
        <v>3</v>
      </c>
      <c r="F95" s="33">
        <v>0</v>
      </c>
      <c r="G95" s="33">
        <v>0</v>
      </c>
      <c r="H95" s="34">
        <v>0</v>
      </c>
      <c r="I95">
        <v>1</v>
      </c>
      <c r="J95" s="35">
        <v>0</v>
      </c>
      <c r="K95" s="35">
        <v>0</v>
      </c>
      <c r="L95" s="35">
        <v>0</v>
      </c>
      <c r="M95">
        <v>1</v>
      </c>
      <c r="N95">
        <v>0</v>
      </c>
      <c r="O95">
        <v>1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4</v>
      </c>
      <c r="AK95">
        <v>4</v>
      </c>
      <c r="AL95">
        <v>3</v>
      </c>
      <c r="AM95">
        <v>2</v>
      </c>
      <c r="AN95" s="23">
        <v>0</v>
      </c>
      <c r="AO95" s="23">
        <v>0.75</v>
      </c>
      <c r="AP95" s="23">
        <v>0</v>
      </c>
      <c r="AQ95" s="23">
        <v>0</v>
      </c>
      <c r="AR95" s="37">
        <v>0</v>
      </c>
      <c r="AS95" s="37">
        <v>0</v>
      </c>
      <c r="AT95" s="37">
        <v>1</v>
      </c>
      <c r="AU95" s="33" t="str">
        <f t="shared" si="5"/>
        <v>库存为1</v>
      </c>
      <c r="AV95" s="38" t="str">
        <f>IFERROR(时间!$B$4+AU95,"上周无销量")</f>
        <v>上周无销量</v>
      </c>
    </row>
    <row r="96" spans="1:48">
      <c r="A96" s="21" t="s">
        <v>221</v>
      </c>
      <c r="B96" t="s">
        <v>162</v>
      </c>
      <c r="C96" t="s">
        <v>154</v>
      </c>
      <c r="D96" s="33">
        <v>0</v>
      </c>
      <c r="E96" s="33">
        <v>5</v>
      </c>
      <c r="F96" s="33">
        <v>0</v>
      </c>
      <c r="G96" s="33">
        <v>0</v>
      </c>
      <c r="H96" s="34">
        <v>0</v>
      </c>
      <c r="I96">
        <v>0</v>
      </c>
      <c r="J96" s="35">
        <v>0</v>
      </c>
      <c r="K96" s="35">
        <v>0</v>
      </c>
      <c r="L96" s="35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5</v>
      </c>
      <c r="AM96">
        <v>4</v>
      </c>
      <c r="AN96" s="23" t="s">
        <v>54</v>
      </c>
      <c r="AO96" s="23" t="s">
        <v>54</v>
      </c>
      <c r="AP96" s="23">
        <v>0</v>
      </c>
      <c r="AQ96" s="23">
        <v>0</v>
      </c>
      <c r="AR96" s="37">
        <v>0</v>
      </c>
      <c r="AS96" s="37">
        <v>0</v>
      </c>
      <c r="AT96" s="37">
        <v>0</v>
      </c>
      <c r="AU96" s="33" t="str">
        <f t="shared" si="5"/>
        <v>库存为0</v>
      </c>
      <c r="AV96" s="38" t="str">
        <f>IFERROR(时间!$B$4+AU96,"上周无销量")</f>
        <v>上周无销量</v>
      </c>
    </row>
    <row r="97" spans="1:48">
      <c r="A97" s="21" t="s">
        <v>222</v>
      </c>
      <c r="B97" t="s">
        <v>164</v>
      </c>
      <c r="C97" t="s">
        <v>154</v>
      </c>
      <c r="D97" s="33">
        <v>0</v>
      </c>
      <c r="E97" s="33">
        <v>5</v>
      </c>
      <c r="F97" s="33">
        <v>0</v>
      </c>
      <c r="G97" s="33">
        <v>0</v>
      </c>
      <c r="H97" s="34">
        <v>0</v>
      </c>
      <c r="I97">
        <v>0</v>
      </c>
      <c r="J97" s="35">
        <v>0</v>
      </c>
      <c r="K97" s="35">
        <v>0</v>
      </c>
      <c r="L97" s="35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4</v>
      </c>
      <c r="AM97">
        <v>4</v>
      </c>
      <c r="AN97" s="23" t="s">
        <v>54</v>
      </c>
      <c r="AO97" s="23" t="s">
        <v>54</v>
      </c>
      <c r="AP97" s="23">
        <v>0</v>
      </c>
      <c r="AQ97" s="23">
        <v>0</v>
      </c>
      <c r="AR97" s="37">
        <v>0</v>
      </c>
      <c r="AS97" s="37">
        <v>0</v>
      </c>
      <c r="AT97" s="37">
        <v>0</v>
      </c>
      <c r="AU97" s="33" t="str">
        <f t="shared" si="5"/>
        <v>库存为0</v>
      </c>
      <c r="AV97" s="38" t="str">
        <f>IFERROR(时间!$B$4+AU97,"上周无销量")</f>
        <v>上周无销量</v>
      </c>
    </row>
    <row r="98" spans="1:48">
      <c r="A98" s="21" t="s">
        <v>223</v>
      </c>
      <c r="B98" t="s">
        <v>166</v>
      </c>
      <c r="C98" t="s">
        <v>154</v>
      </c>
      <c r="D98" s="33">
        <v>0</v>
      </c>
      <c r="E98" s="33">
        <v>4</v>
      </c>
      <c r="F98" s="33">
        <v>0</v>
      </c>
      <c r="G98" s="33">
        <v>0</v>
      </c>
      <c r="H98" s="34">
        <v>0</v>
      </c>
      <c r="I98">
        <v>0</v>
      </c>
      <c r="J98" s="35">
        <v>0</v>
      </c>
      <c r="K98" s="35">
        <v>0</v>
      </c>
      <c r="L98" s="35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13</v>
      </c>
      <c r="AM98">
        <v>3</v>
      </c>
      <c r="AN98" s="23" t="s">
        <v>54</v>
      </c>
      <c r="AO98" s="23" t="s">
        <v>54</v>
      </c>
      <c r="AP98" s="23">
        <v>0</v>
      </c>
      <c r="AQ98" s="23">
        <v>0</v>
      </c>
      <c r="AR98" s="37">
        <v>0</v>
      </c>
      <c r="AS98" s="37">
        <v>0</v>
      </c>
      <c r="AT98" s="37">
        <v>0</v>
      </c>
      <c r="AU98" s="33" t="str">
        <f t="shared" si="5"/>
        <v>库存为0</v>
      </c>
      <c r="AV98" s="38" t="str">
        <f>IFERROR(时间!$B$4+AU98,"上周无销量")</f>
        <v>上周无销量</v>
      </c>
    </row>
    <row r="99" spans="1:48">
      <c r="A99" s="21" t="s">
        <v>224</v>
      </c>
      <c r="B99" t="s">
        <v>168</v>
      </c>
      <c r="C99" t="s">
        <v>154</v>
      </c>
      <c r="D99" s="33">
        <v>0</v>
      </c>
      <c r="E99" s="33">
        <v>4</v>
      </c>
      <c r="F99" s="33">
        <v>0</v>
      </c>
      <c r="G99" s="33">
        <v>0</v>
      </c>
      <c r="H99" s="34">
        <v>0</v>
      </c>
      <c r="I99">
        <v>1</v>
      </c>
      <c r="J99" s="35">
        <v>0</v>
      </c>
      <c r="K99" s="35">
        <v>0</v>
      </c>
      <c r="L99" s="35">
        <v>0</v>
      </c>
      <c r="M99">
        <v>1</v>
      </c>
      <c r="N99">
        <v>0</v>
      </c>
      <c r="O99">
        <v>1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7</v>
      </c>
      <c r="AK99">
        <v>7</v>
      </c>
      <c r="AL99">
        <v>7</v>
      </c>
      <c r="AM99">
        <v>5</v>
      </c>
      <c r="AN99" s="23">
        <v>0</v>
      </c>
      <c r="AO99" s="23">
        <v>0.571428571428571</v>
      </c>
      <c r="AP99" s="23">
        <v>0</v>
      </c>
      <c r="AQ99" s="23">
        <v>0</v>
      </c>
      <c r="AR99" s="37">
        <v>0</v>
      </c>
      <c r="AS99" s="37">
        <v>0</v>
      </c>
      <c r="AT99" s="37">
        <v>1</v>
      </c>
      <c r="AU99" s="33" t="str">
        <f t="shared" si="5"/>
        <v>库存为1</v>
      </c>
      <c r="AV99" s="38" t="str">
        <f>IFERROR(时间!$B$4+AU99,"上周无销量")</f>
        <v>上周无销量</v>
      </c>
    </row>
    <row r="100" spans="1:48">
      <c r="A100" s="21" t="s">
        <v>225</v>
      </c>
      <c r="B100" t="s">
        <v>170</v>
      </c>
      <c r="C100" t="s">
        <v>154</v>
      </c>
      <c r="D100" s="33">
        <v>0</v>
      </c>
      <c r="E100" s="33">
        <v>7</v>
      </c>
      <c r="F100" s="33">
        <v>0</v>
      </c>
      <c r="G100" s="33">
        <v>0</v>
      </c>
      <c r="H100" s="34">
        <v>0</v>
      </c>
      <c r="I100">
        <v>0</v>
      </c>
      <c r="J100" s="35">
        <v>0</v>
      </c>
      <c r="K100" s="35">
        <v>0</v>
      </c>
      <c r="L100" s="35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5</v>
      </c>
      <c r="AM100">
        <v>3</v>
      </c>
      <c r="AN100" s="23" t="s">
        <v>54</v>
      </c>
      <c r="AO100" s="23" t="s">
        <v>54</v>
      </c>
      <c r="AP100" s="23">
        <v>0</v>
      </c>
      <c r="AQ100" s="23">
        <v>0</v>
      </c>
      <c r="AR100" s="37">
        <v>0</v>
      </c>
      <c r="AS100" s="37">
        <v>0</v>
      </c>
      <c r="AT100" s="37">
        <v>0</v>
      </c>
      <c r="AU100" s="33" t="str">
        <f t="shared" si="5"/>
        <v>库存为0</v>
      </c>
      <c r="AV100" s="38" t="str">
        <f>IFERROR(时间!$B$4+AU100,"上周无销量")</f>
        <v>上周无销量</v>
      </c>
    </row>
    <row r="101" spans="1:48">
      <c r="A101" s="21" t="s">
        <v>226</v>
      </c>
      <c r="B101" t="s">
        <v>172</v>
      </c>
      <c r="C101" t="s">
        <v>154</v>
      </c>
      <c r="D101" s="33">
        <v>0</v>
      </c>
      <c r="E101" s="33">
        <v>6</v>
      </c>
      <c r="F101" s="33">
        <v>0</v>
      </c>
      <c r="G101" s="33">
        <v>0</v>
      </c>
      <c r="H101" s="34">
        <v>0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7</v>
      </c>
      <c r="AM101">
        <v>7</v>
      </c>
      <c r="AN101" s="23" t="s">
        <v>54</v>
      </c>
      <c r="AO101" s="23" t="s">
        <v>54</v>
      </c>
      <c r="AP101" s="23">
        <v>0</v>
      </c>
      <c r="AQ101" s="23">
        <v>0</v>
      </c>
      <c r="AR101" s="37">
        <v>0</v>
      </c>
      <c r="AS101" s="37">
        <v>0</v>
      </c>
      <c r="AT101" s="37">
        <v>0</v>
      </c>
      <c r="AU101" s="33" t="str">
        <f t="shared" si="5"/>
        <v>库存为0</v>
      </c>
      <c r="AV101" s="38" t="str">
        <f>IFERROR(时间!$B$4+AU101,"上周无销量")</f>
        <v>上周无销量</v>
      </c>
    </row>
    <row r="102" spans="1:48">
      <c r="A102" s="21" t="s">
        <v>227</v>
      </c>
      <c r="B102" t="s">
        <v>174</v>
      </c>
      <c r="C102" t="s">
        <v>154</v>
      </c>
      <c r="D102" s="33">
        <v>0</v>
      </c>
      <c r="E102" s="33">
        <v>3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2</v>
      </c>
      <c r="O102">
        <v>1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4</v>
      </c>
      <c r="AK102">
        <v>5</v>
      </c>
      <c r="AL102">
        <v>5</v>
      </c>
      <c r="AM102">
        <v>8</v>
      </c>
      <c r="AN102" s="23">
        <v>0</v>
      </c>
      <c r="AO102" s="23">
        <v>0.6</v>
      </c>
      <c r="AP102" s="23">
        <v>0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228</v>
      </c>
      <c r="B103" t="s">
        <v>176</v>
      </c>
      <c r="C103" t="s">
        <v>154</v>
      </c>
      <c r="D103" s="33">
        <v>0</v>
      </c>
      <c r="E103" s="33">
        <v>7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4</v>
      </c>
      <c r="AK103">
        <v>2</v>
      </c>
      <c r="AL103">
        <v>2</v>
      </c>
      <c r="AM103">
        <v>4</v>
      </c>
      <c r="AN103" s="23">
        <v>0</v>
      </c>
      <c r="AO103" s="23">
        <v>3.5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5"/>
        <v>库存为1</v>
      </c>
      <c r="AV103" s="38" t="str">
        <f>IFERROR(时间!$B$4+AU103,"上周无销量")</f>
        <v>上周无销量</v>
      </c>
    </row>
    <row r="104" spans="1:48">
      <c r="A104" s="21" t="s">
        <v>229</v>
      </c>
      <c r="B104" t="s">
        <v>230</v>
      </c>
      <c r="C104" t="s">
        <v>231</v>
      </c>
      <c r="D104" s="33">
        <v>0</v>
      </c>
      <c r="E104" s="33">
        <v>41</v>
      </c>
      <c r="F104" s="33">
        <v>0</v>
      </c>
      <c r="G104" s="33">
        <v>0</v>
      </c>
      <c r="H104" s="34">
        <v>0</v>
      </c>
      <c r="I104">
        <v>2</v>
      </c>
      <c r="J104" s="35">
        <v>0</v>
      </c>
      <c r="K104" s="35">
        <v>0</v>
      </c>
      <c r="L104" s="35">
        <v>0</v>
      </c>
      <c r="M104">
        <v>2</v>
      </c>
      <c r="N104">
        <v>0</v>
      </c>
      <c r="O104">
        <v>1</v>
      </c>
      <c r="P104">
        <v>79</v>
      </c>
      <c r="Q104">
        <v>259</v>
      </c>
      <c r="R104">
        <v>585</v>
      </c>
      <c r="S104">
        <v>222</v>
      </c>
      <c r="T104">
        <v>1</v>
      </c>
      <c r="U104">
        <v>2</v>
      </c>
      <c r="V104">
        <v>3</v>
      </c>
      <c r="W104">
        <v>1</v>
      </c>
      <c r="X104" s="23">
        <v>0.0126582278481013</v>
      </c>
      <c r="Y104" s="23">
        <v>0.00772200772200772</v>
      </c>
      <c r="Z104" s="23">
        <v>0.00512820512820513</v>
      </c>
      <c r="AA104" s="23">
        <v>0.0045045045045045</v>
      </c>
      <c r="AB104">
        <v>0.29</v>
      </c>
      <c r="AC104">
        <v>0.82</v>
      </c>
      <c r="AD104">
        <v>0.81</v>
      </c>
      <c r="AE104">
        <v>0.28</v>
      </c>
      <c r="AF104" s="23" t="s">
        <v>232</v>
      </c>
      <c r="AG104" s="23" t="s">
        <v>233</v>
      </c>
      <c r="AH104" s="23" t="s">
        <v>234</v>
      </c>
      <c r="AI104" s="23" t="s">
        <v>235</v>
      </c>
      <c r="AJ104">
        <v>5</v>
      </c>
      <c r="AK104">
        <v>6</v>
      </c>
      <c r="AL104">
        <v>9</v>
      </c>
      <c r="AM104">
        <v>5</v>
      </c>
      <c r="AN104" s="23">
        <v>0</v>
      </c>
      <c r="AO104" s="23">
        <v>6.83333333333333</v>
      </c>
      <c r="AP104" s="23">
        <v>0</v>
      </c>
      <c r="AQ104" s="23">
        <v>0</v>
      </c>
      <c r="AR104" s="37">
        <v>0</v>
      </c>
      <c r="AS104" s="37">
        <v>0</v>
      </c>
      <c r="AT104" s="37">
        <v>2</v>
      </c>
      <c r="AU104" s="33" t="str">
        <f t="shared" si="5"/>
        <v>库存为2</v>
      </c>
      <c r="AV104" s="38" t="str">
        <f>IFERROR(时间!$B$4+AU104,"上周无销量")</f>
        <v>上周无销量</v>
      </c>
    </row>
    <row r="105" spans="1:48">
      <c r="A105" s="21" t="s">
        <v>236</v>
      </c>
      <c r="B105" t="s">
        <v>237</v>
      </c>
      <c r="C105" t="s">
        <v>231</v>
      </c>
      <c r="D105" s="33">
        <v>0</v>
      </c>
      <c r="E105" s="33">
        <v>38</v>
      </c>
      <c r="F105" s="33">
        <v>0</v>
      </c>
      <c r="G105" s="33">
        <v>0</v>
      </c>
      <c r="H105" s="34">
        <v>0</v>
      </c>
      <c r="I105">
        <v>2</v>
      </c>
      <c r="J105" s="35">
        <v>0</v>
      </c>
      <c r="K105" s="35">
        <v>0</v>
      </c>
      <c r="L105" s="35">
        <v>0</v>
      </c>
      <c r="M105">
        <v>2</v>
      </c>
      <c r="N105">
        <v>0</v>
      </c>
      <c r="O105">
        <v>2</v>
      </c>
      <c r="P105">
        <v>0</v>
      </c>
      <c r="Q105">
        <v>149</v>
      </c>
      <c r="R105">
        <v>3185</v>
      </c>
      <c r="S105">
        <v>1321</v>
      </c>
      <c r="T105">
        <v>0</v>
      </c>
      <c r="U105">
        <v>0</v>
      </c>
      <c r="V105">
        <v>0</v>
      </c>
      <c r="W105">
        <v>0</v>
      </c>
      <c r="X105" s="23" t="s">
        <v>54</v>
      </c>
      <c r="Y105" s="23">
        <v>0</v>
      </c>
      <c r="Z105" s="23">
        <v>0</v>
      </c>
      <c r="AA105" s="23">
        <v>0</v>
      </c>
      <c r="AB105">
        <v>0</v>
      </c>
      <c r="AC105">
        <v>0</v>
      </c>
      <c r="AD105">
        <v>0</v>
      </c>
      <c r="AE105">
        <v>0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6</v>
      </c>
      <c r="AK105">
        <v>4</v>
      </c>
      <c r="AL105">
        <v>10</v>
      </c>
      <c r="AM105">
        <v>3</v>
      </c>
      <c r="AN105" s="23">
        <v>0</v>
      </c>
      <c r="AO105" s="23">
        <v>9.5</v>
      </c>
      <c r="AP105" s="23">
        <v>0</v>
      </c>
      <c r="AQ105" s="23">
        <v>0</v>
      </c>
      <c r="AR105" s="37">
        <v>0</v>
      </c>
      <c r="AS105" s="37">
        <v>0</v>
      </c>
      <c r="AT105" s="37">
        <v>2</v>
      </c>
      <c r="AU105" s="33" t="str">
        <f t="shared" si="5"/>
        <v>库存为2</v>
      </c>
      <c r="AV105" s="38" t="str">
        <f>IFERROR(时间!$B$4+AU105,"上周无销量")</f>
        <v>上周无销量</v>
      </c>
    </row>
    <row r="106" spans="1:48">
      <c r="A106" s="21" t="s">
        <v>238</v>
      </c>
      <c r="B106" t="s">
        <v>239</v>
      </c>
      <c r="C106" t="s">
        <v>231</v>
      </c>
      <c r="D106" s="33">
        <v>0</v>
      </c>
      <c r="E106" s="33">
        <v>44</v>
      </c>
      <c r="F106" s="33">
        <v>2</v>
      </c>
      <c r="G106" s="33">
        <v>0</v>
      </c>
      <c r="H106" s="34">
        <v>0.338695652173913</v>
      </c>
      <c r="I106">
        <v>0</v>
      </c>
      <c r="J106" s="35">
        <v>0</v>
      </c>
      <c r="K106" s="35">
        <v>0</v>
      </c>
      <c r="L106" s="35">
        <v>0</v>
      </c>
      <c r="M106">
        <v>0</v>
      </c>
      <c r="N106">
        <v>0</v>
      </c>
      <c r="O106">
        <v>0</v>
      </c>
      <c r="P106">
        <v>0</v>
      </c>
      <c r="Q106">
        <v>1228</v>
      </c>
      <c r="R106">
        <v>12817</v>
      </c>
      <c r="S106">
        <v>1005</v>
      </c>
      <c r="T106">
        <v>0</v>
      </c>
      <c r="U106">
        <v>3</v>
      </c>
      <c r="V106">
        <v>49</v>
      </c>
      <c r="W106">
        <v>4</v>
      </c>
      <c r="X106" s="23" t="s">
        <v>54</v>
      </c>
      <c r="Y106" s="23">
        <v>0.00244299674267101</v>
      </c>
      <c r="Z106" s="23">
        <v>0.00382304751501912</v>
      </c>
      <c r="AA106" s="23">
        <v>0.00398009950248756</v>
      </c>
      <c r="AB106">
        <v>0</v>
      </c>
      <c r="AC106">
        <v>1.05</v>
      </c>
      <c r="AD106">
        <v>16.7</v>
      </c>
      <c r="AE106">
        <v>1.24</v>
      </c>
      <c r="AF106" s="23" t="s">
        <v>54</v>
      </c>
      <c r="AG106" s="23">
        <v>0.0704574629478352</v>
      </c>
      <c r="AH106" s="23">
        <v>24.6534017971759</v>
      </c>
      <c r="AI106" s="23" t="s">
        <v>240</v>
      </c>
      <c r="AJ106">
        <v>0</v>
      </c>
      <c r="AK106">
        <v>5</v>
      </c>
      <c r="AL106">
        <v>24</v>
      </c>
      <c r="AM106">
        <v>5</v>
      </c>
      <c r="AN106" s="23" t="s">
        <v>54</v>
      </c>
      <c r="AO106" s="23">
        <v>8.8</v>
      </c>
      <c r="AP106" s="23">
        <v>0.0833333333333333</v>
      </c>
      <c r="AQ106" s="23">
        <v>0</v>
      </c>
      <c r="AR106" s="37">
        <v>0</v>
      </c>
      <c r="AS106" s="37">
        <v>0</v>
      </c>
      <c r="AT106" s="37">
        <v>0</v>
      </c>
      <c r="AU106" s="33" t="str">
        <f t="shared" si="5"/>
        <v>库存为0</v>
      </c>
      <c r="AV106" s="38" t="str">
        <f>IFERROR(时间!$B$4+AU106,"上周无销量")</f>
        <v>上周无销量</v>
      </c>
    </row>
    <row r="107" spans="1:48">
      <c r="A107" s="21" t="s">
        <v>241</v>
      </c>
      <c r="B107" t="s">
        <v>242</v>
      </c>
      <c r="C107" t="s">
        <v>231</v>
      </c>
      <c r="D107" s="33">
        <v>0</v>
      </c>
      <c r="E107" s="33">
        <v>40</v>
      </c>
      <c r="F107" s="33">
        <v>1</v>
      </c>
      <c r="G107" s="33">
        <v>0</v>
      </c>
      <c r="H107" s="34">
        <v>0.187317073170732</v>
      </c>
      <c r="I107">
        <v>0</v>
      </c>
      <c r="J107" s="35">
        <v>0</v>
      </c>
      <c r="K107" s="35">
        <v>0</v>
      </c>
      <c r="L107" s="35">
        <v>0</v>
      </c>
      <c r="M107">
        <v>0</v>
      </c>
      <c r="N107">
        <v>0</v>
      </c>
      <c r="O107">
        <v>0</v>
      </c>
      <c r="P107">
        <v>0</v>
      </c>
      <c r="Q107">
        <v>27</v>
      </c>
      <c r="R107">
        <v>906</v>
      </c>
      <c r="S107">
        <v>1366</v>
      </c>
      <c r="T107">
        <v>0</v>
      </c>
      <c r="U107">
        <v>0</v>
      </c>
      <c r="V107">
        <v>0</v>
      </c>
      <c r="W107">
        <v>1</v>
      </c>
      <c r="X107" s="23" t="s">
        <v>54</v>
      </c>
      <c r="Y107" s="23">
        <v>0</v>
      </c>
      <c r="Z107" s="23">
        <v>0</v>
      </c>
      <c r="AA107" s="23">
        <v>0.000732064421669107</v>
      </c>
      <c r="AB107">
        <v>0</v>
      </c>
      <c r="AC107">
        <v>0</v>
      </c>
      <c r="AD107">
        <v>0</v>
      </c>
      <c r="AE107">
        <v>0.58</v>
      </c>
      <c r="AF107" s="23" t="s">
        <v>54</v>
      </c>
      <c r="AG107" s="23" t="s">
        <v>54</v>
      </c>
      <c r="AH107" s="23" t="s">
        <v>54</v>
      </c>
      <c r="AI107" s="23" t="s">
        <v>243</v>
      </c>
      <c r="AJ107">
        <v>0</v>
      </c>
      <c r="AK107">
        <v>0</v>
      </c>
      <c r="AL107">
        <v>6</v>
      </c>
      <c r="AM107">
        <v>3</v>
      </c>
      <c r="AN107" s="23" t="s">
        <v>54</v>
      </c>
      <c r="AO107" s="23" t="s">
        <v>54</v>
      </c>
      <c r="AP107" s="23">
        <v>0.166666666666667</v>
      </c>
      <c r="AQ107" s="23">
        <v>0</v>
      </c>
      <c r="AR107" s="37">
        <v>0</v>
      </c>
      <c r="AS107" s="37">
        <v>0</v>
      </c>
      <c r="AT107" s="37">
        <v>0</v>
      </c>
      <c r="AU107" s="33" t="str">
        <f t="shared" si="5"/>
        <v>库存为0</v>
      </c>
      <c r="AV107" s="38" t="str">
        <f>IFERROR(时间!$B$4+AU107,"上周无销量")</f>
        <v>上周无销量</v>
      </c>
    </row>
    <row r="108" spans="1:48">
      <c r="A108" s="21" t="s">
        <v>244</v>
      </c>
      <c r="B108" t="s">
        <v>245</v>
      </c>
      <c r="C108" t="s">
        <v>231</v>
      </c>
      <c r="D108" s="33">
        <v>0</v>
      </c>
      <c r="E108" s="33">
        <v>43</v>
      </c>
      <c r="F108" s="33">
        <v>1</v>
      </c>
      <c r="G108" s="33">
        <v>0</v>
      </c>
      <c r="H108" s="34">
        <v>0.173863636363636</v>
      </c>
      <c r="I108">
        <v>0</v>
      </c>
      <c r="J108" s="35">
        <v>0</v>
      </c>
      <c r="K108" s="35">
        <v>0</v>
      </c>
      <c r="L108" s="35">
        <v>0</v>
      </c>
      <c r="M108">
        <v>0</v>
      </c>
      <c r="N108">
        <v>0</v>
      </c>
      <c r="O108">
        <v>0</v>
      </c>
      <c r="P108">
        <v>55</v>
      </c>
      <c r="Q108">
        <v>39</v>
      </c>
      <c r="R108">
        <v>1503</v>
      </c>
      <c r="S108">
        <v>1415</v>
      </c>
      <c r="T108">
        <v>0</v>
      </c>
      <c r="U108">
        <v>0</v>
      </c>
      <c r="V108">
        <v>2</v>
      </c>
      <c r="W108">
        <v>0</v>
      </c>
      <c r="X108" s="23">
        <v>0</v>
      </c>
      <c r="Y108" s="23">
        <v>0</v>
      </c>
      <c r="Z108" s="23">
        <v>0.00133067198935462</v>
      </c>
      <c r="AA108" s="23">
        <v>0</v>
      </c>
      <c r="AB108">
        <v>0</v>
      </c>
      <c r="AC108">
        <v>0</v>
      </c>
      <c r="AD108">
        <v>1.05</v>
      </c>
      <c r="AE108">
        <v>0</v>
      </c>
      <c r="AF108" s="23" t="s">
        <v>54</v>
      </c>
      <c r="AG108" s="23" t="s">
        <v>54</v>
      </c>
      <c r="AH108" s="23">
        <v>6.03921568627452</v>
      </c>
      <c r="AI108" s="23" t="s">
        <v>54</v>
      </c>
      <c r="AJ108">
        <v>0</v>
      </c>
      <c r="AK108">
        <v>1</v>
      </c>
      <c r="AL108">
        <v>5</v>
      </c>
      <c r="AM108">
        <v>7</v>
      </c>
      <c r="AN108" s="23" t="s">
        <v>54</v>
      </c>
      <c r="AO108" s="23">
        <v>43</v>
      </c>
      <c r="AP108" s="23">
        <v>0.2</v>
      </c>
      <c r="AQ108" s="23">
        <v>0</v>
      </c>
      <c r="AR108" s="37">
        <v>0</v>
      </c>
      <c r="AS108" s="37">
        <v>0</v>
      </c>
      <c r="AT108" s="37">
        <v>0</v>
      </c>
      <c r="AU108" s="33" t="str">
        <f t="shared" si="5"/>
        <v>库存为0</v>
      </c>
      <c r="AV108" s="38" t="str">
        <f>IFERROR(时间!$B$4+AU108,"上周无销量")</f>
        <v>上周无销量</v>
      </c>
    </row>
    <row r="109" spans="1:48">
      <c r="A109" s="21" t="s">
        <v>246</v>
      </c>
      <c r="B109" t="s">
        <v>247</v>
      </c>
      <c r="C109" t="s">
        <v>231</v>
      </c>
      <c r="D109" s="33">
        <v>0</v>
      </c>
      <c r="E109" s="33">
        <v>40</v>
      </c>
      <c r="F109" s="33">
        <v>0</v>
      </c>
      <c r="G109" s="33">
        <v>1</v>
      </c>
      <c r="H109" s="34">
        <v>0.194878048780488</v>
      </c>
      <c r="I109">
        <v>5</v>
      </c>
      <c r="J109" s="35">
        <v>0</v>
      </c>
      <c r="K109" s="35">
        <v>0</v>
      </c>
      <c r="L109" s="35">
        <v>0</v>
      </c>
      <c r="M109">
        <v>5</v>
      </c>
      <c r="N109">
        <v>0</v>
      </c>
      <c r="O109">
        <v>3</v>
      </c>
      <c r="P109">
        <v>348</v>
      </c>
      <c r="Q109">
        <v>1280</v>
      </c>
      <c r="R109">
        <v>4218</v>
      </c>
      <c r="S109">
        <v>4592</v>
      </c>
      <c r="T109">
        <v>1</v>
      </c>
      <c r="U109">
        <v>9</v>
      </c>
      <c r="V109">
        <v>23</v>
      </c>
      <c r="W109">
        <v>29</v>
      </c>
      <c r="X109" s="23">
        <v>0.0028735632183908</v>
      </c>
      <c r="Y109" s="23">
        <v>0.00703125</v>
      </c>
      <c r="Z109" s="23">
        <v>0.00545282124229493</v>
      </c>
      <c r="AA109" s="23">
        <v>0.00631533101045296</v>
      </c>
      <c r="AB109">
        <v>0.24</v>
      </c>
      <c r="AC109">
        <v>2.75</v>
      </c>
      <c r="AD109">
        <v>5.9</v>
      </c>
      <c r="AE109">
        <v>6.64</v>
      </c>
      <c r="AF109" s="23" t="s">
        <v>248</v>
      </c>
      <c r="AG109" s="23">
        <v>0.352784730913642</v>
      </c>
      <c r="AH109" s="23" t="s">
        <v>249</v>
      </c>
      <c r="AI109" s="23">
        <v>34.072590738423</v>
      </c>
      <c r="AJ109">
        <v>6</v>
      </c>
      <c r="AK109">
        <v>7</v>
      </c>
      <c r="AL109">
        <v>8</v>
      </c>
      <c r="AM109">
        <v>9</v>
      </c>
      <c r="AN109" s="23">
        <v>0</v>
      </c>
      <c r="AO109" s="23">
        <v>5.71428571428571</v>
      </c>
      <c r="AP109" s="23">
        <v>0</v>
      </c>
      <c r="AQ109" s="23">
        <v>0.111111111111111</v>
      </c>
      <c r="AR109" s="37">
        <v>0</v>
      </c>
      <c r="AS109" s="37">
        <v>0</v>
      </c>
      <c r="AT109" s="37">
        <v>5</v>
      </c>
      <c r="AU109" s="33" t="str">
        <f t="shared" si="5"/>
        <v>库存为5</v>
      </c>
      <c r="AV109" s="38" t="str">
        <f>IFERROR(时间!$B$4+AU109,"上周无销量")</f>
        <v>上周无销量</v>
      </c>
    </row>
    <row r="110" spans="1:48">
      <c r="A110" s="21" t="s">
        <v>250</v>
      </c>
      <c r="B110" t="s">
        <v>251</v>
      </c>
      <c r="C110" t="s">
        <v>231</v>
      </c>
      <c r="D110" s="33">
        <v>0</v>
      </c>
      <c r="E110" s="33">
        <v>32</v>
      </c>
      <c r="F110" s="33">
        <v>0</v>
      </c>
      <c r="G110" s="33">
        <v>0</v>
      </c>
      <c r="H110" s="34">
        <v>0</v>
      </c>
      <c r="I110">
        <v>0</v>
      </c>
      <c r="J110" s="35">
        <v>0</v>
      </c>
      <c r="K110" s="35">
        <v>0</v>
      </c>
      <c r="L110" s="35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148</v>
      </c>
      <c r="T110">
        <v>0</v>
      </c>
      <c r="U110">
        <v>0</v>
      </c>
      <c r="V110">
        <v>0</v>
      </c>
      <c r="W110">
        <v>0</v>
      </c>
      <c r="X110" s="23" t="s">
        <v>54</v>
      </c>
      <c r="Y110" s="23" t="s">
        <v>54</v>
      </c>
      <c r="Z110" s="23" t="s">
        <v>54</v>
      </c>
      <c r="AA110" s="23">
        <v>0</v>
      </c>
      <c r="AB110">
        <v>0</v>
      </c>
      <c r="AC110">
        <v>0</v>
      </c>
      <c r="AD110">
        <v>0</v>
      </c>
      <c r="AE110">
        <v>0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1</v>
      </c>
      <c r="AM110">
        <v>1</v>
      </c>
      <c r="AN110" s="23" t="s">
        <v>54</v>
      </c>
      <c r="AO110" s="23" t="s">
        <v>54</v>
      </c>
      <c r="AP110" s="23">
        <v>0</v>
      </c>
      <c r="AQ110" s="23">
        <v>0</v>
      </c>
      <c r="AR110" s="37">
        <v>0</v>
      </c>
      <c r="AS110" s="37">
        <v>0</v>
      </c>
      <c r="AT110" s="37">
        <v>0</v>
      </c>
      <c r="AU110" s="33" t="str">
        <f t="shared" si="5"/>
        <v>库存为0</v>
      </c>
      <c r="AV110" s="38" t="str">
        <f>IFERROR(时间!$B$4+AU110,"上周无销量")</f>
        <v>上周无销量</v>
      </c>
    </row>
    <row r="111" spans="1:48">
      <c r="A111" s="21" t="s">
        <v>252</v>
      </c>
      <c r="B111" t="s">
        <v>253</v>
      </c>
      <c r="C111" t="s">
        <v>231</v>
      </c>
      <c r="D111" s="33">
        <v>0</v>
      </c>
      <c r="E111" s="33">
        <v>71</v>
      </c>
      <c r="F111" s="33">
        <v>1</v>
      </c>
      <c r="G111" s="33">
        <v>0</v>
      </c>
      <c r="H111" s="34">
        <v>0.138888888888889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0</v>
      </c>
      <c r="P111">
        <v>6</v>
      </c>
      <c r="Q111">
        <v>132</v>
      </c>
      <c r="R111">
        <v>221</v>
      </c>
      <c r="S111">
        <v>558</v>
      </c>
      <c r="T111">
        <v>0</v>
      </c>
      <c r="U111">
        <v>1</v>
      </c>
      <c r="V111">
        <v>0</v>
      </c>
      <c r="W111">
        <v>2</v>
      </c>
      <c r="X111" s="23">
        <v>0</v>
      </c>
      <c r="Y111" s="23">
        <v>0.00757575757575758</v>
      </c>
      <c r="Z111" s="23">
        <v>0</v>
      </c>
      <c r="AA111" s="23">
        <v>0.003584229390681</v>
      </c>
      <c r="AB111">
        <v>0</v>
      </c>
      <c r="AC111">
        <v>0.14</v>
      </c>
      <c r="AD111">
        <v>0</v>
      </c>
      <c r="AE111">
        <v>0.83</v>
      </c>
      <c r="AF111" s="23" t="s">
        <v>54</v>
      </c>
      <c r="AG111" s="23">
        <v>0.0141971830985915</v>
      </c>
      <c r="AH111" s="23" t="s">
        <v>54</v>
      </c>
      <c r="AI111" s="23" t="s">
        <v>254</v>
      </c>
      <c r="AJ111">
        <v>7</v>
      </c>
      <c r="AK111">
        <v>3</v>
      </c>
      <c r="AL111">
        <v>3</v>
      </c>
      <c r="AM111">
        <v>3</v>
      </c>
      <c r="AN111" s="23">
        <v>0</v>
      </c>
      <c r="AO111" s="23">
        <v>23.6666666666667</v>
      </c>
      <c r="AP111" s="23">
        <v>0.333333333333333</v>
      </c>
      <c r="AQ111" s="23">
        <v>0</v>
      </c>
      <c r="AR111" s="37">
        <v>0</v>
      </c>
      <c r="AS111" s="37">
        <v>0</v>
      </c>
      <c r="AT111" s="37">
        <v>2</v>
      </c>
      <c r="AU111" s="33" t="str">
        <f t="shared" si="5"/>
        <v>库存为2</v>
      </c>
      <c r="AV111" s="38" t="str">
        <f>IFERROR(时间!$B$4+AU111,"上周无销量")</f>
        <v>上周无销量</v>
      </c>
    </row>
    <row r="112" spans="1:48">
      <c r="A112" s="21" t="s">
        <v>255</v>
      </c>
      <c r="B112" t="s">
        <v>256</v>
      </c>
      <c r="C112" t="s">
        <v>231</v>
      </c>
      <c r="D112" s="33">
        <v>0</v>
      </c>
      <c r="E112" s="33">
        <v>31</v>
      </c>
      <c r="F112" s="33">
        <v>0</v>
      </c>
      <c r="G112" s="33">
        <v>1</v>
      </c>
      <c r="H112" s="34">
        <v>0.2496875</v>
      </c>
      <c r="I112">
        <v>4</v>
      </c>
      <c r="J112" s="35">
        <v>0</v>
      </c>
      <c r="K112" s="35">
        <v>0</v>
      </c>
      <c r="L112" s="35">
        <v>0</v>
      </c>
      <c r="M112">
        <v>4</v>
      </c>
      <c r="N112">
        <v>0</v>
      </c>
      <c r="O112">
        <v>2</v>
      </c>
      <c r="P112">
        <v>230</v>
      </c>
      <c r="Q112">
        <v>820</v>
      </c>
      <c r="R112">
        <v>1673</v>
      </c>
      <c r="S112">
        <v>2184</v>
      </c>
      <c r="T112">
        <v>2</v>
      </c>
      <c r="U112">
        <v>2</v>
      </c>
      <c r="V112">
        <v>0</v>
      </c>
      <c r="W112">
        <v>4</v>
      </c>
      <c r="X112" s="23">
        <v>0.00869565217391304</v>
      </c>
      <c r="Y112" s="23">
        <v>0.0024390243902439</v>
      </c>
      <c r="Z112" s="23">
        <v>0</v>
      </c>
      <c r="AA112" s="23">
        <v>0.00183150183150183</v>
      </c>
      <c r="AB112">
        <v>0.29</v>
      </c>
      <c r="AC112">
        <v>0.41</v>
      </c>
      <c r="AD112">
        <v>0</v>
      </c>
      <c r="AE112">
        <v>0.82</v>
      </c>
      <c r="AF112" s="23" t="s">
        <v>232</v>
      </c>
      <c r="AG112" s="23">
        <v>0.0529694376034559</v>
      </c>
      <c r="AH112" s="23" t="s">
        <v>54</v>
      </c>
      <c r="AI112" s="23">
        <v>3.28410513141427</v>
      </c>
      <c r="AJ112">
        <v>6</v>
      </c>
      <c r="AK112">
        <v>4</v>
      </c>
      <c r="AL112">
        <v>6</v>
      </c>
      <c r="AM112">
        <v>8</v>
      </c>
      <c r="AN112" s="23">
        <v>0</v>
      </c>
      <c r="AO112" s="23">
        <v>7.75</v>
      </c>
      <c r="AP112" s="23">
        <v>0</v>
      </c>
      <c r="AQ112" s="23">
        <v>0.125</v>
      </c>
      <c r="AR112" s="37">
        <v>0</v>
      </c>
      <c r="AS112" s="37">
        <v>0</v>
      </c>
      <c r="AT112" s="37">
        <v>4</v>
      </c>
      <c r="AU112" s="33" t="str">
        <f t="shared" si="5"/>
        <v>库存为4</v>
      </c>
      <c r="AV112" s="38" t="str">
        <f>IFERROR(时间!$B$4+AU112,"上周无销量")</f>
        <v>上周无销量</v>
      </c>
    </row>
    <row r="113" spans="1:48">
      <c r="A113" s="21" t="s">
        <v>257</v>
      </c>
      <c r="B113" t="s">
        <v>258</v>
      </c>
      <c r="C113" t="s">
        <v>259</v>
      </c>
      <c r="D113" s="33">
        <v>0</v>
      </c>
      <c r="E113" s="33">
        <v>31</v>
      </c>
      <c r="F113" s="33">
        <v>0</v>
      </c>
      <c r="G113" s="33">
        <v>0</v>
      </c>
      <c r="H113" s="34">
        <v>0.322258064516129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0</v>
      </c>
      <c r="P113">
        <v>33</v>
      </c>
      <c r="Q113">
        <v>216</v>
      </c>
      <c r="R113">
        <v>2261</v>
      </c>
      <c r="S113">
        <v>2524</v>
      </c>
      <c r="T113">
        <v>0</v>
      </c>
      <c r="U113">
        <v>0</v>
      </c>
      <c r="V113">
        <v>3</v>
      </c>
      <c r="W113">
        <v>4</v>
      </c>
      <c r="X113" s="23">
        <v>0</v>
      </c>
      <c r="Y113" s="23">
        <v>0</v>
      </c>
      <c r="Z113" s="23">
        <v>0.00132684652808492</v>
      </c>
      <c r="AA113" s="23">
        <v>0.00158478605388273</v>
      </c>
      <c r="AB113">
        <v>0</v>
      </c>
      <c r="AC113">
        <v>0</v>
      </c>
      <c r="AD113">
        <v>1.77</v>
      </c>
      <c r="AE113">
        <v>1.82</v>
      </c>
      <c r="AF113" s="23" t="s">
        <v>54</v>
      </c>
      <c r="AG113" s="23" t="s">
        <v>54</v>
      </c>
      <c r="AH113" s="23" t="s">
        <v>260</v>
      </c>
      <c r="AI113" s="23" t="s">
        <v>261</v>
      </c>
      <c r="AJ113">
        <v>0</v>
      </c>
      <c r="AK113">
        <v>3</v>
      </c>
      <c r="AL113">
        <v>4</v>
      </c>
      <c r="AM113">
        <v>6</v>
      </c>
      <c r="AN113" s="23" t="s">
        <v>54</v>
      </c>
      <c r="AO113" s="23">
        <v>10.3333333333333</v>
      </c>
      <c r="AP113" s="23">
        <v>0</v>
      </c>
      <c r="AQ113" s="23">
        <v>0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262</v>
      </c>
      <c r="B114" t="s">
        <v>263</v>
      </c>
      <c r="C114" t="s">
        <v>259</v>
      </c>
      <c r="D114" s="33">
        <v>0</v>
      </c>
      <c r="E114" s="33">
        <v>29</v>
      </c>
      <c r="F114" s="33">
        <v>0</v>
      </c>
      <c r="G114" s="33">
        <v>0</v>
      </c>
      <c r="H114" s="34">
        <v>0</v>
      </c>
      <c r="I114">
        <v>0</v>
      </c>
      <c r="J114" s="35">
        <v>0</v>
      </c>
      <c r="K114" s="35">
        <v>0</v>
      </c>
      <c r="L114" s="35">
        <v>0</v>
      </c>
      <c r="M114">
        <v>0</v>
      </c>
      <c r="N114">
        <v>0</v>
      </c>
      <c r="O114">
        <v>0</v>
      </c>
      <c r="P114">
        <v>0</v>
      </c>
      <c r="Q114">
        <v>67</v>
      </c>
      <c r="R114">
        <v>239</v>
      </c>
      <c r="S114">
        <v>92</v>
      </c>
      <c r="T114">
        <v>0</v>
      </c>
      <c r="U114">
        <v>0</v>
      </c>
      <c r="V114">
        <v>1</v>
      </c>
      <c r="W114">
        <v>0</v>
      </c>
      <c r="X114" s="23" t="s">
        <v>54</v>
      </c>
      <c r="Y114" s="23">
        <v>0</v>
      </c>
      <c r="Z114" s="23">
        <v>0.00418410041841004</v>
      </c>
      <c r="AA114" s="23">
        <v>0</v>
      </c>
      <c r="AB114">
        <v>0</v>
      </c>
      <c r="AC114">
        <v>0</v>
      </c>
      <c r="AD114">
        <v>0.44</v>
      </c>
      <c r="AE114">
        <v>0</v>
      </c>
      <c r="AF114" s="23" t="s">
        <v>54</v>
      </c>
      <c r="AG114" s="23" t="s">
        <v>54</v>
      </c>
      <c r="AH114" s="23" t="s">
        <v>264</v>
      </c>
      <c r="AI114" s="23" t="s">
        <v>54</v>
      </c>
      <c r="AJ114">
        <v>0</v>
      </c>
      <c r="AK114">
        <v>1</v>
      </c>
      <c r="AL114">
        <v>5</v>
      </c>
      <c r="AM114">
        <v>1</v>
      </c>
      <c r="AN114" s="23" t="s">
        <v>54</v>
      </c>
      <c r="AO114" s="23">
        <v>29</v>
      </c>
      <c r="AP114" s="23">
        <v>0</v>
      </c>
      <c r="AQ114" s="23">
        <v>0</v>
      </c>
      <c r="AR114" s="37">
        <v>0</v>
      </c>
      <c r="AS114" s="37">
        <v>0</v>
      </c>
      <c r="AT114" s="37">
        <v>0</v>
      </c>
      <c r="AU114" s="33" t="str">
        <f t="shared" si="5"/>
        <v>库存为0</v>
      </c>
      <c r="AV114" s="38" t="str">
        <f>IFERROR(时间!$B$4+AU114,"上周无销量")</f>
        <v>上周无销量</v>
      </c>
    </row>
    <row r="115" spans="1:48">
      <c r="A115" s="21" t="s">
        <v>265</v>
      </c>
      <c r="B115" t="s">
        <v>266</v>
      </c>
      <c r="C115" t="s">
        <v>259</v>
      </c>
      <c r="D115" s="33">
        <v>0</v>
      </c>
      <c r="E115" s="33">
        <v>22</v>
      </c>
      <c r="F115" s="33">
        <v>2</v>
      </c>
      <c r="G115" s="33">
        <v>0</v>
      </c>
      <c r="H115" s="34">
        <v>0.668333333333333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0</v>
      </c>
      <c r="P115">
        <v>14</v>
      </c>
      <c r="Q115">
        <v>6</v>
      </c>
      <c r="R115">
        <v>136</v>
      </c>
      <c r="S115">
        <v>195</v>
      </c>
      <c r="T115">
        <v>0</v>
      </c>
      <c r="U115">
        <v>0</v>
      </c>
      <c r="V115">
        <v>3</v>
      </c>
      <c r="W115">
        <v>0</v>
      </c>
      <c r="X115" s="23">
        <v>0</v>
      </c>
      <c r="Y115" s="23">
        <v>0</v>
      </c>
      <c r="Z115" s="23">
        <v>0.0220588235294118</v>
      </c>
      <c r="AA115" s="23">
        <v>0</v>
      </c>
      <c r="AB115">
        <v>0</v>
      </c>
      <c r="AC115">
        <v>0</v>
      </c>
      <c r="AD115">
        <v>0.89</v>
      </c>
      <c r="AE115">
        <v>0</v>
      </c>
      <c r="AF115" s="23" t="s">
        <v>54</v>
      </c>
      <c r="AG115" s="23" t="s">
        <v>54</v>
      </c>
      <c r="AH115" s="23">
        <v>0.665835411471322</v>
      </c>
      <c r="AI115" s="23" t="s">
        <v>54</v>
      </c>
      <c r="AJ115">
        <v>1</v>
      </c>
      <c r="AK115">
        <v>3</v>
      </c>
      <c r="AL115">
        <v>4</v>
      </c>
      <c r="AM115">
        <v>1</v>
      </c>
      <c r="AN115" s="23">
        <v>0</v>
      </c>
      <c r="AO115" s="23">
        <v>7.33333333333333</v>
      </c>
      <c r="AP115" s="23">
        <v>0.5</v>
      </c>
      <c r="AQ115" s="23">
        <v>0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267</v>
      </c>
      <c r="B116" t="s">
        <v>268</v>
      </c>
      <c r="C116" t="s">
        <v>259</v>
      </c>
      <c r="D116" s="33">
        <v>0</v>
      </c>
      <c r="E116" s="33">
        <v>25</v>
      </c>
      <c r="F116" s="33">
        <v>0</v>
      </c>
      <c r="G116" s="33">
        <v>0</v>
      </c>
      <c r="H116" s="34">
        <v>0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>
        <v>0</v>
      </c>
      <c r="Q116">
        <v>163</v>
      </c>
      <c r="R116">
        <v>547</v>
      </c>
      <c r="S116">
        <v>224</v>
      </c>
      <c r="T116">
        <v>0</v>
      </c>
      <c r="U116">
        <v>0</v>
      </c>
      <c r="V116">
        <v>1</v>
      </c>
      <c r="W116">
        <v>0</v>
      </c>
      <c r="X116" s="23" t="s">
        <v>54</v>
      </c>
      <c r="Y116" s="23">
        <v>0</v>
      </c>
      <c r="Z116" s="23">
        <v>0.00182815356489945</v>
      </c>
      <c r="AA116" s="23">
        <v>0</v>
      </c>
      <c r="AB116">
        <v>0</v>
      </c>
      <c r="AC116">
        <v>0</v>
      </c>
      <c r="AD116">
        <v>0.54</v>
      </c>
      <c r="AE116">
        <v>0</v>
      </c>
      <c r="AF116" s="23" t="s">
        <v>54</v>
      </c>
      <c r="AG116" s="23" t="s">
        <v>54</v>
      </c>
      <c r="AH116" s="23" t="s">
        <v>269</v>
      </c>
      <c r="AI116" s="23" t="s">
        <v>54</v>
      </c>
      <c r="AJ116">
        <v>0</v>
      </c>
      <c r="AK116">
        <v>0</v>
      </c>
      <c r="AL116">
        <v>1</v>
      </c>
      <c r="AM116">
        <v>1</v>
      </c>
      <c r="AN116" s="23" t="s">
        <v>54</v>
      </c>
      <c r="AO116" s="23" t="s">
        <v>54</v>
      </c>
      <c r="AP116" s="23">
        <v>0</v>
      </c>
      <c r="AQ116" s="23">
        <v>0</v>
      </c>
      <c r="AR116" s="37">
        <v>0</v>
      </c>
      <c r="AS116" s="37">
        <v>0</v>
      </c>
      <c r="AT116" s="37">
        <v>0</v>
      </c>
      <c r="AU116" s="33" t="str">
        <f t="shared" si="5"/>
        <v>库存为0</v>
      </c>
      <c r="AV116" s="38" t="str">
        <f>IFERROR(时间!$B$4+AU116,"上周无销量")</f>
        <v>上周无销量</v>
      </c>
    </row>
    <row r="117" spans="1:48">
      <c r="A117" s="21" t="s">
        <v>270</v>
      </c>
      <c r="B117" t="s">
        <v>271</v>
      </c>
      <c r="C117" t="s">
        <v>259</v>
      </c>
      <c r="D117" s="33">
        <v>0</v>
      </c>
      <c r="E117" s="33">
        <v>26</v>
      </c>
      <c r="F117" s="33">
        <v>0</v>
      </c>
      <c r="G117" s="33">
        <v>0</v>
      </c>
      <c r="H117" s="34">
        <v>0</v>
      </c>
      <c r="I117">
        <v>0</v>
      </c>
      <c r="J117" s="35">
        <v>0</v>
      </c>
      <c r="K117" s="35">
        <v>0</v>
      </c>
      <c r="L117" s="35">
        <v>0</v>
      </c>
      <c r="M117">
        <v>0</v>
      </c>
      <c r="N117">
        <v>0</v>
      </c>
      <c r="O117">
        <v>0</v>
      </c>
      <c r="P117">
        <v>0</v>
      </c>
      <c r="Q117">
        <v>507</v>
      </c>
      <c r="R117">
        <v>4339</v>
      </c>
      <c r="S117">
        <v>2225</v>
      </c>
      <c r="T117">
        <v>0</v>
      </c>
      <c r="U117">
        <v>3</v>
      </c>
      <c r="V117">
        <v>23</v>
      </c>
      <c r="W117">
        <v>12</v>
      </c>
      <c r="X117" s="23" t="s">
        <v>54</v>
      </c>
      <c r="Y117" s="23">
        <v>0.00591715976331361</v>
      </c>
      <c r="Z117" s="23">
        <v>0.00530076054390413</v>
      </c>
      <c r="AA117" s="23">
        <v>0.00539325842696629</v>
      </c>
      <c r="AB117">
        <v>0</v>
      </c>
      <c r="AC117">
        <v>1.09</v>
      </c>
      <c r="AD117">
        <v>9.69</v>
      </c>
      <c r="AE117">
        <v>4.4</v>
      </c>
      <c r="AF117" s="23" t="s">
        <v>54</v>
      </c>
      <c r="AG117" s="23" t="s">
        <v>272</v>
      </c>
      <c r="AH117" s="23" t="s">
        <v>273</v>
      </c>
      <c r="AI117" s="23" t="s">
        <v>274</v>
      </c>
      <c r="AJ117">
        <v>0</v>
      </c>
      <c r="AK117">
        <v>3</v>
      </c>
      <c r="AL117">
        <v>19</v>
      </c>
      <c r="AM117">
        <v>5</v>
      </c>
      <c r="AN117" s="23" t="s">
        <v>54</v>
      </c>
      <c r="AO117" s="23">
        <v>8.66666666666667</v>
      </c>
      <c r="AP117" s="23">
        <v>0</v>
      </c>
      <c r="AQ117" s="23">
        <v>0</v>
      </c>
      <c r="AR117" s="37">
        <v>0</v>
      </c>
      <c r="AS117" s="37">
        <v>0</v>
      </c>
      <c r="AT117" s="37">
        <v>0</v>
      </c>
      <c r="AU117" s="33" t="str">
        <f t="shared" si="5"/>
        <v>库存为0</v>
      </c>
      <c r="AV117" s="38" t="str">
        <f>IFERROR(时间!$B$4+AU117,"上周无销量")</f>
        <v>上周无销量</v>
      </c>
    </row>
    <row r="118" spans="1:48">
      <c r="A118" s="21" t="s">
        <v>275</v>
      </c>
      <c r="B118" t="s">
        <v>276</v>
      </c>
      <c r="C118" t="s">
        <v>259</v>
      </c>
      <c r="D118" s="33">
        <v>0</v>
      </c>
      <c r="E118" s="33">
        <v>32</v>
      </c>
      <c r="F118" s="33">
        <v>0</v>
      </c>
      <c r="G118" s="33">
        <v>0</v>
      </c>
      <c r="H118" s="34">
        <v>0</v>
      </c>
      <c r="I118">
        <v>0</v>
      </c>
      <c r="J118" s="35">
        <v>0</v>
      </c>
      <c r="K118" s="35">
        <v>0</v>
      </c>
      <c r="L118" s="35">
        <v>0</v>
      </c>
      <c r="M118">
        <v>0</v>
      </c>
      <c r="N118">
        <v>0</v>
      </c>
      <c r="O118">
        <v>0</v>
      </c>
      <c r="P118">
        <v>0</v>
      </c>
      <c r="Q118">
        <v>10</v>
      </c>
      <c r="R118">
        <v>180</v>
      </c>
      <c r="S118">
        <v>698</v>
      </c>
      <c r="T118">
        <v>0</v>
      </c>
      <c r="U118">
        <v>0</v>
      </c>
      <c r="V118">
        <v>1</v>
      </c>
      <c r="W118">
        <v>1</v>
      </c>
      <c r="X118" s="23" t="s">
        <v>54</v>
      </c>
      <c r="Y118" s="23">
        <v>0</v>
      </c>
      <c r="Z118" s="23">
        <v>0.00555555555555556</v>
      </c>
      <c r="AA118" s="23">
        <v>0.00143266475644699</v>
      </c>
      <c r="AB118">
        <v>0</v>
      </c>
      <c r="AC118">
        <v>0</v>
      </c>
      <c r="AD118">
        <v>0.49</v>
      </c>
      <c r="AE118">
        <v>0.18</v>
      </c>
      <c r="AF118" s="23" t="s">
        <v>54</v>
      </c>
      <c r="AG118" s="23" t="s">
        <v>54</v>
      </c>
      <c r="AH118" s="23" t="s">
        <v>277</v>
      </c>
      <c r="AI118" s="23" t="s">
        <v>278</v>
      </c>
      <c r="AJ118">
        <v>0</v>
      </c>
      <c r="AK118">
        <v>1</v>
      </c>
      <c r="AL118">
        <v>2</v>
      </c>
      <c r="AM118">
        <v>4</v>
      </c>
      <c r="AN118" s="23" t="s">
        <v>54</v>
      </c>
      <c r="AO118" s="23">
        <v>32</v>
      </c>
      <c r="AP118" s="23">
        <v>0</v>
      </c>
      <c r="AQ118" s="23">
        <v>0</v>
      </c>
      <c r="AR118" s="37">
        <v>0</v>
      </c>
      <c r="AS118" s="37">
        <v>0</v>
      </c>
      <c r="AT118" s="37">
        <v>0</v>
      </c>
      <c r="AU118" s="33" t="str">
        <f t="shared" si="5"/>
        <v>库存为0</v>
      </c>
      <c r="AV118" s="38" t="str">
        <f>IFERROR(时间!$B$4+AU118,"上周无销量")</f>
        <v>上周无销量</v>
      </c>
    </row>
    <row r="119" spans="1:48">
      <c r="A119" s="21" t="s">
        <v>279</v>
      </c>
      <c r="B119" t="s">
        <v>280</v>
      </c>
      <c r="C119" t="s">
        <v>259</v>
      </c>
      <c r="D119" s="33">
        <v>0</v>
      </c>
      <c r="E119" s="33">
        <v>27</v>
      </c>
      <c r="F119" s="33">
        <v>0</v>
      </c>
      <c r="G119" s="33">
        <v>0</v>
      </c>
      <c r="H119" s="34">
        <v>0</v>
      </c>
      <c r="I119">
        <v>1</v>
      </c>
      <c r="J119" s="35">
        <v>0</v>
      </c>
      <c r="K119" s="35">
        <v>0</v>
      </c>
      <c r="L119" s="35">
        <v>0</v>
      </c>
      <c r="M119">
        <v>1</v>
      </c>
      <c r="N119">
        <v>0</v>
      </c>
      <c r="O119">
        <v>0</v>
      </c>
      <c r="P119">
        <v>17</v>
      </c>
      <c r="Q119">
        <v>93</v>
      </c>
      <c r="R119">
        <v>1101</v>
      </c>
      <c r="S119">
        <v>281</v>
      </c>
      <c r="T119">
        <v>0</v>
      </c>
      <c r="U119">
        <v>0</v>
      </c>
      <c r="V119">
        <v>3</v>
      </c>
      <c r="W119">
        <v>1</v>
      </c>
      <c r="X119" s="23">
        <v>0</v>
      </c>
      <c r="Y119" s="23">
        <v>0</v>
      </c>
      <c r="Z119" s="23">
        <v>0.00272479564032698</v>
      </c>
      <c r="AA119" s="23">
        <v>0.00355871886120996</v>
      </c>
      <c r="AB119">
        <v>0</v>
      </c>
      <c r="AC119">
        <v>0</v>
      </c>
      <c r="AD119">
        <v>1.07</v>
      </c>
      <c r="AE119">
        <v>0.41</v>
      </c>
      <c r="AF119" s="23" t="s">
        <v>54</v>
      </c>
      <c r="AG119" s="23" t="s">
        <v>54</v>
      </c>
      <c r="AH119" s="23" t="s">
        <v>281</v>
      </c>
      <c r="AI119" s="23" t="s">
        <v>282</v>
      </c>
      <c r="AJ119">
        <v>3</v>
      </c>
      <c r="AK119">
        <v>3</v>
      </c>
      <c r="AL119">
        <v>5</v>
      </c>
      <c r="AM119">
        <v>1</v>
      </c>
      <c r="AN119" s="23">
        <v>0</v>
      </c>
      <c r="AO119" s="23">
        <v>9</v>
      </c>
      <c r="AP119" s="23">
        <v>0</v>
      </c>
      <c r="AQ119" s="23">
        <v>0</v>
      </c>
      <c r="AR119" s="37">
        <v>0</v>
      </c>
      <c r="AS119" s="37">
        <v>0</v>
      </c>
      <c r="AT119" s="37">
        <v>1</v>
      </c>
      <c r="AU119" s="33" t="str">
        <f t="shared" si="5"/>
        <v>库存为1</v>
      </c>
      <c r="AV119" s="38" t="str">
        <f>IFERROR(时间!$B$4+AU119,"上周无销量")</f>
        <v>上周无销量</v>
      </c>
    </row>
    <row r="120" spans="1:48">
      <c r="A120" s="21" t="s">
        <v>283</v>
      </c>
      <c r="B120" t="s">
        <v>284</v>
      </c>
      <c r="C120" t="s">
        <v>259</v>
      </c>
      <c r="D120" s="33">
        <v>0</v>
      </c>
      <c r="E120" s="33">
        <v>29</v>
      </c>
      <c r="F120" s="33">
        <v>0</v>
      </c>
      <c r="G120" s="33">
        <v>0</v>
      </c>
      <c r="H120" s="34">
        <v>0</v>
      </c>
      <c r="I120">
        <v>1</v>
      </c>
      <c r="J120" s="35">
        <v>0</v>
      </c>
      <c r="K120" s="35">
        <v>0</v>
      </c>
      <c r="L120" s="35">
        <v>0</v>
      </c>
      <c r="M120">
        <v>1</v>
      </c>
      <c r="N120">
        <v>0</v>
      </c>
      <c r="O120">
        <v>1</v>
      </c>
      <c r="P120">
        <v>6</v>
      </c>
      <c r="Q120">
        <v>1741</v>
      </c>
      <c r="R120">
        <v>2596</v>
      </c>
      <c r="S120">
        <v>1979</v>
      </c>
      <c r="T120">
        <v>0</v>
      </c>
      <c r="U120">
        <v>2</v>
      </c>
      <c r="V120">
        <v>3</v>
      </c>
      <c r="W120">
        <v>4</v>
      </c>
      <c r="X120" s="23">
        <v>0</v>
      </c>
      <c r="Y120" s="23">
        <v>0.00114876507754164</v>
      </c>
      <c r="Z120" s="23">
        <v>0.00115562403697997</v>
      </c>
      <c r="AA120" s="23">
        <v>0.00202122283981809</v>
      </c>
      <c r="AB120">
        <v>0</v>
      </c>
      <c r="AC120">
        <v>0.81</v>
      </c>
      <c r="AD120">
        <v>0.86</v>
      </c>
      <c r="AE120">
        <v>1.87</v>
      </c>
      <c r="AF120" s="23" t="s">
        <v>54</v>
      </c>
      <c r="AG120" s="23" t="s">
        <v>234</v>
      </c>
      <c r="AH120" s="23" t="s">
        <v>285</v>
      </c>
      <c r="AI120" s="23" t="s">
        <v>286</v>
      </c>
      <c r="AJ120">
        <v>4</v>
      </c>
      <c r="AK120">
        <v>4</v>
      </c>
      <c r="AL120">
        <v>6</v>
      </c>
      <c r="AM120">
        <v>3</v>
      </c>
      <c r="AN120" s="23">
        <v>0</v>
      </c>
      <c r="AO120" s="23">
        <v>7.25</v>
      </c>
      <c r="AP120" s="23">
        <v>0</v>
      </c>
      <c r="AQ120" s="23">
        <v>0</v>
      </c>
      <c r="AR120" s="37">
        <v>0</v>
      </c>
      <c r="AS120" s="37">
        <v>0</v>
      </c>
      <c r="AT120" s="37">
        <v>1</v>
      </c>
      <c r="AU120" s="33" t="str">
        <f t="shared" si="5"/>
        <v>库存为1</v>
      </c>
      <c r="AV120" s="38" t="str">
        <f>IFERROR(时间!$B$4+AU120,"上周无销量")</f>
        <v>上周无销量</v>
      </c>
    </row>
    <row r="121" spans="1:48">
      <c r="A121" s="21" t="s">
        <v>287</v>
      </c>
      <c r="B121" t="s">
        <v>288</v>
      </c>
      <c r="C121" t="s">
        <v>259</v>
      </c>
      <c r="D121" s="33">
        <v>0</v>
      </c>
      <c r="E121" s="33">
        <v>27</v>
      </c>
      <c r="F121" s="33">
        <v>2</v>
      </c>
      <c r="G121" s="33">
        <v>0</v>
      </c>
      <c r="H121" s="34">
        <v>0.549655172413793</v>
      </c>
      <c r="I121">
        <v>0</v>
      </c>
      <c r="J121" s="35">
        <v>0</v>
      </c>
      <c r="K121" s="35">
        <v>0</v>
      </c>
      <c r="L121" s="35">
        <v>0</v>
      </c>
      <c r="M121">
        <v>0</v>
      </c>
      <c r="N121">
        <v>0</v>
      </c>
      <c r="O121">
        <v>0</v>
      </c>
      <c r="P121">
        <v>3</v>
      </c>
      <c r="Q121">
        <v>8</v>
      </c>
      <c r="R121">
        <v>136</v>
      </c>
      <c r="S121">
        <v>133</v>
      </c>
      <c r="T121">
        <v>0</v>
      </c>
      <c r="U121">
        <v>0</v>
      </c>
      <c r="V121">
        <v>0</v>
      </c>
      <c r="W121">
        <v>0</v>
      </c>
      <c r="X121" s="23">
        <v>0</v>
      </c>
      <c r="Y121" s="23">
        <v>0</v>
      </c>
      <c r="Z121" s="23">
        <v>0</v>
      </c>
      <c r="AA121" s="23">
        <v>0</v>
      </c>
      <c r="AB121">
        <v>0</v>
      </c>
      <c r="AC121">
        <v>0</v>
      </c>
      <c r="AD121">
        <v>0</v>
      </c>
      <c r="AE121">
        <v>0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9</v>
      </c>
      <c r="AM121">
        <v>3</v>
      </c>
      <c r="AN121" s="23" t="s">
        <v>54</v>
      </c>
      <c r="AO121" s="23" t="s">
        <v>54</v>
      </c>
      <c r="AP121" s="23">
        <v>0.222222222222222</v>
      </c>
      <c r="AQ121" s="23">
        <v>0</v>
      </c>
      <c r="AR121" s="37">
        <v>0</v>
      </c>
      <c r="AS121" s="37">
        <v>0</v>
      </c>
      <c r="AT121" s="37">
        <v>0</v>
      </c>
      <c r="AU121" s="33" t="str">
        <f t="shared" si="5"/>
        <v>库存为0</v>
      </c>
      <c r="AV121" s="38" t="str">
        <f>IFERROR(时间!$B$4+AU121,"上周无销量")</f>
        <v>上周无销量</v>
      </c>
    </row>
    <row r="122" spans="1:48">
      <c r="A122" s="21" t="s">
        <v>289</v>
      </c>
      <c r="B122" t="s">
        <v>290</v>
      </c>
      <c r="C122" t="s">
        <v>259</v>
      </c>
      <c r="D122" s="33">
        <v>0</v>
      </c>
      <c r="E122" s="33">
        <v>8</v>
      </c>
      <c r="F122" s="33">
        <v>0</v>
      </c>
      <c r="G122" s="33">
        <v>0</v>
      </c>
      <c r="H122" s="34">
        <v>1.24875</v>
      </c>
      <c r="I122">
        <v>3</v>
      </c>
      <c r="J122" s="35">
        <v>0</v>
      </c>
      <c r="K122" s="35">
        <v>0</v>
      </c>
      <c r="L122" s="35">
        <v>0</v>
      </c>
      <c r="M122">
        <v>3</v>
      </c>
      <c r="N122">
        <v>0</v>
      </c>
      <c r="O122">
        <v>1</v>
      </c>
      <c r="P122">
        <v>15</v>
      </c>
      <c r="Q122">
        <v>49</v>
      </c>
      <c r="R122">
        <v>179</v>
      </c>
      <c r="S122">
        <v>196</v>
      </c>
      <c r="T122">
        <v>0</v>
      </c>
      <c r="U122">
        <v>0</v>
      </c>
      <c r="V122">
        <v>0</v>
      </c>
      <c r="W122">
        <v>2</v>
      </c>
      <c r="X122" s="23">
        <v>0</v>
      </c>
      <c r="Y122" s="23">
        <v>0</v>
      </c>
      <c r="Z122" s="23">
        <v>0</v>
      </c>
      <c r="AA122" s="23">
        <v>0.0102040816326531</v>
      </c>
      <c r="AB122">
        <v>0</v>
      </c>
      <c r="AC122">
        <v>0</v>
      </c>
      <c r="AD122">
        <v>0</v>
      </c>
      <c r="AE122">
        <v>0.86</v>
      </c>
      <c r="AF122" s="23" t="s">
        <v>54</v>
      </c>
      <c r="AG122" s="23" t="s">
        <v>54</v>
      </c>
      <c r="AH122" s="23" t="s">
        <v>54</v>
      </c>
      <c r="AI122" s="23" t="s">
        <v>285</v>
      </c>
      <c r="AJ122">
        <v>3</v>
      </c>
      <c r="AK122">
        <v>1</v>
      </c>
      <c r="AL122">
        <v>3</v>
      </c>
      <c r="AM122">
        <v>5</v>
      </c>
      <c r="AN122" s="23">
        <v>0</v>
      </c>
      <c r="AO122" s="23">
        <v>8</v>
      </c>
      <c r="AP122" s="23">
        <v>0</v>
      </c>
      <c r="AQ122" s="23">
        <v>0</v>
      </c>
      <c r="AR122" s="37">
        <v>0</v>
      </c>
      <c r="AS122" s="37">
        <v>0</v>
      </c>
      <c r="AT122" s="37">
        <v>3</v>
      </c>
      <c r="AU122" s="33" t="str">
        <f t="shared" si="5"/>
        <v>库存为3</v>
      </c>
      <c r="AV122" s="38" t="str">
        <f>IFERROR(时间!$B$4+AU122,"上周无销量")</f>
        <v>上周无销量</v>
      </c>
    </row>
    <row r="123" spans="1:48">
      <c r="A123" s="21" t="s">
        <v>291</v>
      </c>
      <c r="B123" t="s">
        <v>292</v>
      </c>
      <c r="C123" t="s">
        <v>259</v>
      </c>
      <c r="D123" s="33">
        <v>0</v>
      </c>
      <c r="E123" s="33">
        <v>0</v>
      </c>
      <c r="F123" s="33">
        <v>1</v>
      </c>
      <c r="G123" s="33">
        <v>0</v>
      </c>
      <c r="H123" s="34">
        <v>9.99</v>
      </c>
      <c r="I123">
        <v>0</v>
      </c>
      <c r="J123" s="35">
        <v>0</v>
      </c>
      <c r="K123" s="35">
        <v>0</v>
      </c>
      <c r="L123" s="35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717</v>
      </c>
      <c r="S123">
        <v>1138</v>
      </c>
      <c r="T123">
        <v>0</v>
      </c>
      <c r="U123">
        <v>0</v>
      </c>
      <c r="V123">
        <v>1</v>
      </c>
      <c r="W123">
        <v>3</v>
      </c>
      <c r="X123" s="23" t="s">
        <v>54</v>
      </c>
      <c r="Y123" s="23" t="s">
        <v>54</v>
      </c>
      <c r="Z123" s="23">
        <v>0.00139470013947001</v>
      </c>
      <c r="AA123" s="23">
        <v>0.00263620386643234</v>
      </c>
      <c r="AB123">
        <v>0</v>
      </c>
      <c r="AC123">
        <v>0</v>
      </c>
      <c r="AD123">
        <v>0.39</v>
      </c>
      <c r="AE123">
        <v>1.16</v>
      </c>
      <c r="AF123" s="23" t="s">
        <v>54</v>
      </c>
      <c r="AG123" s="23" t="s">
        <v>54</v>
      </c>
      <c r="AH123" s="23">
        <v>0.039039039039039</v>
      </c>
      <c r="AI123" s="23" t="s">
        <v>293</v>
      </c>
      <c r="AJ123">
        <v>0</v>
      </c>
      <c r="AK123">
        <v>0</v>
      </c>
      <c r="AL123">
        <v>3</v>
      </c>
      <c r="AM123">
        <v>3</v>
      </c>
      <c r="AN123" s="23" t="s">
        <v>54</v>
      </c>
      <c r="AO123" s="23" t="s">
        <v>54</v>
      </c>
      <c r="AP123" s="23">
        <v>0.333333333333333</v>
      </c>
      <c r="AQ123" s="23">
        <v>0</v>
      </c>
      <c r="AR123" s="37">
        <v>0</v>
      </c>
      <c r="AS123" s="37">
        <v>0</v>
      </c>
      <c r="AT123" s="37">
        <v>0</v>
      </c>
      <c r="AU123" s="33" t="str">
        <f t="shared" si="5"/>
        <v>库存为0</v>
      </c>
      <c r="AV123" s="38" t="str">
        <f>IFERROR(时间!$B$4+AU123,"上周无销量")</f>
        <v>上周无销量</v>
      </c>
    </row>
    <row r="124" spans="1:48">
      <c r="A124" s="21" t="s">
        <v>294</v>
      </c>
      <c r="B124" t="s">
        <v>295</v>
      </c>
      <c r="C124" t="s">
        <v>259</v>
      </c>
      <c r="D124" s="33">
        <v>0</v>
      </c>
      <c r="E124" s="33">
        <v>18</v>
      </c>
      <c r="F124" s="33">
        <v>0</v>
      </c>
      <c r="G124" s="33">
        <v>0</v>
      </c>
      <c r="H124" s="34">
        <v>0</v>
      </c>
      <c r="I124">
        <v>3</v>
      </c>
      <c r="J124" s="35">
        <v>0</v>
      </c>
      <c r="K124" s="35">
        <v>0</v>
      </c>
      <c r="L124" s="35">
        <v>0</v>
      </c>
      <c r="M124">
        <v>3</v>
      </c>
      <c r="N124">
        <v>0</v>
      </c>
      <c r="O124">
        <v>2</v>
      </c>
      <c r="P124">
        <v>6</v>
      </c>
      <c r="Q124">
        <v>362</v>
      </c>
      <c r="R124">
        <v>1459</v>
      </c>
      <c r="S124">
        <v>1792</v>
      </c>
      <c r="T124">
        <v>0</v>
      </c>
      <c r="U124">
        <v>0</v>
      </c>
      <c r="V124">
        <v>2</v>
      </c>
      <c r="W124">
        <v>1</v>
      </c>
      <c r="X124" s="23">
        <v>0</v>
      </c>
      <c r="Y124" s="23">
        <v>0</v>
      </c>
      <c r="Z124" s="23">
        <v>0.00137080191912269</v>
      </c>
      <c r="AA124" s="23">
        <v>0.000558035714285714</v>
      </c>
      <c r="AB124">
        <v>0</v>
      </c>
      <c r="AC124">
        <v>0</v>
      </c>
      <c r="AD124">
        <v>0.81</v>
      </c>
      <c r="AE124">
        <v>0.12</v>
      </c>
      <c r="AF124" s="23" t="s">
        <v>54</v>
      </c>
      <c r="AG124" s="23" t="s">
        <v>54</v>
      </c>
      <c r="AH124" s="23" t="s">
        <v>234</v>
      </c>
      <c r="AI124" s="23" t="s">
        <v>296</v>
      </c>
      <c r="AJ124">
        <v>5</v>
      </c>
      <c r="AK124">
        <v>4</v>
      </c>
      <c r="AL124">
        <v>2</v>
      </c>
      <c r="AM124">
        <v>2</v>
      </c>
      <c r="AN124" s="23">
        <v>0</v>
      </c>
      <c r="AO124" s="23">
        <v>4.5</v>
      </c>
      <c r="AP124" s="23">
        <v>0</v>
      </c>
      <c r="AQ124" s="23">
        <v>0</v>
      </c>
      <c r="AR124" s="37">
        <v>0</v>
      </c>
      <c r="AS124" s="37">
        <v>0</v>
      </c>
      <c r="AT124" s="37">
        <v>3</v>
      </c>
      <c r="AU124" s="33" t="str">
        <f t="shared" si="5"/>
        <v>库存为3</v>
      </c>
      <c r="AV124" s="38" t="str">
        <f>IFERROR(时间!$B$4+AU124,"上周无销量")</f>
        <v>上周无销量</v>
      </c>
    </row>
    <row r="125" spans="1:48">
      <c r="A125" s="21" t="s">
        <v>297</v>
      </c>
      <c r="B125" t="s">
        <v>298</v>
      </c>
      <c r="C125" t="s">
        <v>259</v>
      </c>
      <c r="D125" s="33">
        <v>0</v>
      </c>
      <c r="E125" s="33">
        <v>23</v>
      </c>
      <c r="F125" s="33">
        <v>0</v>
      </c>
      <c r="G125" s="33">
        <v>0</v>
      </c>
      <c r="H125" s="34">
        <v>0</v>
      </c>
      <c r="I125">
        <v>0</v>
      </c>
      <c r="J125" s="35">
        <v>0</v>
      </c>
      <c r="K125" s="35">
        <v>0</v>
      </c>
      <c r="L125" s="35">
        <v>0</v>
      </c>
      <c r="M125">
        <v>0</v>
      </c>
      <c r="N125">
        <v>0</v>
      </c>
      <c r="O125">
        <v>0</v>
      </c>
      <c r="P125">
        <v>0</v>
      </c>
      <c r="Q125">
        <v>22</v>
      </c>
      <c r="R125">
        <v>514</v>
      </c>
      <c r="S125">
        <v>321</v>
      </c>
      <c r="T125">
        <v>0</v>
      </c>
      <c r="U125">
        <v>0</v>
      </c>
      <c r="V125">
        <v>0</v>
      </c>
      <c r="W125">
        <v>2</v>
      </c>
      <c r="X125" s="23" t="s">
        <v>54</v>
      </c>
      <c r="Y125" s="23">
        <v>0</v>
      </c>
      <c r="Z125" s="23">
        <v>0</v>
      </c>
      <c r="AA125" s="23">
        <v>0.00623052959501558</v>
      </c>
      <c r="AB125">
        <v>0</v>
      </c>
      <c r="AC125">
        <v>0</v>
      </c>
      <c r="AD125">
        <v>0</v>
      </c>
      <c r="AE125">
        <v>0.75</v>
      </c>
      <c r="AF125" s="23" t="s">
        <v>54</v>
      </c>
      <c r="AG125" s="23" t="s">
        <v>54</v>
      </c>
      <c r="AH125" s="23" t="s">
        <v>54</v>
      </c>
      <c r="AI125" s="23" t="s">
        <v>299</v>
      </c>
      <c r="AJ125">
        <v>0</v>
      </c>
      <c r="AK125">
        <v>1</v>
      </c>
      <c r="AL125">
        <v>2</v>
      </c>
      <c r="AM125">
        <v>2</v>
      </c>
      <c r="AN125" s="23" t="s">
        <v>54</v>
      </c>
      <c r="AO125" s="23">
        <v>23</v>
      </c>
      <c r="AP125" s="23">
        <v>0</v>
      </c>
      <c r="AQ125" s="23">
        <v>0</v>
      </c>
      <c r="AR125" s="37">
        <v>0</v>
      </c>
      <c r="AS125" s="37">
        <v>0</v>
      </c>
      <c r="AT125" s="37">
        <v>0</v>
      </c>
      <c r="AU125" s="33" t="str">
        <f t="shared" si="5"/>
        <v>库存为0</v>
      </c>
      <c r="AV125" s="38" t="str">
        <f>IFERROR(时间!$B$4+AU125,"上周无销量")</f>
        <v>上周无销量</v>
      </c>
    </row>
    <row r="126" spans="1:48">
      <c r="A126" s="21" t="s">
        <v>300</v>
      </c>
      <c r="B126" t="s">
        <v>301</v>
      </c>
      <c r="C126" t="s">
        <v>259</v>
      </c>
      <c r="D126" s="33">
        <v>0</v>
      </c>
      <c r="E126" s="33">
        <v>28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>
        <v>12</v>
      </c>
      <c r="Q126">
        <v>47</v>
      </c>
      <c r="R126">
        <v>406</v>
      </c>
      <c r="S126">
        <v>516</v>
      </c>
      <c r="T126">
        <v>1</v>
      </c>
      <c r="U126">
        <v>0</v>
      </c>
      <c r="V126">
        <v>1</v>
      </c>
      <c r="W126">
        <v>0</v>
      </c>
      <c r="X126" s="23">
        <v>0.0833333333333333</v>
      </c>
      <c r="Y126" s="23">
        <v>0</v>
      </c>
      <c r="Z126" s="23">
        <v>0.00246305418719212</v>
      </c>
      <c r="AA126" s="23">
        <v>0</v>
      </c>
      <c r="AB126">
        <v>0.14</v>
      </c>
      <c r="AC126">
        <v>0</v>
      </c>
      <c r="AD126">
        <v>0.25</v>
      </c>
      <c r="AE126">
        <v>0</v>
      </c>
      <c r="AF126" s="23" t="s">
        <v>302</v>
      </c>
      <c r="AG126" s="23" t="s">
        <v>54</v>
      </c>
      <c r="AH126" s="23" t="s">
        <v>303</v>
      </c>
      <c r="AI126" s="23" t="s">
        <v>54</v>
      </c>
      <c r="AJ126">
        <v>5</v>
      </c>
      <c r="AK126">
        <v>4</v>
      </c>
      <c r="AL126">
        <v>3</v>
      </c>
      <c r="AM126">
        <v>4</v>
      </c>
      <c r="AN126" s="23">
        <v>0</v>
      </c>
      <c r="AO126" s="23">
        <v>7</v>
      </c>
      <c r="AP126" s="23">
        <v>0</v>
      </c>
      <c r="AQ126" s="23">
        <v>0</v>
      </c>
      <c r="AR126" s="37">
        <v>0</v>
      </c>
      <c r="AS126" s="37">
        <v>0</v>
      </c>
      <c r="AT126" s="37">
        <v>1</v>
      </c>
      <c r="AU126" s="33" t="str">
        <f t="shared" si="5"/>
        <v>库存为1</v>
      </c>
      <c r="AV126" s="38" t="str">
        <f>IFERROR(时间!$B$4+AU126,"上周无销量")</f>
        <v>上周无销量</v>
      </c>
    </row>
    <row r="127" spans="1:48">
      <c r="A127" s="21" t="s">
        <v>304</v>
      </c>
      <c r="B127" t="s">
        <v>305</v>
      </c>
      <c r="C127" t="s">
        <v>259</v>
      </c>
      <c r="D127" s="33">
        <v>0</v>
      </c>
      <c r="E127" s="33">
        <v>29</v>
      </c>
      <c r="F127" s="33">
        <v>1</v>
      </c>
      <c r="G127" s="33">
        <v>0</v>
      </c>
      <c r="H127" s="34">
        <v>0.266333333333333</v>
      </c>
      <c r="I127">
        <v>1</v>
      </c>
      <c r="J127" s="35">
        <v>0</v>
      </c>
      <c r="K127" s="35">
        <v>0</v>
      </c>
      <c r="L127" s="35">
        <v>0</v>
      </c>
      <c r="M127">
        <v>1</v>
      </c>
      <c r="N127">
        <v>0</v>
      </c>
      <c r="O127">
        <v>1</v>
      </c>
      <c r="P127">
        <v>6</v>
      </c>
      <c r="Q127">
        <v>80</v>
      </c>
      <c r="R127">
        <v>329</v>
      </c>
      <c r="S127">
        <v>691</v>
      </c>
      <c r="T127">
        <v>0</v>
      </c>
      <c r="U127">
        <v>1</v>
      </c>
      <c r="V127">
        <v>2</v>
      </c>
      <c r="W127">
        <v>2</v>
      </c>
      <c r="X127" s="23">
        <v>0</v>
      </c>
      <c r="Y127" s="23">
        <v>0.0125</v>
      </c>
      <c r="Z127" s="23">
        <v>0.0060790273556231</v>
      </c>
      <c r="AA127" s="23">
        <v>0.00289435600578871</v>
      </c>
      <c r="AB127">
        <v>0</v>
      </c>
      <c r="AC127">
        <v>0.45</v>
      </c>
      <c r="AD127">
        <v>0.73</v>
      </c>
      <c r="AE127">
        <v>0.86</v>
      </c>
      <c r="AF127" s="23" t="s">
        <v>54</v>
      </c>
      <c r="AG127" s="23">
        <v>0.0582624832765095</v>
      </c>
      <c r="AH127" s="23">
        <v>2.74092615769712</v>
      </c>
      <c r="AI127" s="23" t="s">
        <v>285</v>
      </c>
      <c r="AJ127">
        <v>4</v>
      </c>
      <c r="AK127">
        <v>2</v>
      </c>
      <c r="AL127">
        <v>3</v>
      </c>
      <c r="AM127">
        <v>4</v>
      </c>
      <c r="AN127" s="23">
        <v>0</v>
      </c>
      <c r="AO127" s="23">
        <v>14.5</v>
      </c>
      <c r="AP127" s="23">
        <v>0.333333333333333</v>
      </c>
      <c r="AQ127" s="23">
        <v>0</v>
      </c>
      <c r="AR127" s="37">
        <v>0</v>
      </c>
      <c r="AS127" s="37">
        <v>0</v>
      </c>
      <c r="AT127" s="37">
        <v>1</v>
      </c>
      <c r="AU127" s="33" t="str">
        <f t="shared" si="5"/>
        <v>库存为1</v>
      </c>
      <c r="AV127" s="38" t="str">
        <f>IFERROR(时间!$B$4+AU127,"上周无销量")</f>
        <v>上周无销量</v>
      </c>
    </row>
    <row r="128" spans="1:48">
      <c r="A128" s="21" t="s">
        <v>306</v>
      </c>
      <c r="B128" t="s">
        <v>307</v>
      </c>
      <c r="C128" t="s">
        <v>259</v>
      </c>
      <c r="D128" s="33">
        <v>0</v>
      </c>
      <c r="E128" s="33">
        <v>32</v>
      </c>
      <c r="F128" s="33">
        <v>0</v>
      </c>
      <c r="G128" s="33">
        <v>0</v>
      </c>
      <c r="H128" s="34">
        <v>0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0</v>
      </c>
      <c r="P128">
        <v>0</v>
      </c>
      <c r="Q128">
        <v>41</v>
      </c>
      <c r="R128">
        <v>527</v>
      </c>
      <c r="S128">
        <v>563</v>
      </c>
      <c r="T128">
        <v>0</v>
      </c>
      <c r="U128">
        <v>0</v>
      </c>
      <c r="V128">
        <v>0</v>
      </c>
      <c r="W128">
        <v>0</v>
      </c>
      <c r="X128" s="23" t="s">
        <v>54</v>
      </c>
      <c r="Y128" s="23">
        <v>0</v>
      </c>
      <c r="Z128" s="23">
        <v>0</v>
      </c>
      <c r="AA128" s="23">
        <v>0</v>
      </c>
      <c r="AB128">
        <v>0</v>
      </c>
      <c r="AC128">
        <v>0</v>
      </c>
      <c r="AD128">
        <v>0</v>
      </c>
      <c r="AE128">
        <v>0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1</v>
      </c>
      <c r="AM128">
        <v>3</v>
      </c>
      <c r="AN128" s="23" t="s">
        <v>54</v>
      </c>
      <c r="AO128" s="23" t="s">
        <v>54</v>
      </c>
      <c r="AP128" s="23">
        <v>0</v>
      </c>
      <c r="AQ128" s="23">
        <v>0</v>
      </c>
      <c r="AR128" s="37">
        <v>0</v>
      </c>
      <c r="AS128" s="37">
        <v>0</v>
      </c>
      <c r="AT128" s="37">
        <v>0</v>
      </c>
      <c r="AU128" s="33" t="str">
        <f t="shared" si="5"/>
        <v>库存为0</v>
      </c>
      <c r="AV128" s="38" t="str">
        <f>IFERROR(时间!$B$4+AU128,"上周无销量")</f>
        <v>上周无销量</v>
      </c>
    </row>
    <row r="129" spans="1:48">
      <c r="A129" s="21" t="s">
        <v>308</v>
      </c>
      <c r="B129" t="s">
        <v>309</v>
      </c>
      <c r="C129" t="s">
        <v>259</v>
      </c>
      <c r="D129" s="33">
        <v>0</v>
      </c>
      <c r="E129" s="33">
        <v>32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>
        <v>0</v>
      </c>
      <c r="Q129">
        <v>84</v>
      </c>
      <c r="R129">
        <v>2034</v>
      </c>
      <c r="S129">
        <v>2492</v>
      </c>
      <c r="T129">
        <v>0</v>
      </c>
      <c r="U129">
        <v>1</v>
      </c>
      <c r="V129">
        <v>1</v>
      </c>
      <c r="W129">
        <v>2</v>
      </c>
      <c r="X129" s="23" t="s">
        <v>54</v>
      </c>
      <c r="Y129" s="23">
        <v>0.0119047619047619</v>
      </c>
      <c r="Z129" s="23">
        <v>0.000491642084562439</v>
      </c>
      <c r="AA129" s="23">
        <v>0.000802568218298555</v>
      </c>
      <c r="AB129">
        <v>0</v>
      </c>
      <c r="AC129">
        <v>0.45</v>
      </c>
      <c r="AD129">
        <v>0.44</v>
      </c>
      <c r="AE129">
        <v>1.24</v>
      </c>
      <c r="AF129" s="23" t="s">
        <v>54</v>
      </c>
      <c r="AG129" s="23" t="s">
        <v>310</v>
      </c>
      <c r="AH129" s="23" t="s">
        <v>264</v>
      </c>
      <c r="AI129" s="23" t="s">
        <v>240</v>
      </c>
      <c r="AJ129">
        <v>0</v>
      </c>
      <c r="AK129">
        <v>1</v>
      </c>
      <c r="AL129">
        <v>5</v>
      </c>
      <c r="AM129">
        <v>2</v>
      </c>
      <c r="AN129" s="23" t="s">
        <v>54</v>
      </c>
      <c r="AO129" s="23">
        <v>32</v>
      </c>
      <c r="AP129" s="23">
        <v>0</v>
      </c>
      <c r="AQ129" s="23">
        <v>0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311</v>
      </c>
      <c r="B130" t="s">
        <v>312</v>
      </c>
      <c r="C130" t="s">
        <v>259</v>
      </c>
      <c r="D130" s="33">
        <v>0</v>
      </c>
      <c r="E130" s="33">
        <v>29</v>
      </c>
      <c r="F130" s="33">
        <v>0</v>
      </c>
      <c r="G130" s="33">
        <v>0</v>
      </c>
      <c r="H130" s="34">
        <v>0</v>
      </c>
      <c r="I130">
        <v>0</v>
      </c>
      <c r="J130" s="35">
        <v>0</v>
      </c>
      <c r="K130" s="35">
        <v>0</v>
      </c>
      <c r="L130" s="35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33</v>
      </c>
      <c r="T130">
        <v>0</v>
      </c>
      <c r="U130">
        <v>0</v>
      </c>
      <c r="V130">
        <v>0</v>
      </c>
      <c r="W130">
        <v>0</v>
      </c>
      <c r="X130" s="23" t="s">
        <v>54</v>
      </c>
      <c r="Y130" s="23" t="s">
        <v>54</v>
      </c>
      <c r="Z130" s="23" t="s">
        <v>54</v>
      </c>
      <c r="AA130" s="23">
        <v>0</v>
      </c>
      <c r="AB130">
        <v>0</v>
      </c>
      <c r="AC130">
        <v>0</v>
      </c>
      <c r="AD130">
        <v>0</v>
      </c>
      <c r="AE130">
        <v>0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5</v>
      </c>
      <c r="AM130">
        <v>1</v>
      </c>
      <c r="AN130" s="23" t="s">
        <v>54</v>
      </c>
      <c r="AO130" s="23" t="s">
        <v>54</v>
      </c>
      <c r="AP130" s="23">
        <v>0</v>
      </c>
      <c r="AQ130" s="23">
        <v>0</v>
      </c>
      <c r="AR130" s="37">
        <v>0</v>
      </c>
      <c r="AS130" s="37">
        <v>0</v>
      </c>
      <c r="AT130" s="37">
        <v>0</v>
      </c>
      <c r="AU130" s="33" t="str">
        <f t="shared" si="5"/>
        <v>库存为0</v>
      </c>
      <c r="AV130" s="38" t="str">
        <f>IFERROR(时间!$B$4+AU130,"上周无销量")</f>
        <v>上周无销量</v>
      </c>
    </row>
    <row r="131" spans="1:48">
      <c r="A131" s="21" t="s">
        <v>313</v>
      </c>
      <c r="B131" t="s">
        <v>314</v>
      </c>
      <c r="C131" t="s">
        <v>315</v>
      </c>
      <c r="D131" s="33">
        <v>0</v>
      </c>
      <c r="E131" s="33">
        <v>2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>
        <v>0</v>
      </c>
      <c r="Q131">
        <v>398</v>
      </c>
      <c r="R131">
        <v>2001</v>
      </c>
      <c r="S131">
        <v>3181</v>
      </c>
      <c r="T131">
        <v>0</v>
      </c>
      <c r="U131">
        <v>5</v>
      </c>
      <c r="V131">
        <v>23</v>
      </c>
      <c r="W131">
        <v>36</v>
      </c>
      <c r="X131" s="23" t="s">
        <v>54</v>
      </c>
      <c r="Y131" s="23">
        <v>0.0125628140703518</v>
      </c>
      <c r="Z131" s="23">
        <v>0.0114942528735632</v>
      </c>
      <c r="AA131" s="23">
        <v>0.0113171958503615</v>
      </c>
      <c r="AB131">
        <v>0</v>
      </c>
      <c r="AC131">
        <v>1.07</v>
      </c>
      <c r="AD131">
        <v>5.34</v>
      </c>
      <c r="AE131">
        <v>10.59</v>
      </c>
      <c r="AF131" s="23" t="s">
        <v>54</v>
      </c>
      <c r="AG131" s="23" t="s">
        <v>281</v>
      </c>
      <c r="AH131" s="23" t="s">
        <v>316</v>
      </c>
      <c r="AI131" s="23" t="s">
        <v>317</v>
      </c>
      <c r="AJ131">
        <v>0</v>
      </c>
      <c r="AK131">
        <v>3</v>
      </c>
      <c r="AL131">
        <v>13</v>
      </c>
      <c r="AM131">
        <v>8</v>
      </c>
      <c r="AN131" s="23" t="s">
        <v>54</v>
      </c>
      <c r="AO131" s="23">
        <v>0.666666666666667</v>
      </c>
      <c r="AP131" s="23">
        <v>0</v>
      </c>
      <c r="AQ131" s="23">
        <v>0</v>
      </c>
      <c r="AR131" s="37">
        <v>0</v>
      </c>
      <c r="AS131" s="37">
        <v>0</v>
      </c>
      <c r="AT131" s="37">
        <v>0</v>
      </c>
      <c r="AU131" s="33" t="str">
        <f t="shared" si="5"/>
        <v>库存为0</v>
      </c>
      <c r="AV131" s="38" t="str">
        <f>IFERROR(时间!$B$4+AU131,"上周无销量")</f>
        <v>上周无销量</v>
      </c>
    </row>
    <row r="132" spans="1:48">
      <c r="A132" s="21" t="s">
        <v>318</v>
      </c>
      <c r="B132" t="s">
        <v>319</v>
      </c>
      <c r="C132" t="s">
        <v>315</v>
      </c>
      <c r="D132" s="33">
        <v>0</v>
      </c>
      <c r="E132" s="33">
        <v>2</v>
      </c>
      <c r="F132" s="33">
        <v>0</v>
      </c>
      <c r="G132" s="33">
        <v>0</v>
      </c>
      <c r="H132" s="34">
        <v>0</v>
      </c>
      <c r="I132">
        <v>0</v>
      </c>
      <c r="J132" s="35">
        <v>0</v>
      </c>
      <c r="K132" s="35">
        <v>0</v>
      </c>
      <c r="L132" s="35">
        <v>0</v>
      </c>
      <c r="M132">
        <v>0</v>
      </c>
      <c r="N132">
        <v>0</v>
      </c>
      <c r="O132">
        <v>0</v>
      </c>
      <c r="P132">
        <v>0</v>
      </c>
      <c r="Q132">
        <v>12</v>
      </c>
      <c r="R132">
        <v>79</v>
      </c>
      <c r="S132">
        <v>90</v>
      </c>
      <c r="T132">
        <v>0</v>
      </c>
      <c r="U132">
        <v>0</v>
      </c>
      <c r="V132">
        <v>0</v>
      </c>
      <c r="W132">
        <v>0</v>
      </c>
      <c r="X132" s="23" t="s">
        <v>54</v>
      </c>
      <c r="Y132" s="23">
        <v>0</v>
      </c>
      <c r="Z132" s="23">
        <v>0</v>
      </c>
      <c r="AA132" s="23">
        <v>0</v>
      </c>
      <c r="AB132">
        <v>0</v>
      </c>
      <c r="AC132">
        <v>0</v>
      </c>
      <c r="AD132">
        <v>0</v>
      </c>
      <c r="AE132">
        <v>0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1</v>
      </c>
      <c r="AL132">
        <v>3</v>
      </c>
      <c r="AM132">
        <v>3</v>
      </c>
      <c r="AN132" s="23" t="s">
        <v>54</v>
      </c>
      <c r="AO132" s="23">
        <v>2</v>
      </c>
      <c r="AP132" s="23">
        <v>0</v>
      </c>
      <c r="AQ132" s="23">
        <v>0</v>
      </c>
      <c r="AR132" s="37">
        <v>0</v>
      </c>
      <c r="AS132" s="37">
        <v>0</v>
      </c>
      <c r="AT132" s="37">
        <v>0</v>
      </c>
      <c r="AU132" s="33" t="str">
        <f t="shared" si="5"/>
        <v>库存为0</v>
      </c>
      <c r="AV132" s="38" t="str">
        <f>IFERROR(时间!$B$4+AU132,"上周无销量")</f>
        <v>上周无销量</v>
      </c>
    </row>
    <row r="133" spans="1:48">
      <c r="A133" s="21" t="s">
        <v>320</v>
      </c>
      <c r="B133" t="s">
        <v>321</v>
      </c>
      <c r="C133" t="s">
        <v>315</v>
      </c>
      <c r="D133" s="33">
        <v>0</v>
      </c>
      <c r="E133" s="33">
        <v>2</v>
      </c>
      <c r="F133" s="33">
        <v>0</v>
      </c>
      <c r="G133" s="33">
        <v>0</v>
      </c>
      <c r="H133" s="34">
        <v>0</v>
      </c>
      <c r="I133">
        <v>0</v>
      </c>
      <c r="J133" s="35">
        <v>0</v>
      </c>
      <c r="K133" s="35">
        <v>0</v>
      </c>
      <c r="L133" s="35">
        <v>0</v>
      </c>
      <c r="M133">
        <v>0</v>
      </c>
      <c r="N133">
        <v>0</v>
      </c>
      <c r="O133">
        <v>0</v>
      </c>
      <c r="P133">
        <v>0</v>
      </c>
      <c r="Q133">
        <v>24</v>
      </c>
      <c r="R133">
        <v>89</v>
      </c>
      <c r="S133">
        <v>81</v>
      </c>
      <c r="T133">
        <v>0</v>
      </c>
      <c r="U133">
        <v>0</v>
      </c>
      <c r="V133">
        <v>0</v>
      </c>
      <c r="W133">
        <v>0</v>
      </c>
      <c r="X133" s="23" t="s">
        <v>54</v>
      </c>
      <c r="Y133" s="23">
        <v>0</v>
      </c>
      <c r="Z133" s="23">
        <v>0</v>
      </c>
      <c r="AA133" s="23">
        <v>0</v>
      </c>
      <c r="AB133">
        <v>0</v>
      </c>
      <c r="AC133">
        <v>0</v>
      </c>
      <c r="AD133">
        <v>0</v>
      </c>
      <c r="AE133">
        <v>0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2</v>
      </c>
      <c r="AL133">
        <v>6</v>
      </c>
      <c r="AM133">
        <v>0</v>
      </c>
      <c r="AN133" s="23" t="s">
        <v>54</v>
      </c>
      <c r="AO133" s="23">
        <v>1</v>
      </c>
      <c r="AP133" s="23">
        <v>0</v>
      </c>
      <c r="AQ133" s="23" t="s">
        <v>54</v>
      </c>
      <c r="AR133" s="37">
        <v>0</v>
      </c>
      <c r="AS133" s="37">
        <v>0</v>
      </c>
      <c r="AT133" s="37">
        <v>0</v>
      </c>
      <c r="AU133" s="33" t="str">
        <f t="shared" ref="AU133:AU196" si="6">IF(AR133="","库存为"&amp;M133,IF(AS133=0,"库存为"&amp;M133,INT(M133/AR133)))</f>
        <v>库存为0</v>
      </c>
      <c r="AV133" s="38" t="str">
        <f>IFERROR(时间!$B$4+AU133,"上周无销量")</f>
        <v>上周无销量</v>
      </c>
    </row>
    <row r="134" spans="1:48">
      <c r="A134" s="21" t="s">
        <v>322</v>
      </c>
      <c r="B134" t="s">
        <v>323</v>
      </c>
      <c r="C134" t="s">
        <v>324</v>
      </c>
      <c r="D134" s="33">
        <v>0</v>
      </c>
      <c r="E134" s="33">
        <v>2</v>
      </c>
      <c r="F134" s="33">
        <v>0</v>
      </c>
      <c r="G134" s="33">
        <v>0</v>
      </c>
      <c r="H134" s="34">
        <v>0</v>
      </c>
      <c r="I134">
        <v>0</v>
      </c>
      <c r="J134" s="35">
        <v>0</v>
      </c>
      <c r="K134" s="35">
        <v>0</v>
      </c>
      <c r="L134" s="35">
        <v>0</v>
      </c>
      <c r="M134">
        <v>0</v>
      </c>
      <c r="N134">
        <v>0</v>
      </c>
      <c r="O134">
        <v>0</v>
      </c>
      <c r="P134">
        <v>0</v>
      </c>
      <c r="Q134">
        <v>588</v>
      </c>
      <c r="R134">
        <v>5247</v>
      </c>
      <c r="S134">
        <v>5061</v>
      </c>
      <c r="T134">
        <v>0</v>
      </c>
      <c r="U134">
        <v>3</v>
      </c>
      <c r="V134">
        <v>6</v>
      </c>
      <c r="W134">
        <v>9</v>
      </c>
      <c r="X134" s="23" t="s">
        <v>54</v>
      </c>
      <c r="Y134" s="23">
        <v>0.00510204081632653</v>
      </c>
      <c r="Z134" s="23">
        <v>0.00114351057747284</v>
      </c>
      <c r="AA134" s="23">
        <v>0.001778304682869</v>
      </c>
      <c r="AB134">
        <v>0</v>
      </c>
      <c r="AC134">
        <v>0.78</v>
      </c>
      <c r="AD134">
        <v>1.66</v>
      </c>
      <c r="AE134">
        <v>2.56</v>
      </c>
      <c r="AF134" s="23" t="s">
        <v>54</v>
      </c>
      <c r="AG134" s="23" t="s">
        <v>325</v>
      </c>
      <c r="AH134" s="23" t="s">
        <v>326</v>
      </c>
      <c r="AI134" s="23" t="s">
        <v>327</v>
      </c>
      <c r="AJ134">
        <v>0</v>
      </c>
      <c r="AK134">
        <v>2</v>
      </c>
      <c r="AL134">
        <v>7</v>
      </c>
      <c r="AM134">
        <v>10</v>
      </c>
      <c r="AN134" s="23" t="s">
        <v>54</v>
      </c>
      <c r="AO134" s="23">
        <v>1</v>
      </c>
      <c r="AP134" s="23">
        <v>0</v>
      </c>
      <c r="AQ134" s="23">
        <v>0</v>
      </c>
      <c r="AR134" s="37">
        <v>0</v>
      </c>
      <c r="AS134" s="37">
        <v>0</v>
      </c>
      <c r="AT134" s="37">
        <v>0</v>
      </c>
      <c r="AU134" s="33" t="str">
        <f t="shared" si="6"/>
        <v>库存为0</v>
      </c>
      <c r="AV134" s="38" t="str">
        <f>IFERROR(时间!$B$4+AU134,"上周无销量")</f>
        <v>上周无销量</v>
      </c>
    </row>
    <row r="135" spans="1:48">
      <c r="A135" s="21" t="s">
        <v>328</v>
      </c>
      <c r="B135" t="s">
        <v>329</v>
      </c>
      <c r="C135" t="s">
        <v>324</v>
      </c>
      <c r="D135" s="33">
        <v>0</v>
      </c>
      <c r="E135" s="33">
        <v>8</v>
      </c>
      <c r="F135" s="33">
        <v>0</v>
      </c>
      <c r="G135" s="33">
        <v>0</v>
      </c>
      <c r="H135" s="34">
        <v>0</v>
      </c>
      <c r="I135">
        <v>1</v>
      </c>
      <c r="J135" s="35">
        <v>0</v>
      </c>
      <c r="K135" s="35">
        <v>0</v>
      </c>
      <c r="L135" s="35">
        <v>0</v>
      </c>
      <c r="M135">
        <v>1</v>
      </c>
      <c r="N135">
        <v>0</v>
      </c>
      <c r="O135">
        <v>1</v>
      </c>
      <c r="P135">
        <v>49</v>
      </c>
      <c r="Q135">
        <v>81</v>
      </c>
      <c r="R135">
        <v>11</v>
      </c>
      <c r="S135">
        <v>6</v>
      </c>
      <c r="T135">
        <v>0</v>
      </c>
      <c r="U135">
        <v>0</v>
      </c>
      <c r="V135">
        <v>0</v>
      </c>
      <c r="W135">
        <v>0</v>
      </c>
      <c r="X135" s="23">
        <v>0</v>
      </c>
      <c r="Y135" s="23">
        <v>0</v>
      </c>
      <c r="Z135" s="23">
        <v>0</v>
      </c>
      <c r="AA135" s="23">
        <v>0</v>
      </c>
      <c r="AB135">
        <v>0</v>
      </c>
      <c r="AC135">
        <v>0</v>
      </c>
      <c r="AD135">
        <v>0</v>
      </c>
      <c r="AE135">
        <v>0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1</v>
      </c>
      <c r="AK135">
        <v>0</v>
      </c>
      <c r="AL135">
        <v>8</v>
      </c>
      <c r="AM135">
        <v>1</v>
      </c>
      <c r="AN135" s="23">
        <v>0</v>
      </c>
      <c r="AO135" s="23" t="s">
        <v>54</v>
      </c>
      <c r="AP135" s="23">
        <v>0</v>
      </c>
      <c r="AQ135" s="23">
        <v>0</v>
      </c>
      <c r="AR135" s="37">
        <v>0</v>
      </c>
      <c r="AS135" s="37">
        <v>0</v>
      </c>
      <c r="AT135" s="37">
        <v>1</v>
      </c>
      <c r="AU135" s="33" t="str">
        <f t="shared" si="6"/>
        <v>库存为1</v>
      </c>
      <c r="AV135" s="38" t="str">
        <f>IFERROR(时间!$B$4+AU135,"上周无销量")</f>
        <v>上周无销量</v>
      </c>
    </row>
    <row r="136" spans="1:48">
      <c r="A136" s="21" t="s">
        <v>330</v>
      </c>
      <c r="B136" t="s">
        <v>331</v>
      </c>
      <c r="C136" t="s">
        <v>324</v>
      </c>
      <c r="D136" s="33">
        <v>0</v>
      </c>
      <c r="E136" s="33">
        <v>15</v>
      </c>
      <c r="F136" s="33">
        <v>0</v>
      </c>
      <c r="G136" s="33">
        <v>0</v>
      </c>
      <c r="H136" s="34">
        <v>0</v>
      </c>
      <c r="I136">
        <v>0</v>
      </c>
      <c r="J136" s="35">
        <v>0</v>
      </c>
      <c r="K136" s="35">
        <v>0</v>
      </c>
      <c r="L136" s="35">
        <v>0</v>
      </c>
      <c r="M136">
        <v>0</v>
      </c>
      <c r="N136">
        <v>0</v>
      </c>
      <c r="O136">
        <v>0</v>
      </c>
      <c r="P136">
        <v>0</v>
      </c>
      <c r="Q136">
        <v>131</v>
      </c>
      <c r="R136">
        <v>958</v>
      </c>
      <c r="S136">
        <v>1113</v>
      </c>
      <c r="T136">
        <v>0</v>
      </c>
      <c r="U136">
        <v>2</v>
      </c>
      <c r="V136">
        <v>8</v>
      </c>
      <c r="W136">
        <v>9</v>
      </c>
      <c r="X136" s="23" t="s">
        <v>54</v>
      </c>
      <c r="Y136" s="23">
        <v>0.0152671755725191</v>
      </c>
      <c r="Z136" s="23">
        <v>0.00835073068893528</v>
      </c>
      <c r="AA136" s="23">
        <v>0.00808625336927224</v>
      </c>
      <c r="AB136">
        <v>0</v>
      </c>
      <c r="AC136">
        <v>0.52</v>
      </c>
      <c r="AD136">
        <v>2.73</v>
      </c>
      <c r="AE136">
        <v>2.56</v>
      </c>
      <c r="AF136" s="23" t="s">
        <v>54</v>
      </c>
      <c r="AG136" s="23" t="s">
        <v>332</v>
      </c>
      <c r="AH136" s="23" t="s">
        <v>333</v>
      </c>
      <c r="AI136" s="23" t="s">
        <v>327</v>
      </c>
      <c r="AJ136">
        <v>0</v>
      </c>
      <c r="AK136">
        <v>1</v>
      </c>
      <c r="AL136">
        <v>15</v>
      </c>
      <c r="AM136">
        <v>9</v>
      </c>
      <c r="AN136" s="23" t="s">
        <v>54</v>
      </c>
      <c r="AO136" s="23">
        <v>15</v>
      </c>
      <c r="AP136" s="23">
        <v>0</v>
      </c>
      <c r="AQ136" s="23">
        <v>0</v>
      </c>
      <c r="AR136" s="37">
        <v>0</v>
      </c>
      <c r="AS136" s="37">
        <v>0</v>
      </c>
      <c r="AT136" s="37">
        <v>0</v>
      </c>
      <c r="AU136" s="33" t="str">
        <f t="shared" si="6"/>
        <v>库存为0</v>
      </c>
      <c r="AV136" s="38" t="str">
        <f>IFERROR(时间!$B$4+AU136,"上周无销量")</f>
        <v>上周无销量</v>
      </c>
    </row>
    <row r="137" spans="1:48">
      <c r="A137" s="21" t="s">
        <v>334</v>
      </c>
      <c r="B137" t="s">
        <v>335</v>
      </c>
      <c r="C137" t="s">
        <v>324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1</v>
      </c>
      <c r="J137" s="35">
        <v>0</v>
      </c>
      <c r="K137" s="35">
        <v>0</v>
      </c>
      <c r="L137" s="35">
        <v>0</v>
      </c>
      <c r="M137">
        <v>1</v>
      </c>
      <c r="N137">
        <v>0</v>
      </c>
      <c r="O137">
        <v>1</v>
      </c>
      <c r="P137">
        <v>87</v>
      </c>
      <c r="Q137">
        <v>179</v>
      </c>
      <c r="R137">
        <v>109</v>
      </c>
      <c r="S137">
        <v>34</v>
      </c>
      <c r="T137">
        <v>1</v>
      </c>
      <c r="U137">
        <v>0</v>
      </c>
      <c r="V137">
        <v>0</v>
      </c>
      <c r="W137">
        <v>0</v>
      </c>
      <c r="X137" s="23">
        <v>0.0114942528735632</v>
      </c>
      <c r="Y137" s="23">
        <v>0</v>
      </c>
      <c r="Z137" s="23">
        <v>0</v>
      </c>
      <c r="AA137" s="23">
        <v>0</v>
      </c>
      <c r="AB137">
        <v>0.07</v>
      </c>
      <c r="AC137">
        <v>0</v>
      </c>
      <c r="AD137">
        <v>0</v>
      </c>
      <c r="AE137">
        <v>0</v>
      </c>
      <c r="AF137" s="23" t="s">
        <v>336</v>
      </c>
      <c r="AG137" s="23" t="s">
        <v>54</v>
      </c>
      <c r="AH137" s="23" t="s">
        <v>54</v>
      </c>
      <c r="AI137" s="23" t="s">
        <v>54</v>
      </c>
      <c r="AJ137">
        <v>3</v>
      </c>
      <c r="AK137">
        <v>6</v>
      </c>
      <c r="AL137">
        <v>6</v>
      </c>
      <c r="AM137">
        <v>2</v>
      </c>
      <c r="AN137" s="23">
        <v>0</v>
      </c>
      <c r="AO137" s="23">
        <v>0</v>
      </c>
      <c r="AP137" s="23">
        <v>0</v>
      </c>
      <c r="AQ137" s="23">
        <v>0</v>
      </c>
      <c r="AR137" s="37">
        <v>0</v>
      </c>
      <c r="AS137" s="37">
        <v>0</v>
      </c>
      <c r="AT137" s="37">
        <v>1</v>
      </c>
      <c r="AU137" s="33" t="str">
        <f t="shared" si="6"/>
        <v>库存为1</v>
      </c>
      <c r="AV137" s="38" t="str">
        <f>IFERROR(时间!$B$4+AU137,"上周无销量")</f>
        <v>上周无销量</v>
      </c>
    </row>
    <row r="138" spans="1:48">
      <c r="A138" s="21" t="s">
        <v>337</v>
      </c>
      <c r="B138" t="s">
        <v>338</v>
      </c>
      <c r="C138" t="s">
        <v>324</v>
      </c>
      <c r="D138" s="33">
        <v>0</v>
      </c>
      <c r="E138" s="33">
        <v>4</v>
      </c>
      <c r="F138" s="33">
        <v>0</v>
      </c>
      <c r="G138" s="33">
        <v>0</v>
      </c>
      <c r="H138" s="34">
        <v>0</v>
      </c>
      <c r="I138">
        <v>0</v>
      </c>
      <c r="J138" s="35">
        <v>0</v>
      </c>
      <c r="K138" s="35">
        <v>0</v>
      </c>
      <c r="L138" s="35">
        <v>0</v>
      </c>
      <c r="M138">
        <v>0</v>
      </c>
      <c r="N138">
        <v>0</v>
      </c>
      <c r="O138">
        <v>0</v>
      </c>
      <c r="P138">
        <v>0</v>
      </c>
      <c r="Q138">
        <v>10</v>
      </c>
      <c r="R138">
        <v>47</v>
      </c>
      <c r="S138">
        <v>29</v>
      </c>
      <c r="T138">
        <v>0</v>
      </c>
      <c r="U138">
        <v>0</v>
      </c>
      <c r="V138">
        <v>0</v>
      </c>
      <c r="W138">
        <v>0</v>
      </c>
      <c r="X138" s="23" t="s">
        <v>54</v>
      </c>
      <c r="Y138" s="23">
        <v>0</v>
      </c>
      <c r="Z138" s="23">
        <v>0</v>
      </c>
      <c r="AA138" s="23">
        <v>0</v>
      </c>
      <c r="AB138">
        <v>0</v>
      </c>
      <c r="AC138">
        <v>0</v>
      </c>
      <c r="AD138">
        <v>0</v>
      </c>
      <c r="AE138">
        <v>0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7</v>
      </c>
      <c r="AM138">
        <v>3</v>
      </c>
      <c r="AN138" s="23" t="s">
        <v>54</v>
      </c>
      <c r="AO138" s="23" t="s">
        <v>54</v>
      </c>
      <c r="AP138" s="23">
        <v>0</v>
      </c>
      <c r="AQ138" s="23">
        <v>0</v>
      </c>
      <c r="AR138" s="37">
        <v>0</v>
      </c>
      <c r="AS138" s="37">
        <v>0</v>
      </c>
      <c r="AT138" s="37">
        <v>0</v>
      </c>
      <c r="AU138" s="33" t="str">
        <f t="shared" si="6"/>
        <v>库存为0</v>
      </c>
      <c r="AV138" s="38" t="str">
        <f>IFERROR(时间!$B$4+AU138,"上周无销量")</f>
        <v>上周无销量</v>
      </c>
    </row>
    <row r="139" spans="1:48">
      <c r="A139" s="21" t="s">
        <v>339</v>
      </c>
      <c r="B139" t="s">
        <v>340</v>
      </c>
      <c r="C139" t="s">
        <v>324</v>
      </c>
      <c r="D139" s="33">
        <v>0</v>
      </c>
      <c r="E139" s="33">
        <v>8</v>
      </c>
      <c r="F139" s="33">
        <v>0</v>
      </c>
      <c r="G139" s="33">
        <v>0</v>
      </c>
      <c r="H139" s="34">
        <v>0</v>
      </c>
      <c r="I139">
        <v>0</v>
      </c>
      <c r="J139" s="35">
        <v>0</v>
      </c>
      <c r="K139" s="35">
        <v>0</v>
      </c>
      <c r="L139" s="35">
        <v>0</v>
      </c>
      <c r="M139">
        <v>0</v>
      </c>
      <c r="N139">
        <v>0</v>
      </c>
      <c r="O139">
        <v>0</v>
      </c>
      <c r="P139">
        <v>0</v>
      </c>
      <c r="Q139">
        <v>92</v>
      </c>
      <c r="R139">
        <v>607</v>
      </c>
      <c r="S139">
        <v>731</v>
      </c>
      <c r="T139">
        <v>0</v>
      </c>
      <c r="U139">
        <v>2</v>
      </c>
      <c r="V139">
        <v>8</v>
      </c>
      <c r="W139">
        <v>8</v>
      </c>
      <c r="X139" s="23" t="s">
        <v>54</v>
      </c>
      <c r="Y139" s="23">
        <v>0.0217391304347826</v>
      </c>
      <c r="Z139" s="23">
        <v>0.0131795716639209</v>
      </c>
      <c r="AA139" s="23">
        <v>0.0109439124487004</v>
      </c>
      <c r="AB139">
        <v>0</v>
      </c>
      <c r="AC139">
        <v>0.67</v>
      </c>
      <c r="AD139">
        <v>2.78</v>
      </c>
      <c r="AE139">
        <v>2.87</v>
      </c>
      <c r="AF139" s="23" t="s">
        <v>54</v>
      </c>
      <c r="AG139" s="23" t="s">
        <v>341</v>
      </c>
      <c r="AH139" s="23" t="s">
        <v>342</v>
      </c>
      <c r="AI139" s="23" t="s">
        <v>343</v>
      </c>
      <c r="AJ139">
        <v>0</v>
      </c>
      <c r="AK139">
        <v>0</v>
      </c>
      <c r="AL139">
        <v>9</v>
      </c>
      <c r="AM139">
        <v>4</v>
      </c>
      <c r="AN139" s="23" t="s">
        <v>54</v>
      </c>
      <c r="AO139" s="23" t="s">
        <v>54</v>
      </c>
      <c r="AP139" s="23">
        <v>0</v>
      </c>
      <c r="AQ139" s="23">
        <v>0</v>
      </c>
      <c r="AR139" s="37">
        <v>0</v>
      </c>
      <c r="AS139" s="37">
        <v>0</v>
      </c>
      <c r="AT139" s="37">
        <v>0</v>
      </c>
      <c r="AU139" s="33" t="str">
        <f t="shared" si="6"/>
        <v>库存为0</v>
      </c>
      <c r="AV139" s="38" t="str">
        <f>IFERROR(时间!$B$4+AU139,"上周无销量")</f>
        <v>上周无销量</v>
      </c>
    </row>
    <row r="140" spans="1:48">
      <c r="A140" s="21" t="s">
        <v>344</v>
      </c>
      <c r="B140" t="s">
        <v>345</v>
      </c>
      <c r="C140" t="s">
        <v>324</v>
      </c>
      <c r="D140" s="33">
        <v>0</v>
      </c>
      <c r="E140" s="33">
        <v>3</v>
      </c>
      <c r="F140" s="33">
        <v>0</v>
      </c>
      <c r="G140" s="33">
        <v>0</v>
      </c>
      <c r="H140" s="34">
        <v>0</v>
      </c>
      <c r="I140">
        <v>0</v>
      </c>
      <c r="J140" s="35">
        <v>0</v>
      </c>
      <c r="K140" s="35">
        <v>0</v>
      </c>
      <c r="L140" s="35">
        <v>0</v>
      </c>
      <c r="M140">
        <v>0</v>
      </c>
      <c r="N140">
        <v>0</v>
      </c>
      <c r="O140">
        <v>0</v>
      </c>
      <c r="P140">
        <v>0</v>
      </c>
      <c r="Q140">
        <v>2</v>
      </c>
      <c r="R140">
        <v>11</v>
      </c>
      <c r="S140">
        <v>22</v>
      </c>
      <c r="T140">
        <v>0</v>
      </c>
      <c r="U140">
        <v>0</v>
      </c>
      <c r="V140">
        <v>0</v>
      </c>
      <c r="W140">
        <v>0</v>
      </c>
      <c r="X140" s="23" t="s">
        <v>54</v>
      </c>
      <c r="Y140" s="23">
        <v>0</v>
      </c>
      <c r="Z140" s="23">
        <v>0</v>
      </c>
      <c r="AA140" s="23">
        <v>0</v>
      </c>
      <c r="AB140">
        <v>0</v>
      </c>
      <c r="AC140">
        <v>0</v>
      </c>
      <c r="AD140">
        <v>0</v>
      </c>
      <c r="AE140">
        <v>0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6</v>
      </c>
      <c r="AM140">
        <v>2</v>
      </c>
      <c r="AN140" s="23" t="s">
        <v>54</v>
      </c>
      <c r="AO140" s="23" t="s">
        <v>54</v>
      </c>
      <c r="AP140" s="23">
        <v>0</v>
      </c>
      <c r="AQ140" s="23">
        <v>0</v>
      </c>
      <c r="AR140" s="37">
        <v>0</v>
      </c>
      <c r="AS140" s="37">
        <v>0</v>
      </c>
      <c r="AT140" s="37">
        <v>0</v>
      </c>
      <c r="AU140" s="33" t="str">
        <f t="shared" si="6"/>
        <v>库存为0</v>
      </c>
      <c r="AV140" s="38" t="str">
        <f>IFERROR(时间!$B$4+AU140,"上周无销量")</f>
        <v>上周无销量</v>
      </c>
    </row>
    <row r="141" spans="1:48">
      <c r="A141" s="21" t="s">
        <v>346</v>
      </c>
      <c r="B141" t="s">
        <v>347</v>
      </c>
      <c r="C141" t="s">
        <v>348</v>
      </c>
      <c r="D141" s="33">
        <v>0</v>
      </c>
      <c r="E141" s="33">
        <v>2</v>
      </c>
      <c r="F141" s="33">
        <v>0</v>
      </c>
      <c r="G141" s="33">
        <v>0</v>
      </c>
      <c r="H141" s="34">
        <v>0</v>
      </c>
      <c r="I141">
        <v>0</v>
      </c>
      <c r="J141" s="35">
        <v>0</v>
      </c>
      <c r="K141" s="35">
        <v>0</v>
      </c>
      <c r="L141" s="35">
        <v>0</v>
      </c>
      <c r="M141">
        <v>0</v>
      </c>
      <c r="N141">
        <v>0</v>
      </c>
      <c r="O141">
        <v>0</v>
      </c>
      <c r="P141">
        <v>0</v>
      </c>
      <c r="Q141">
        <v>10</v>
      </c>
      <c r="R141">
        <v>35</v>
      </c>
      <c r="S141">
        <v>341</v>
      </c>
      <c r="T141">
        <v>0</v>
      </c>
      <c r="U141">
        <v>0</v>
      </c>
      <c r="V141">
        <v>0</v>
      </c>
      <c r="W141">
        <v>1</v>
      </c>
      <c r="X141" s="23" t="s">
        <v>54</v>
      </c>
      <c r="Y141" s="23">
        <v>0</v>
      </c>
      <c r="Z141" s="23">
        <v>0</v>
      </c>
      <c r="AA141" s="23">
        <v>0.00293255131964809</v>
      </c>
      <c r="AB141">
        <v>0</v>
      </c>
      <c r="AC141">
        <v>0</v>
      </c>
      <c r="AD141">
        <v>0</v>
      </c>
      <c r="AE141">
        <v>0.07</v>
      </c>
      <c r="AF141" s="23" t="s">
        <v>54</v>
      </c>
      <c r="AG141" s="23" t="s">
        <v>54</v>
      </c>
      <c r="AH141" s="23" t="s">
        <v>54</v>
      </c>
      <c r="AI141" s="23" t="s">
        <v>336</v>
      </c>
      <c r="AJ141">
        <v>0</v>
      </c>
      <c r="AK141">
        <v>0</v>
      </c>
      <c r="AL141">
        <v>3</v>
      </c>
      <c r="AM141">
        <v>2</v>
      </c>
      <c r="AN141" s="23" t="s">
        <v>54</v>
      </c>
      <c r="AO141" s="23" t="s">
        <v>54</v>
      </c>
      <c r="AP141" s="23">
        <v>0</v>
      </c>
      <c r="AQ141" s="23">
        <v>0</v>
      </c>
      <c r="AR141" s="37">
        <v>0</v>
      </c>
      <c r="AS141" s="37">
        <v>0</v>
      </c>
      <c r="AT141" s="37">
        <v>0</v>
      </c>
      <c r="AU141" s="33" t="str">
        <f t="shared" si="6"/>
        <v>库存为0</v>
      </c>
      <c r="AV141" s="38" t="str">
        <f>IFERROR(时间!$B$4+AU141,"上周无销量")</f>
        <v>上周无销量</v>
      </c>
    </row>
    <row r="142" spans="1:48">
      <c r="A142" s="21" t="s">
        <v>349</v>
      </c>
      <c r="B142" t="s">
        <v>350</v>
      </c>
      <c r="C142" t="s">
        <v>348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1</v>
      </c>
      <c r="J142" s="35">
        <v>0</v>
      </c>
      <c r="K142" s="35">
        <v>0</v>
      </c>
      <c r="L142" s="35">
        <v>0</v>
      </c>
      <c r="M142">
        <v>1</v>
      </c>
      <c r="N142">
        <v>0</v>
      </c>
      <c r="O142">
        <v>1</v>
      </c>
      <c r="P142">
        <v>2</v>
      </c>
      <c r="Q142">
        <v>39</v>
      </c>
      <c r="R142">
        <v>58</v>
      </c>
      <c r="S142">
        <v>30</v>
      </c>
      <c r="T142">
        <v>0</v>
      </c>
      <c r="U142">
        <v>0</v>
      </c>
      <c r="V142">
        <v>0</v>
      </c>
      <c r="W142">
        <v>0</v>
      </c>
      <c r="X142" s="23">
        <v>0</v>
      </c>
      <c r="Y142" s="23">
        <v>0</v>
      </c>
      <c r="Z142" s="23">
        <v>0</v>
      </c>
      <c r="AA142" s="23">
        <v>0</v>
      </c>
      <c r="AB142">
        <v>0</v>
      </c>
      <c r="AC142">
        <v>0</v>
      </c>
      <c r="AD142">
        <v>0</v>
      </c>
      <c r="AE142">
        <v>0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2</v>
      </c>
      <c r="AK142">
        <v>4</v>
      </c>
      <c r="AL142">
        <v>3</v>
      </c>
      <c r="AM142">
        <v>4</v>
      </c>
      <c r="AN142" s="23">
        <v>0</v>
      </c>
      <c r="AO142" s="23">
        <v>0</v>
      </c>
      <c r="AP142" s="23">
        <v>0</v>
      </c>
      <c r="AQ142" s="23">
        <v>0</v>
      </c>
      <c r="AR142" s="37">
        <v>0</v>
      </c>
      <c r="AS142" s="37">
        <v>0</v>
      </c>
      <c r="AT142" s="37">
        <v>1</v>
      </c>
      <c r="AU142" s="33" t="str">
        <f t="shared" si="6"/>
        <v>库存为1</v>
      </c>
      <c r="AV142" s="38" t="str">
        <f>IFERROR(时间!$B$4+AU142,"上周无销量")</f>
        <v>上周无销量</v>
      </c>
    </row>
    <row r="143" spans="1:48">
      <c r="A143" s="21" t="s">
        <v>351</v>
      </c>
      <c r="B143" t="s">
        <v>352</v>
      </c>
      <c r="C143" t="s">
        <v>348</v>
      </c>
      <c r="D143" s="33">
        <v>0</v>
      </c>
      <c r="E143" s="33">
        <v>1</v>
      </c>
      <c r="F143" s="33">
        <v>0</v>
      </c>
      <c r="G143" s="33">
        <v>0</v>
      </c>
      <c r="H143" s="34">
        <v>17.9</v>
      </c>
      <c r="I143">
        <v>1</v>
      </c>
      <c r="J143" s="35">
        <v>0</v>
      </c>
      <c r="K143" s="35">
        <v>0</v>
      </c>
      <c r="L143" s="35">
        <v>0</v>
      </c>
      <c r="M143">
        <v>1</v>
      </c>
      <c r="N143">
        <v>0</v>
      </c>
      <c r="O143">
        <v>1</v>
      </c>
      <c r="P143">
        <v>285</v>
      </c>
      <c r="Q143">
        <v>1216</v>
      </c>
      <c r="R143">
        <v>1793</v>
      </c>
      <c r="S143">
        <v>2047</v>
      </c>
      <c r="T143">
        <v>2</v>
      </c>
      <c r="U143">
        <v>6</v>
      </c>
      <c r="V143">
        <v>8</v>
      </c>
      <c r="W143">
        <v>12</v>
      </c>
      <c r="X143" s="23">
        <v>0.00701754385964912</v>
      </c>
      <c r="Y143" s="23">
        <v>0.00493421052631579</v>
      </c>
      <c r="Z143" s="23">
        <v>0.00446179587283882</v>
      </c>
      <c r="AA143" s="23">
        <v>0.00586223742061553</v>
      </c>
      <c r="AB143">
        <v>0.19</v>
      </c>
      <c r="AC143">
        <v>1.88</v>
      </c>
      <c r="AD143">
        <v>1.44</v>
      </c>
      <c r="AE143">
        <v>3.05</v>
      </c>
      <c r="AF143" s="23" t="s">
        <v>353</v>
      </c>
      <c r="AG143" s="23">
        <v>0.105027932960894</v>
      </c>
      <c r="AH143" s="23" t="s">
        <v>354</v>
      </c>
      <c r="AI143" s="23" t="s">
        <v>355</v>
      </c>
      <c r="AJ143">
        <v>2</v>
      </c>
      <c r="AK143">
        <v>5</v>
      </c>
      <c r="AL143">
        <v>7</v>
      </c>
      <c r="AM143">
        <v>3</v>
      </c>
      <c r="AN143" s="23">
        <v>0</v>
      </c>
      <c r="AO143" s="23">
        <v>0.2</v>
      </c>
      <c r="AP143" s="23">
        <v>0</v>
      </c>
      <c r="AQ143" s="23">
        <v>0</v>
      </c>
      <c r="AR143" s="37">
        <v>0</v>
      </c>
      <c r="AS143" s="37">
        <v>0</v>
      </c>
      <c r="AT143" s="37">
        <v>1</v>
      </c>
      <c r="AU143" s="33" t="str">
        <f t="shared" si="6"/>
        <v>库存为1</v>
      </c>
      <c r="AV143" s="38" t="str">
        <f>IFERROR(时间!$B$4+AU143,"上周无销量")</f>
        <v>上周无销量</v>
      </c>
    </row>
    <row r="144" spans="1:48">
      <c r="A144" s="21" t="s">
        <v>356</v>
      </c>
      <c r="B144" t="s">
        <v>357</v>
      </c>
      <c r="C144" t="s">
        <v>348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1</v>
      </c>
      <c r="J144" s="35">
        <v>0</v>
      </c>
      <c r="K144" s="35">
        <v>0</v>
      </c>
      <c r="L144" s="35">
        <v>0</v>
      </c>
      <c r="M144">
        <v>1</v>
      </c>
      <c r="N144">
        <v>0</v>
      </c>
      <c r="O144">
        <v>1</v>
      </c>
      <c r="P144">
        <v>99</v>
      </c>
      <c r="Q144">
        <v>335</v>
      </c>
      <c r="R144">
        <v>82</v>
      </c>
      <c r="S144">
        <v>82</v>
      </c>
      <c r="T144">
        <v>1</v>
      </c>
      <c r="U144">
        <v>0</v>
      </c>
      <c r="V144">
        <v>0</v>
      </c>
      <c r="W144">
        <v>0</v>
      </c>
      <c r="X144" s="23">
        <v>0.0101010101010101</v>
      </c>
      <c r="Y144" s="23">
        <v>0</v>
      </c>
      <c r="Z144" s="23">
        <v>0</v>
      </c>
      <c r="AA144" s="23">
        <v>0</v>
      </c>
      <c r="AB144">
        <v>0.08</v>
      </c>
      <c r="AC144">
        <v>0</v>
      </c>
      <c r="AD144">
        <v>0</v>
      </c>
      <c r="AE144">
        <v>0</v>
      </c>
      <c r="AF144" s="23" t="s">
        <v>358</v>
      </c>
      <c r="AG144" s="23" t="s">
        <v>54</v>
      </c>
      <c r="AH144" s="23" t="s">
        <v>54</v>
      </c>
      <c r="AI144" s="23" t="s">
        <v>54</v>
      </c>
      <c r="AJ144">
        <v>4</v>
      </c>
      <c r="AK144">
        <v>6</v>
      </c>
      <c r="AL144">
        <v>2</v>
      </c>
      <c r="AM144">
        <v>2</v>
      </c>
      <c r="AN144" s="23">
        <v>0</v>
      </c>
      <c r="AO144" s="23">
        <v>0</v>
      </c>
      <c r="AP144" s="23">
        <v>0</v>
      </c>
      <c r="AQ144" s="23">
        <v>0</v>
      </c>
      <c r="AR144" s="37">
        <v>0</v>
      </c>
      <c r="AS144" s="37">
        <v>0</v>
      </c>
      <c r="AT144" s="37">
        <v>1</v>
      </c>
      <c r="AU144" s="33" t="str">
        <f t="shared" si="6"/>
        <v>库存为1</v>
      </c>
      <c r="AV144" s="38" t="str">
        <f>IFERROR(时间!$B$4+AU144,"上周无销量")</f>
        <v>上周无销量</v>
      </c>
    </row>
    <row r="145" spans="1:48">
      <c r="A145" s="21" t="s">
        <v>359</v>
      </c>
      <c r="B145" t="s">
        <v>360</v>
      </c>
      <c r="C145" t="s">
        <v>348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1</v>
      </c>
      <c r="J145" s="35">
        <v>0</v>
      </c>
      <c r="K145" s="35">
        <v>0</v>
      </c>
      <c r="L145" s="35">
        <v>0</v>
      </c>
      <c r="M145">
        <v>1</v>
      </c>
      <c r="N145">
        <v>0</v>
      </c>
      <c r="O145">
        <v>1</v>
      </c>
      <c r="P145">
        <v>192</v>
      </c>
      <c r="Q145">
        <v>53</v>
      </c>
      <c r="R145">
        <v>234</v>
      </c>
      <c r="S145">
        <v>211</v>
      </c>
      <c r="T145">
        <v>0</v>
      </c>
      <c r="U145">
        <v>0</v>
      </c>
      <c r="V145">
        <v>0</v>
      </c>
      <c r="W145">
        <v>0</v>
      </c>
      <c r="X145" s="23">
        <v>0</v>
      </c>
      <c r="Y145" s="23">
        <v>0</v>
      </c>
      <c r="Z145" s="23">
        <v>0</v>
      </c>
      <c r="AA145" s="23">
        <v>0</v>
      </c>
      <c r="AB145">
        <v>0</v>
      </c>
      <c r="AC145">
        <v>0</v>
      </c>
      <c r="AD145">
        <v>0</v>
      </c>
      <c r="AE145">
        <v>0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4</v>
      </c>
      <c r="AK145">
        <v>2</v>
      </c>
      <c r="AL145">
        <v>1</v>
      </c>
      <c r="AM145">
        <v>3</v>
      </c>
      <c r="AN145" s="23">
        <v>0</v>
      </c>
      <c r="AO145" s="23">
        <v>0</v>
      </c>
      <c r="AP145" s="23">
        <v>0</v>
      </c>
      <c r="AQ145" s="23">
        <v>0</v>
      </c>
      <c r="AR145" s="37">
        <v>0</v>
      </c>
      <c r="AS145" s="37">
        <v>0</v>
      </c>
      <c r="AT145" s="37">
        <v>1</v>
      </c>
      <c r="AU145" s="33" t="str">
        <f t="shared" si="6"/>
        <v>库存为1</v>
      </c>
      <c r="AV145" s="38" t="str">
        <f>IFERROR(时间!$B$4+AU145,"上周无销量")</f>
        <v>上周无销量</v>
      </c>
    </row>
    <row r="146" spans="1:48">
      <c r="A146" s="21" t="s">
        <v>361</v>
      </c>
      <c r="B146" t="s">
        <v>362</v>
      </c>
      <c r="C146" t="s">
        <v>348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1</v>
      </c>
      <c r="J146" s="35">
        <v>0</v>
      </c>
      <c r="K146" s="35">
        <v>0</v>
      </c>
      <c r="L146" s="35">
        <v>0</v>
      </c>
      <c r="M146">
        <v>1</v>
      </c>
      <c r="N146">
        <v>0</v>
      </c>
      <c r="O146">
        <v>1</v>
      </c>
      <c r="P146">
        <v>216</v>
      </c>
      <c r="Q146">
        <v>94</v>
      </c>
      <c r="R146">
        <v>151</v>
      </c>
      <c r="S146">
        <v>353</v>
      </c>
      <c r="T146">
        <v>0</v>
      </c>
      <c r="U146">
        <v>0</v>
      </c>
      <c r="V146">
        <v>0</v>
      </c>
      <c r="W146">
        <v>2</v>
      </c>
      <c r="X146" s="23">
        <v>0</v>
      </c>
      <c r="Y146" s="23">
        <v>0</v>
      </c>
      <c r="Z146" s="23">
        <v>0</v>
      </c>
      <c r="AA146" s="23">
        <v>0.0056657223796034</v>
      </c>
      <c r="AB146">
        <v>0</v>
      </c>
      <c r="AC146">
        <v>0</v>
      </c>
      <c r="AD146">
        <v>0</v>
      </c>
      <c r="AE146">
        <v>0.14</v>
      </c>
      <c r="AF146" s="23" t="s">
        <v>54</v>
      </c>
      <c r="AG146" s="23" t="s">
        <v>54</v>
      </c>
      <c r="AH146" s="23" t="s">
        <v>54</v>
      </c>
      <c r="AI146" s="23" t="s">
        <v>302</v>
      </c>
      <c r="AJ146">
        <v>2</v>
      </c>
      <c r="AK146">
        <v>2</v>
      </c>
      <c r="AL146">
        <v>3</v>
      </c>
      <c r="AM146">
        <v>3</v>
      </c>
      <c r="AN146" s="23">
        <v>0</v>
      </c>
      <c r="AO146" s="23">
        <v>0</v>
      </c>
      <c r="AP146" s="23">
        <v>0</v>
      </c>
      <c r="AQ146" s="23">
        <v>0</v>
      </c>
      <c r="AR146" s="37">
        <v>0</v>
      </c>
      <c r="AS146" s="37">
        <v>0</v>
      </c>
      <c r="AT146" s="37">
        <v>1</v>
      </c>
      <c r="AU146" s="33" t="str">
        <f t="shared" si="6"/>
        <v>库存为1</v>
      </c>
      <c r="AV146" s="38" t="str">
        <f>IFERROR(时间!$B$4+AU146,"上周无销量")</f>
        <v>上周无销量</v>
      </c>
    </row>
    <row r="147" spans="1:48">
      <c r="A147" s="21" t="s">
        <v>363</v>
      </c>
      <c r="B147" t="s">
        <v>364</v>
      </c>
      <c r="C147" t="s">
        <v>365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1</v>
      </c>
      <c r="J147" s="35">
        <v>0</v>
      </c>
      <c r="K147" s="35">
        <v>0</v>
      </c>
      <c r="L147" s="35">
        <v>0</v>
      </c>
      <c r="M147">
        <v>1</v>
      </c>
      <c r="N147">
        <v>0</v>
      </c>
      <c r="O147">
        <v>1</v>
      </c>
      <c r="P147">
        <v>48</v>
      </c>
      <c r="Q147">
        <v>12</v>
      </c>
      <c r="R147">
        <v>33</v>
      </c>
      <c r="S147">
        <v>49</v>
      </c>
      <c r="T147">
        <v>0</v>
      </c>
      <c r="U147">
        <v>0</v>
      </c>
      <c r="V147">
        <v>0</v>
      </c>
      <c r="W147">
        <v>1</v>
      </c>
      <c r="X147" s="23">
        <v>0</v>
      </c>
      <c r="Y147" s="23">
        <v>0</v>
      </c>
      <c r="Z147" s="23">
        <v>0</v>
      </c>
      <c r="AA147" s="23">
        <v>0.0204081632653061</v>
      </c>
      <c r="AB147">
        <v>0</v>
      </c>
      <c r="AC147">
        <v>0</v>
      </c>
      <c r="AD147">
        <v>0</v>
      </c>
      <c r="AE147">
        <v>0.21</v>
      </c>
      <c r="AF147" s="23" t="s">
        <v>54</v>
      </c>
      <c r="AG147" s="23" t="s">
        <v>54</v>
      </c>
      <c r="AH147" s="23" t="s">
        <v>54</v>
      </c>
      <c r="AI147" s="23" t="s">
        <v>366</v>
      </c>
      <c r="AJ147">
        <v>4</v>
      </c>
      <c r="AK147">
        <v>3</v>
      </c>
      <c r="AL147">
        <v>3</v>
      </c>
      <c r="AM147">
        <v>2</v>
      </c>
      <c r="AN147" s="23">
        <v>0</v>
      </c>
      <c r="AO147" s="23">
        <v>0</v>
      </c>
      <c r="AP147" s="23">
        <v>0</v>
      </c>
      <c r="AQ147" s="23">
        <v>0</v>
      </c>
      <c r="AR147" s="37">
        <v>0</v>
      </c>
      <c r="AS147" s="37">
        <v>0</v>
      </c>
      <c r="AT147" s="37">
        <v>1</v>
      </c>
      <c r="AU147" s="33" t="str">
        <f t="shared" si="6"/>
        <v>库存为1</v>
      </c>
      <c r="AV147" s="38" t="str">
        <f>IFERROR(时间!$B$4+AU147,"上周无销量")</f>
        <v>上周无销量</v>
      </c>
    </row>
    <row r="148" spans="1:48">
      <c r="A148" s="21" t="s">
        <v>367</v>
      </c>
      <c r="B148" t="s">
        <v>368</v>
      </c>
      <c r="C148" t="s">
        <v>365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1</v>
      </c>
      <c r="J148" s="35">
        <v>0</v>
      </c>
      <c r="K148" s="35">
        <v>0</v>
      </c>
      <c r="L148" s="35">
        <v>0</v>
      </c>
      <c r="M148">
        <v>1</v>
      </c>
      <c r="N148">
        <v>0</v>
      </c>
      <c r="O148">
        <v>1</v>
      </c>
      <c r="P148">
        <v>80</v>
      </c>
      <c r="Q148">
        <v>116</v>
      </c>
      <c r="R148">
        <v>149</v>
      </c>
      <c r="S148">
        <v>92</v>
      </c>
      <c r="T148">
        <v>0</v>
      </c>
      <c r="U148">
        <v>0</v>
      </c>
      <c r="V148">
        <v>0</v>
      </c>
      <c r="W148">
        <v>0</v>
      </c>
      <c r="X148" s="23">
        <v>0</v>
      </c>
      <c r="Y148" s="23">
        <v>0</v>
      </c>
      <c r="Z148" s="23">
        <v>0</v>
      </c>
      <c r="AA148" s="23">
        <v>0</v>
      </c>
      <c r="AB148">
        <v>0</v>
      </c>
      <c r="AC148">
        <v>0</v>
      </c>
      <c r="AD148">
        <v>0</v>
      </c>
      <c r="AE148">
        <v>0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2</v>
      </c>
      <c r="AK148">
        <v>2</v>
      </c>
      <c r="AL148">
        <v>3</v>
      </c>
      <c r="AM148">
        <v>1</v>
      </c>
      <c r="AN148" s="23">
        <v>0</v>
      </c>
      <c r="AO148" s="23">
        <v>0</v>
      </c>
      <c r="AP148" s="23">
        <v>0</v>
      </c>
      <c r="AQ148" s="23">
        <v>0</v>
      </c>
      <c r="AR148" s="37">
        <v>0</v>
      </c>
      <c r="AS148" s="37">
        <v>0</v>
      </c>
      <c r="AT148" s="37">
        <v>1</v>
      </c>
      <c r="AU148" s="33" t="str">
        <f t="shared" si="6"/>
        <v>库存为1</v>
      </c>
      <c r="AV148" s="38" t="str">
        <f>IFERROR(时间!$B$4+AU148,"上周无销量")</f>
        <v>上周无销量</v>
      </c>
    </row>
    <row r="149" spans="1:48">
      <c r="A149" s="21" t="s">
        <v>369</v>
      </c>
      <c r="B149" t="s">
        <v>370</v>
      </c>
      <c r="C149" t="s">
        <v>365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1</v>
      </c>
      <c r="P149">
        <v>37</v>
      </c>
      <c r="Q149">
        <v>179</v>
      </c>
      <c r="R149">
        <v>400</v>
      </c>
      <c r="S149">
        <v>497</v>
      </c>
      <c r="T149">
        <v>0</v>
      </c>
      <c r="U149">
        <v>0</v>
      </c>
      <c r="V149">
        <v>0</v>
      </c>
      <c r="W149">
        <v>0</v>
      </c>
      <c r="X149" s="23">
        <v>0</v>
      </c>
      <c r="Y149" s="23">
        <v>0</v>
      </c>
      <c r="Z149" s="23">
        <v>0</v>
      </c>
      <c r="AA149" s="23">
        <v>0</v>
      </c>
      <c r="AB149">
        <v>0</v>
      </c>
      <c r="AC149">
        <v>0</v>
      </c>
      <c r="AD149">
        <v>0</v>
      </c>
      <c r="AE149">
        <v>0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6</v>
      </c>
      <c r="AK149">
        <v>4</v>
      </c>
      <c r="AL149">
        <v>1</v>
      </c>
      <c r="AM149">
        <v>2</v>
      </c>
      <c r="AN149" s="23">
        <v>0</v>
      </c>
      <c r="AO149" s="23">
        <v>0</v>
      </c>
      <c r="AP149" s="23">
        <v>0</v>
      </c>
      <c r="AQ149" s="23">
        <v>0</v>
      </c>
      <c r="AR149" s="37">
        <v>0</v>
      </c>
      <c r="AS149" s="37">
        <v>0</v>
      </c>
      <c r="AT149" s="37">
        <v>1</v>
      </c>
      <c r="AU149" s="33" t="str">
        <f t="shared" si="6"/>
        <v>库存为1</v>
      </c>
      <c r="AV149" s="38" t="str">
        <f>IFERROR(时间!$B$4+AU149,"上周无销量")</f>
        <v>上周无销量</v>
      </c>
    </row>
    <row r="150" spans="1:48">
      <c r="A150" s="21" t="s">
        <v>371</v>
      </c>
      <c r="B150" t="s">
        <v>372</v>
      </c>
      <c r="C150" t="s">
        <v>365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7">
        <v>0</v>
      </c>
      <c r="AS150" s="37">
        <v>0</v>
      </c>
      <c r="AT150" s="37">
        <v>0</v>
      </c>
      <c r="AU150" s="33" t="str">
        <f t="shared" si="6"/>
        <v>库存为0</v>
      </c>
      <c r="AV150" s="38" t="str">
        <f>IFERROR(时间!$B$4+AU150,"上周无销量")</f>
        <v>上周无销量</v>
      </c>
    </row>
    <row r="151" spans="1:48">
      <c r="A151" s="21" t="s">
        <v>373</v>
      </c>
      <c r="B151" t="s">
        <v>374</v>
      </c>
      <c r="C151" t="s">
        <v>375</v>
      </c>
      <c r="D151" s="33">
        <v>0</v>
      </c>
      <c r="E151" s="33">
        <v>2</v>
      </c>
      <c r="F151" s="33">
        <v>0</v>
      </c>
      <c r="G151" s="33">
        <v>0</v>
      </c>
      <c r="H151" s="34">
        <v>0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>
        <v>0</v>
      </c>
      <c r="Q151">
        <v>3</v>
      </c>
      <c r="R151">
        <v>71</v>
      </c>
      <c r="S151">
        <v>37</v>
      </c>
      <c r="T151">
        <v>0</v>
      </c>
      <c r="U151">
        <v>0</v>
      </c>
      <c r="V151">
        <v>1</v>
      </c>
      <c r="W151">
        <v>0</v>
      </c>
      <c r="X151" s="23" t="s">
        <v>54</v>
      </c>
      <c r="Y151" s="23">
        <v>0</v>
      </c>
      <c r="Z151" s="23">
        <v>0.0140845070422535</v>
      </c>
      <c r="AA151" s="23">
        <v>0</v>
      </c>
      <c r="AB151">
        <v>0</v>
      </c>
      <c r="AC151">
        <v>0</v>
      </c>
      <c r="AD151">
        <v>0.55</v>
      </c>
      <c r="AE151">
        <v>0</v>
      </c>
      <c r="AF151" s="23" t="s">
        <v>54</v>
      </c>
      <c r="AG151" s="23" t="s">
        <v>54</v>
      </c>
      <c r="AH151" s="23" t="s">
        <v>376</v>
      </c>
      <c r="AI151" s="23" t="s">
        <v>54</v>
      </c>
      <c r="AJ151">
        <v>0</v>
      </c>
      <c r="AK151">
        <v>0</v>
      </c>
      <c r="AL151">
        <v>6</v>
      </c>
      <c r="AM151">
        <v>4</v>
      </c>
      <c r="AN151" s="23" t="s">
        <v>54</v>
      </c>
      <c r="AO151" s="23" t="s">
        <v>54</v>
      </c>
      <c r="AP151" s="23">
        <v>0</v>
      </c>
      <c r="AQ151" s="23">
        <v>0</v>
      </c>
      <c r="AR151" s="37">
        <v>0</v>
      </c>
      <c r="AS151" s="37">
        <v>0</v>
      </c>
      <c r="AT151" s="37">
        <v>0</v>
      </c>
      <c r="AU151" s="33" t="str">
        <f t="shared" si="6"/>
        <v>库存为0</v>
      </c>
      <c r="AV151" s="38" t="str">
        <f>IFERROR(时间!$B$4+AU151,"上周无销量")</f>
        <v>上周无销量</v>
      </c>
    </row>
    <row r="152" spans="1:48">
      <c r="A152" s="21" t="s">
        <v>377</v>
      </c>
      <c r="B152" t="s">
        <v>378</v>
      </c>
      <c r="C152" t="s">
        <v>375</v>
      </c>
      <c r="D152" s="33">
        <v>0</v>
      </c>
      <c r="E152" s="33">
        <v>2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>
        <v>0</v>
      </c>
      <c r="Q152">
        <v>384</v>
      </c>
      <c r="R152">
        <v>3386</v>
      </c>
      <c r="S152">
        <v>3507</v>
      </c>
      <c r="T152">
        <v>0</v>
      </c>
      <c r="U152">
        <v>0</v>
      </c>
      <c r="V152">
        <v>3</v>
      </c>
      <c r="W152">
        <v>2</v>
      </c>
      <c r="X152" s="23" t="s">
        <v>54</v>
      </c>
      <c r="Y152" s="23">
        <v>0</v>
      </c>
      <c r="Z152" s="23">
        <v>0.000886001181334908</v>
      </c>
      <c r="AA152" s="23">
        <v>0.000570287995437696</v>
      </c>
      <c r="AB152">
        <v>0</v>
      </c>
      <c r="AC152">
        <v>0</v>
      </c>
      <c r="AD152">
        <v>1.18</v>
      </c>
      <c r="AE152">
        <v>0.68</v>
      </c>
      <c r="AF152" s="23" t="s">
        <v>54</v>
      </c>
      <c r="AG152" s="23" t="s">
        <v>54</v>
      </c>
      <c r="AH152" s="23" t="s">
        <v>379</v>
      </c>
      <c r="AI152" s="23" t="s">
        <v>380</v>
      </c>
      <c r="AJ152">
        <v>0</v>
      </c>
      <c r="AK152">
        <v>0</v>
      </c>
      <c r="AL152">
        <v>5</v>
      </c>
      <c r="AM152">
        <v>4</v>
      </c>
      <c r="AN152" s="23" t="s">
        <v>54</v>
      </c>
      <c r="AO152" s="23" t="s">
        <v>54</v>
      </c>
      <c r="AP152" s="23">
        <v>0</v>
      </c>
      <c r="AQ152" s="23">
        <v>0</v>
      </c>
      <c r="AR152" s="37">
        <v>0</v>
      </c>
      <c r="AS152" s="37">
        <v>0</v>
      </c>
      <c r="AT152" s="37">
        <v>0</v>
      </c>
      <c r="AU152" s="33" t="str">
        <f t="shared" si="6"/>
        <v>库存为0</v>
      </c>
      <c r="AV152" s="38" t="str">
        <f>IFERROR(时间!$B$4+AU152,"上周无销量")</f>
        <v>上周无销量</v>
      </c>
    </row>
    <row r="153" spans="1:48">
      <c r="A153" s="21" t="s">
        <v>381</v>
      </c>
      <c r="B153" t="s">
        <v>382</v>
      </c>
      <c r="C153" t="s">
        <v>375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1</v>
      </c>
      <c r="J153" s="35">
        <v>0</v>
      </c>
      <c r="K153" s="35">
        <v>0</v>
      </c>
      <c r="L153" s="35">
        <v>0</v>
      </c>
      <c r="M153">
        <v>1</v>
      </c>
      <c r="N153">
        <v>0</v>
      </c>
      <c r="O153">
        <v>1</v>
      </c>
      <c r="P153">
        <v>129</v>
      </c>
      <c r="Q153">
        <v>104</v>
      </c>
      <c r="R153">
        <v>34</v>
      </c>
      <c r="S153">
        <v>57</v>
      </c>
      <c r="T153">
        <v>2</v>
      </c>
      <c r="U153">
        <v>0</v>
      </c>
      <c r="V153">
        <v>0</v>
      </c>
      <c r="W153">
        <v>1</v>
      </c>
      <c r="X153" s="23">
        <v>0.0155038759689922</v>
      </c>
      <c r="Y153" s="23">
        <v>0</v>
      </c>
      <c r="Z153" s="23">
        <v>0</v>
      </c>
      <c r="AA153" s="23">
        <v>0.0175438596491228</v>
      </c>
      <c r="AB153">
        <v>0.12</v>
      </c>
      <c r="AC153">
        <v>0</v>
      </c>
      <c r="AD153">
        <v>0</v>
      </c>
      <c r="AE153">
        <v>0.6</v>
      </c>
      <c r="AF153" s="23" t="s">
        <v>296</v>
      </c>
      <c r="AG153" s="23" t="s">
        <v>54</v>
      </c>
      <c r="AH153" s="23" t="s">
        <v>54</v>
      </c>
      <c r="AI153" s="23" t="s">
        <v>383</v>
      </c>
      <c r="AJ153">
        <v>6</v>
      </c>
      <c r="AK153">
        <v>2</v>
      </c>
      <c r="AL153">
        <v>2</v>
      </c>
      <c r="AM153">
        <v>2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1</v>
      </c>
      <c r="AU153" s="33" t="str">
        <f t="shared" si="6"/>
        <v>库存为1</v>
      </c>
      <c r="AV153" s="38" t="str">
        <f>IFERROR(时间!$B$4+AU153,"上周无销量")</f>
        <v>上周无销量</v>
      </c>
    </row>
    <row r="154" spans="1:48">
      <c r="A154" s="21" t="s">
        <v>384</v>
      </c>
      <c r="B154" t="s">
        <v>385</v>
      </c>
      <c r="C154" t="s">
        <v>375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1</v>
      </c>
      <c r="J154" s="35">
        <v>0</v>
      </c>
      <c r="K154" s="35">
        <v>0</v>
      </c>
      <c r="L154" s="35">
        <v>0</v>
      </c>
      <c r="M154">
        <v>1</v>
      </c>
      <c r="N154">
        <v>0</v>
      </c>
      <c r="O154">
        <v>1</v>
      </c>
      <c r="P154">
        <v>82</v>
      </c>
      <c r="Q154">
        <v>173</v>
      </c>
      <c r="R154">
        <v>125</v>
      </c>
      <c r="S154">
        <v>386</v>
      </c>
      <c r="T154">
        <v>0</v>
      </c>
      <c r="U154">
        <v>2</v>
      </c>
      <c r="V154">
        <v>0</v>
      </c>
      <c r="W154">
        <v>1</v>
      </c>
      <c r="X154" s="23">
        <v>0</v>
      </c>
      <c r="Y154" s="23">
        <v>0.0115606936416185</v>
      </c>
      <c r="Z154" s="23">
        <v>0</v>
      </c>
      <c r="AA154" s="23">
        <v>0.00259067357512953</v>
      </c>
      <c r="AB154">
        <v>0</v>
      </c>
      <c r="AC154">
        <v>0.44</v>
      </c>
      <c r="AD154">
        <v>0</v>
      </c>
      <c r="AE154">
        <v>0.09</v>
      </c>
      <c r="AF154" s="23" t="s">
        <v>54</v>
      </c>
      <c r="AG154" s="23" t="s">
        <v>264</v>
      </c>
      <c r="AH154" s="23" t="s">
        <v>54</v>
      </c>
      <c r="AI154" s="23" t="s">
        <v>386</v>
      </c>
      <c r="AJ154">
        <v>3</v>
      </c>
      <c r="AK154">
        <v>3</v>
      </c>
      <c r="AL154">
        <v>3</v>
      </c>
      <c r="AM154">
        <v>1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1</v>
      </c>
      <c r="AU154" s="33" t="str">
        <f t="shared" si="6"/>
        <v>库存为1</v>
      </c>
      <c r="AV154" s="38" t="str">
        <f>IFERROR(时间!$B$4+AU154,"上周无销量")</f>
        <v>上周无销量</v>
      </c>
    </row>
    <row r="155" spans="1:48">
      <c r="A155" s="21" t="s">
        <v>387</v>
      </c>
      <c r="B155" t="s">
        <v>388</v>
      </c>
      <c r="C155" t="s">
        <v>375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1</v>
      </c>
      <c r="J155" s="35">
        <v>0</v>
      </c>
      <c r="K155" s="35">
        <v>0</v>
      </c>
      <c r="L155" s="35">
        <v>0</v>
      </c>
      <c r="M155">
        <v>1</v>
      </c>
      <c r="N155">
        <v>0</v>
      </c>
      <c r="O155">
        <v>1</v>
      </c>
      <c r="P155">
        <v>0</v>
      </c>
      <c r="Q155">
        <v>77</v>
      </c>
      <c r="R155">
        <v>68</v>
      </c>
      <c r="S155">
        <v>92</v>
      </c>
      <c r="T155">
        <v>0</v>
      </c>
      <c r="U155">
        <v>0</v>
      </c>
      <c r="V155">
        <v>0</v>
      </c>
      <c r="W155">
        <v>1</v>
      </c>
      <c r="X155" s="23" t="s">
        <v>54</v>
      </c>
      <c r="Y155" s="23">
        <v>0</v>
      </c>
      <c r="Z155" s="23">
        <v>0</v>
      </c>
      <c r="AA155" s="23">
        <v>0.0108695652173913</v>
      </c>
      <c r="AB155">
        <v>0</v>
      </c>
      <c r="AC155">
        <v>0</v>
      </c>
      <c r="AD155">
        <v>0</v>
      </c>
      <c r="AE155">
        <v>0.14</v>
      </c>
      <c r="AF155" s="23" t="s">
        <v>54</v>
      </c>
      <c r="AG155" s="23" t="s">
        <v>54</v>
      </c>
      <c r="AH155" s="23" t="s">
        <v>54</v>
      </c>
      <c r="AI155" s="23" t="s">
        <v>302</v>
      </c>
      <c r="AJ155">
        <v>1</v>
      </c>
      <c r="AK155">
        <v>3</v>
      </c>
      <c r="AL155">
        <v>4</v>
      </c>
      <c r="AM155">
        <v>2</v>
      </c>
      <c r="AN155" s="23">
        <v>0</v>
      </c>
      <c r="AO155" s="23">
        <v>0</v>
      </c>
      <c r="AP155" s="23">
        <v>0</v>
      </c>
      <c r="AQ155" s="23">
        <v>0</v>
      </c>
      <c r="AR155" s="37">
        <v>0</v>
      </c>
      <c r="AS155" s="37">
        <v>0</v>
      </c>
      <c r="AT155" s="37">
        <v>1</v>
      </c>
      <c r="AU155" s="33" t="str">
        <f t="shared" si="6"/>
        <v>库存为1</v>
      </c>
      <c r="AV155" s="38" t="str">
        <f>IFERROR(时间!$B$4+AU155,"上周无销量")</f>
        <v>上周无销量</v>
      </c>
    </row>
    <row r="156" spans="1:48">
      <c r="A156" s="21" t="s">
        <v>389</v>
      </c>
      <c r="B156" t="s">
        <v>390</v>
      </c>
      <c r="C156" t="s">
        <v>375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1</v>
      </c>
      <c r="J156" s="35">
        <v>0</v>
      </c>
      <c r="K156" s="35">
        <v>0</v>
      </c>
      <c r="L156" s="35">
        <v>0</v>
      </c>
      <c r="M156">
        <v>1</v>
      </c>
      <c r="N156">
        <v>0</v>
      </c>
      <c r="O156">
        <v>1</v>
      </c>
      <c r="P156">
        <v>60</v>
      </c>
      <c r="Q156">
        <v>58</v>
      </c>
      <c r="R156">
        <v>108</v>
      </c>
      <c r="S156">
        <v>76</v>
      </c>
      <c r="T156">
        <v>0</v>
      </c>
      <c r="U156">
        <v>0</v>
      </c>
      <c r="V156">
        <v>1</v>
      </c>
      <c r="W156">
        <v>0</v>
      </c>
      <c r="X156" s="23">
        <v>0</v>
      </c>
      <c r="Y156" s="23">
        <v>0</v>
      </c>
      <c r="Z156" s="23">
        <v>0.00925925925925926</v>
      </c>
      <c r="AA156" s="23">
        <v>0</v>
      </c>
      <c r="AB156">
        <v>0</v>
      </c>
      <c r="AC156">
        <v>0</v>
      </c>
      <c r="AD156">
        <v>0.04</v>
      </c>
      <c r="AE156">
        <v>0</v>
      </c>
      <c r="AF156" s="23" t="s">
        <v>54</v>
      </c>
      <c r="AG156" s="23" t="s">
        <v>54</v>
      </c>
      <c r="AH156" s="23" t="s">
        <v>391</v>
      </c>
      <c r="AI156" s="23" t="s">
        <v>54</v>
      </c>
      <c r="AJ156">
        <v>3</v>
      </c>
      <c r="AK156">
        <v>2</v>
      </c>
      <c r="AL156">
        <v>4</v>
      </c>
      <c r="AM156">
        <v>2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1</v>
      </c>
      <c r="AU156" s="33" t="str">
        <f t="shared" si="6"/>
        <v>库存为1</v>
      </c>
      <c r="AV156" s="38" t="str">
        <f>IFERROR(时间!$B$4+AU156,"上周无销量")</f>
        <v>上周无销量</v>
      </c>
    </row>
    <row r="157" spans="1:48">
      <c r="A157" s="21" t="s">
        <v>392</v>
      </c>
      <c r="B157" t="s">
        <v>393</v>
      </c>
      <c r="C157" t="s">
        <v>375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1</v>
      </c>
      <c r="J157" s="35">
        <v>0</v>
      </c>
      <c r="K157" s="35">
        <v>0</v>
      </c>
      <c r="L157" s="35">
        <v>0</v>
      </c>
      <c r="M157">
        <v>1</v>
      </c>
      <c r="N157">
        <v>0</v>
      </c>
      <c r="O157">
        <v>1</v>
      </c>
      <c r="P157">
        <v>64</v>
      </c>
      <c r="Q157">
        <v>55</v>
      </c>
      <c r="R157">
        <v>71</v>
      </c>
      <c r="S157">
        <v>95</v>
      </c>
      <c r="T157">
        <v>0</v>
      </c>
      <c r="U157">
        <v>0</v>
      </c>
      <c r="V157">
        <v>0</v>
      </c>
      <c r="W157">
        <v>0</v>
      </c>
      <c r="X157" s="23">
        <v>0</v>
      </c>
      <c r="Y157" s="23">
        <v>0</v>
      </c>
      <c r="Z157" s="23">
        <v>0</v>
      </c>
      <c r="AA157" s="23">
        <v>0</v>
      </c>
      <c r="AB157">
        <v>0</v>
      </c>
      <c r="AC157">
        <v>0</v>
      </c>
      <c r="AD157">
        <v>0</v>
      </c>
      <c r="AE157">
        <v>0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1</v>
      </c>
      <c r="AK157">
        <v>1</v>
      </c>
      <c r="AL157">
        <v>3</v>
      </c>
      <c r="AM157">
        <v>1</v>
      </c>
      <c r="AN157" s="23">
        <v>0</v>
      </c>
      <c r="AO157" s="23">
        <v>0</v>
      </c>
      <c r="AP157" s="23">
        <v>0</v>
      </c>
      <c r="AQ157" s="23">
        <v>0</v>
      </c>
      <c r="AR157" s="37">
        <v>0</v>
      </c>
      <c r="AS157" s="37">
        <v>0</v>
      </c>
      <c r="AT157" s="37">
        <v>1</v>
      </c>
      <c r="AU157" s="33" t="str">
        <f t="shared" si="6"/>
        <v>库存为1</v>
      </c>
      <c r="AV157" s="38" t="str">
        <f>IFERROR(时间!$B$4+AU157,"上周无销量")</f>
        <v>上周无销量</v>
      </c>
    </row>
    <row r="158" spans="1:48">
      <c r="A158" s="21" t="s">
        <v>394</v>
      </c>
      <c r="B158" t="s">
        <v>395</v>
      </c>
      <c r="C158" t="s">
        <v>375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7">
        <v>0</v>
      </c>
      <c r="AS158" s="37">
        <v>0</v>
      </c>
      <c r="AT158" s="37">
        <v>0</v>
      </c>
      <c r="AU158" s="33" t="str">
        <f t="shared" si="6"/>
        <v>库存为0</v>
      </c>
      <c r="AV158" s="38" t="str">
        <f>IFERROR(时间!$B$4+AU158,"上周无销量")</f>
        <v>上周无销量</v>
      </c>
    </row>
    <row r="159" spans="1:48">
      <c r="A159" s="21" t="s">
        <v>396</v>
      </c>
      <c r="B159" t="s">
        <v>397</v>
      </c>
      <c r="C159" t="s">
        <v>398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0</v>
      </c>
      <c r="J159" s="35">
        <v>0</v>
      </c>
      <c r="K159" s="35">
        <v>0</v>
      </c>
      <c r="L159" s="35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7">
        <v>0</v>
      </c>
      <c r="AS159" s="37">
        <v>0</v>
      </c>
      <c r="AT159" s="37">
        <v>0</v>
      </c>
      <c r="AU159" s="33" t="str">
        <f t="shared" si="6"/>
        <v>库存为0</v>
      </c>
      <c r="AV159" s="38" t="str">
        <f>IFERROR(时间!$B$4+AU159,"上周无销量")</f>
        <v>上周无销量</v>
      </c>
    </row>
    <row r="160" spans="1:48">
      <c r="A160" s="21" t="s">
        <v>399</v>
      </c>
      <c r="B160" t="s">
        <v>400</v>
      </c>
      <c r="C160" t="s">
        <v>398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7">
        <v>0</v>
      </c>
      <c r="AS160" s="37">
        <v>0</v>
      </c>
      <c r="AT160" s="37">
        <v>0</v>
      </c>
      <c r="AU160" s="33" t="str">
        <f t="shared" si="6"/>
        <v>库存为0</v>
      </c>
      <c r="AV160" s="38" t="str">
        <f>IFERROR(时间!$B$4+AU160,"上周无销量")</f>
        <v>上周无销量</v>
      </c>
    </row>
    <row r="161" spans="1:48">
      <c r="A161" s="21" t="s">
        <v>401</v>
      </c>
      <c r="B161" t="s">
        <v>402</v>
      </c>
      <c r="C161" t="s">
        <v>398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7">
        <v>0</v>
      </c>
      <c r="AS161" s="37">
        <v>0</v>
      </c>
      <c r="AT161" s="37">
        <v>0</v>
      </c>
      <c r="AU161" s="33" t="str">
        <f t="shared" si="6"/>
        <v>库存为0</v>
      </c>
      <c r="AV161" s="38" t="str">
        <f>IFERROR(时间!$B$4+AU161,"上周无销量")</f>
        <v>上周无销量</v>
      </c>
    </row>
    <row r="162" spans="1:48">
      <c r="A162" s="21" t="s">
        <v>403</v>
      </c>
      <c r="B162" t="s">
        <v>404</v>
      </c>
      <c r="C162" t="s">
        <v>398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1</v>
      </c>
      <c r="J162" s="35">
        <v>0</v>
      </c>
      <c r="K162" s="35">
        <v>0</v>
      </c>
      <c r="L162" s="35">
        <v>0</v>
      </c>
      <c r="M162">
        <v>1</v>
      </c>
      <c r="N162">
        <v>0</v>
      </c>
      <c r="O162">
        <v>1</v>
      </c>
      <c r="P162">
        <v>119</v>
      </c>
      <c r="Q162">
        <v>381</v>
      </c>
      <c r="R162">
        <v>643</v>
      </c>
      <c r="S162">
        <v>514</v>
      </c>
      <c r="T162">
        <v>0</v>
      </c>
      <c r="U162">
        <v>5</v>
      </c>
      <c r="V162">
        <v>5</v>
      </c>
      <c r="W162">
        <v>6</v>
      </c>
      <c r="X162" s="23">
        <v>0</v>
      </c>
      <c r="Y162" s="23">
        <v>0.0131233595800525</v>
      </c>
      <c r="Z162" s="23">
        <v>0.00777604976671851</v>
      </c>
      <c r="AA162" s="23">
        <v>0.0116731517509728</v>
      </c>
      <c r="AB162">
        <v>0</v>
      </c>
      <c r="AC162">
        <v>2.12</v>
      </c>
      <c r="AD162">
        <v>1.19</v>
      </c>
      <c r="AE162">
        <v>2.57</v>
      </c>
      <c r="AF162" s="23" t="s">
        <v>54</v>
      </c>
      <c r="AG162" s="23" t="s">
        <v>405</v>
      </c>
      <c r="AH162" s="23" t="s">
        <v>406</v>
      </c>
      <c r="AI162" s="23" t="s">
        <v>407</v>
      </c>
      <c r="AJ162">
        <v>11</v>
      </c>
      <c r="AK162">
        <v>9</v>
      </c>
      <c r="AL162">
        <v>8</v>
      </c>
      <c r="AM162">
        <v>5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1</v>
      </c>
      <c r="AU162" s="33" t="str">
        <f t="shared" si="6"/>
        <v>库存为1</v>
      </c>
      <c r="AV162" s="38" t="str">
        <f>IFERROR(时间!$B$4+AU162,"上周无销量")</f>
        <v>上周无销量</v>
      </c>
    </row>
    <row r="163" spans="1:48">
      <c r="A163" s="21" t="s">
        <v>408</v>
      </c>
      <c r="B163" t="s">
        <v>409</v>
      </c>
      <c r="C163" t="s">
        <v>410</v>
      </c>
      <c r="D163" s="33">
        <v>0</v>
      </c>
      <c r="E163" s="33">
        <v>44</v>
      </c>
      <c r="F163" s="33">
        <v>0</v>
      </c>
      <c r="G163" s="33">
        <v>0</v>
      </c>
      <c r="H163" s="34">
        <v>0</v>
      </c>
      <c r="I163">
        <v>0</v>
      </c>
      <c r="J163" s="35">
        <v>0</v>
      </c>
      <c r="K163" s="35">
        <v>0</v>
      </c>
      <c r="L163" s="35">
        <v>0</v>
      </c>
      <c r="M163">
        <v>0</v>
      </c>
      <c r="N163">
        <v>0</v>
      </c>
      <c r="O163">
        <v>0</v>
      </c>
      <c r="P163">
        <v>0</v>
      </c>
      <c r="Q163">
        <v>58</v>
      </c>
      <c r="R163">
        <v>683</v>
      </c>
      <c r="S163">
        <v>140</v>
      </c>
      <c r="T163">
        <v>0</v>
      </c>
      <c r="U163">
        <v>0</v>
      </c>
      <c r="V163">
        <v>2</v>
      </c>
      <c r="W163">
        <v>0</v>
      </c>
      <c r="X163" s="23" t="s">
        <v>54</v>
      </c>
      <c r="Y163" s="23">
        <v>0</v>
      </c>
      <c r="Z163" s="23">
        <v>0.00292825768667643</v>
      </c>
      <c r="AA163" s="23">
        <v>0</v>
      </c>
      <c r="AB163">
        <v>0</v>
      </c>
      <c r="AC163">
        <v>0</v>
      </c>
      <c r="AD163">
        <v>0.62</v>
      </c>
      <c r="AE163">
        <v>0</v>
      </c>
      <c r="AF163" s="23" t="s">
        <v>54</v>
      </c>
      <c r="AG163" s="23" t="s">
        <v>54</v>
      </c>
      <c r="AH163" s="23" t="s">
        <v>411</v>
      </c>
      <c r="AI163" s="23" t="s">
        <v>54</v>
      </c>
      <c r="AJ163">
        <v>0</v>
      </c>
      <c r="AK163">
        <v>1</v>
      </c>
      <c r="AL163">
        <v>7</v>
      </c>
      <c r="AM163">
        <v>5</v>
      </c>
      <c r="AN163" s="23" t="s">
        <v>54</v>
      </c>
      <c r="AO163" s="23">
        <v>44</v>
      </c>
      <c r="AP163" s="23">
        <v>0</v>
      </c>
      <c r="AQ163" s="23">
        <v>0</v>
      </c>
      <c r="AR163" s="37">
        <v>0</v>
      </c>
      <c r="AS163" s="37">
        <v>0</v>
      </c>
      <c r="AT163" s="37">
        <v>0</v>
      </c>
      <c r="AU163" s="33" t="str">
        <f t="shared" si="6"/>
        <v>库存为0</v>
      </c>
      <c r="AV163" s="38" t="str">
        <f>IFERROR(时间!$B$4+AU163,"上周无销量")</f>
        <v>上周无销量</v>
      </c>
    </row>
    <row r="164" spans="1:48">
      <c r="A164" s="21" t="s">
        <v>412</v>
      </c>
      <c r="B164" t="s">
        <v>413</v>
      </c>
      <c r="C164" t="s">
        <v>410</v>
      </c>
      <c r="D164" s="33">
        <v>0</v>
      </c>
      <c r="E164" s="33">
        <v>39</v>
      </c>
      <c r="F164" s="33">
        <v>0</v>
      </c>
      <c r="G164" s="33">
        <v>0</v>
      </c>
      <c r="H164" s="34">
        <v>0</v>
      </c>
      <c r="I164">
        <v>0</v>
      </c>
      <c r="J164" s="35">
        <v>0</v>
      </c>
      <c r="K164" s="35">
        <v>0</v>
      </c>
      <c r="L164" s="35">
        <v>0</v>
      </c>
      <c r="M164">
        <v>0</v>
      </c>
      <c r="N164">
        <v>0</v>
      </c>
      <c r="O164">
        <v>0</v>
      </c>
      <c r="P164">
        <v>0</v>
      </c>
      <c r="Q164">
        <v>35</v>
      </c>
      <c r="R164">
        <v>1348</v>
      </c>
      <c r="S164">
        <v>1640</v>
      </c>
      <c r="T164">
        <v>0</v>
      </c>
      <c r="U164">
        <v>0</v>
      </c>
      <c r="V164">
        <v>6</v>
      </c>
      <c r="W164">
        <v>4</v>
      </c>
      <c r="X164" s="23" t="s">
        <v>54</v>
      </c>
      <c r="Y164" s="23">
        <v>0</v>
      </c>
      <c r="Z164" s="23">
        <v>0.00445103857566766</v>
      </c>
      <c r="AA164" s="23">
        <v>0.0024390243902439</v>
      </c>
      <c r="AB164">
        <v>0</v>
      </c>
      <c r="AC164">
        <v>0</v>
      </c>
      <c r="AD164">
        <v>2.64</v>
      </c>
      <c r="AE164">
        <v>1.27</v>
      </c>
      <c r="AF164" s="23" t="s">
        <v>54</v>
      </c>
      <c r="AG164" s="23" t="s">
        <v>54</v>
      </c>
      <c r="AH164" s="23" t="s">
        <v>414</v>
      </c>
      <c r="AI164" s="23" t="s">
        <v>415</v>
      </c>
      <c r="AJ164">
        <v>0</v>
      </c>
      <c r="AK164">
        <v>0</v>
      </c>
      <c r="AL164">
        <v>9</v>
      </c>
      <c r="AM164">
        <v>2</v>
      </c>
      <c r="AN164" s="23" t="s">
        <v>54</v>
      </c>
      <c r="AO164" s="23" t="s">
        <v>54</v>
      </c>
      <c r="AP164" s="23">
        <v>0</v>
      </c>
      <c r="AQ164" s="23">
        <v>0</v>
      </c>
      <c r="AR164" s="37">
        <v>0</v>
      </c>
      <c r="AS164" s="37">
        <v>0</v>
      </c>
      <c r="AT164" s="37">
        <v>0</v>
      </c>
      <c r="AU164" s="33" t="str">
        <f t="shared" si="6"/>
        <v>库存为0</v>
      </c>
      <c r="AV164" s="38" t="str">
        <f>IFERROR(时间!$B$4+AU164,"上周无销量")</f>
        <v>上周无销量</v>
      </c>
    </row>
    <row r="165" spans="1:48">
      <c r="A165" s="21" t="s">
        <v>416</v>
      </c>
      <c r="B165" t="s">
        <v>417</v>
      </c>
      <c r="C165" t="s">
        <v>410</v>
      </c>
      <c r="D165" s="33">
        <v>0</v>
      </c>
      <c r="E165" s="33">
        <v>44</v>
      </c>
      <c r="F165" s="33">
        <v>0</v>
      </c>
      <c r="G165" s="33">
        <v>1</v>
      </c>
      <c r="H165" s="34">
        <v>0.222222222222222</v>
      </c>
      <c r="I165">
        <v>3</v>
      </c>
      <c r="J165" s="35">
        <v>0</v>
      </c>
      <c r="K165" s="35">
        <v>0</v>
      </c>
      <c r="L165" s="35">
        <v>0</v>
      </c>
      <c r="M165">
        <v>3</v>
      </c>
      <c r="N165">
        <v>0</v>
      </c>
      <c r="O165">
        <v>1</v>
      </c>
      <c r="P165">
        <v>36</v>
      </c>
      <c r="Q165">
        <v>302</v>
      </c>
      <c r="R165">
        <v>917</v>
      </c>
      <c r="S165">
        <v>1068</v>
      </c>
      <c r="T165">
        <v>0</v>
      </c>
      <c r="U165">
        <v>0</v>
      </c>
      <c r="V165">
        <v>4</v>
      </c>
      <c r="W165">
        <v>1</v>
      </c>
      <c r="X165" s="23">
        <v>0</v>
      </c>
      <c r="Y165" s="23">
        <v>0</v>
      </c>
      <c r="Z165" s="23">
        <v>0.00436205016357688</v>
      </c>
      <c r="AA165" s="23">
        <v>0.000936329588014981</v>
      </c>
      <c r="AB165">
        <v>0</v>
      </c>
      <c r="AC165">
        <v>0</v>
      </c>
      <c r="AD165">
        <v>1.8</v>
      </c>
      <c r="AE165">
        <v>0.32</v>
      </c>
      <c r="AF165" s="23" t="s">
        <v>54</v>
      </c>
      <c r="AG165" s="23" t="s">
        <v>54</v>
      </c>
      <c r="AH165" s="23" t="s">
        <v>418</v>
      </c>
      <c r="AI165" s="23">
        <v>1.44</v>
      </c>
      <c r="AJ165">
        <v>5</v>
      </c>
      <c r="AK165">
        <v>2</v>
      </c>
      <c r="AL165">
        <v>9</v>
      </c>
      <c r="AM165">
        <v>4</v>
      </c>
      <c r="AN165" s="23">
        <v>0</v>
      </c>
      <c r="AO165" s="23">
        <v>22</v>
      </c>
      <c r="AP165" s="23">
        <v>0</v>
      </c>
      <c r="AQ165" s="23">
        <v>0.25</v>
      </c>
      <c r="AR165" s="37">
        <v>0</v>
      </c>
      <c r="AS165" s="37">
        <v>0</v>
      </c>
      <c r="AT165" s="37">
        <v>3</v>
      </c>
      <c r="AU165" s="33" t="str">
        <f t="shared" si="6"/>
        <v>库存为3</v>
      </c>
      <c r="AV165" s="38" t="str">
        <f>IFERROR(时间!$B$4+AU165,"上周无销量")</f>
        <v>上周无销量</v>
      </c>
    </row>
    <row r="166" spans="1:48">
      <c r="A166" s="21" t="s">
        <v>419</v>
      </c>
      <c r="B166" t="s">
        <v>420</v>
      </c>
      <c r="C166" t="s">
        <v>410</v>
      </c>
      <c r="D166" s="33">
        <v>0</v>
      </c>
      <c r="E166" s="33">
        <v>46</v>
      </c>
      <c r="F166" s="33">
        <v>0</v>
      </c>
      <c r="G166" s="33">
        <v>0</v>
      </c>
      <c r="H166" s="34">
        <v>0.173695652173913</v>
      </c>
      <c r="I166">
        <v>0</v>
      </c>
      <c r="J166" s="35">
        <v>0</v>
      </c>
      <c r="K166" s="35">
        <v>0</v>
      </c>
      <c r="L166" s="35">
        <v>0</v>
      </c>
      <c r="M166">
        <v>0</v>
      </c>
      <c r="N166">
        <v>0</v>
      </c>
      <c r="O166">
        <v>0</v>
      </c>
      <c r="P166">
        <v>0</v>
      </c>
      <c r="Q166">
        <v>291</v>
      </c>
      <c r="R166">
        <v>364</v>
      </c>
      <c r="S166">
        <v>146</v>
      </c>
      <c r="T166">
        <v>0</v>
      </c>
      <c r="U166">
        <v>2</v>
      </c>
      <c r="V166">
        <v>0</v>
      </c>
      <c r="W166">
        <v>0</v>
      </c>
      <c r="X166" s="23" t="s">
        <v>54</v>
      </c>
      <c r="Y166" s="23">
        <v>0.00687285223367698</v>
      </c>
      <c r="Z166" s="23">
        <v>0</v>
      </c>
      <c r="AA166" s="23">
        <v>0</v>
      </c>
      <c r="AB166">
        <v>0</v>
      </c>
      <c r="AC166">
        <v>0.4</v>
      </c>
      <c r="AD166">
        <v>0</v>
      </c>
      <c r="AE166">
        <v>0</v>
      </c>
      <c r="AF166" s="23" t="s">
        <v>54</v>
      </c>
      <c r="AG166" s="23">
        <v>0.0500625782227785</v>
      </c>
      <c r="AH166" s="23" t="s">
        <v>54</v>
      </c>
      <c r="AI166" s="23" t="s">
        <v>54</v>
      </c>
      <c r="AJ166">
        <v>0</v>
      </c>
      <c r="AK166">
        <v>2</v>
      </c>
      <c r="AL166">
        <v>6</v>
      </c>
      <c r="AM166">
        <v>4</v>
      </c>
      <c r="AN166" s="23" t="s">
        <v>54</v>
      </c>
      <c r="AO166" s="23">
        <v>23</v>
      </c>
      <c r="AP166" s="23">
        <v>0</v>
      </c>
      <c r="AQ166" s="23">
        <v>0</v>
      </c>
      <c r="AR166" s="37">
        <v>0</v>
      </c>
      <c r="AS166" s="37">
        <v>0</v>
      </c>
      <c r="AT166" s="37">
        <v>0</v>
      </c>
      <c r="AU166" s="33" t="str">
        <f t="shared" si="6"/>
        <v>库存为0</v>
      </c>
      <c r="AV166" s="38" t="str">
        <f>IFERROR(时间!$B$4+AU166,"上周无销量")</f>
        <v>上周无销量</v>
      </c>
    </row>
    <row r="167" spans="1:48">
      <c r="A167" s="21" t="s">
        <v>421</v>
      </c>
      <c r="B167" t="s">
        <v>422</v>
      </c>
      <c r="C167" t="s">
        <v>410</v>
      </c>
      <c r="D167" s="33">
        <v>1</v>
      </c>
      <c r="E167" s="33">
        <v>32</v>
      </c>
      <c r="F167" s="33">
        <v>0</v>
      </c>
      <c r="G167" s="33">
        <v>0</v>
      </c>
      <c r="H167" s="34">
        <v>0.163939393939394</v>
      </c>
      <c r="I167">
        <v>2</v>
      </c>
      <c r="J167" s="35">
        <v>0</v>
      </c>
      <c r="K167" s="35">
        <v>0</v>
      </c>
      <c r="L167" s="35">
        <v>0</v>
      </c>
      <c r="M167">
        <v>2</v>
      </c>
      <c r="N167">
        <v>0</v>
      </c>
      <c r="O167">
        <v>0</v>
      </c>
      <c r="P167">
        <v>28</v>
      </c>
      <c r="Q167">
        <v>2137</v>
      </c>
      <c r="R167">
        <v>2010</v>
      </c>
      <c r="S167">
        <v>2120</v>
      </c>
      <c r="T167">
        <v>0</v>
      </c>
      <c r="U167">
        <v>1</v>
      </c>
      <c r="V167">
        <v>8</v>
      </c>
      <c r="W167">
        <v>2</v>
      </c>
      <c r="X167" s="23">
        <v>0</v>
      </c>
      <c r="Y167" s="23">
        <v>0.000467945718296678</v>
      </c>
      <c r="Z167" s="23">
        <v>0.00398009950248756</v>
      </c>
      <c r="AA167" s="23">
        <v>0.000943396226415094</v>
      </c>
      <c r="AB167">
        <v>0</v>
      </c>
      <c r="AC167">
        <v>0.43</v>
      </c>
      <c r="AD167">
        <v>2.48</v>
      </c>
      <c r="AE167">
        <v>0.93</v>
      </c>
      <c r="AF167" s="23" t="s">
        <v>54</v>
      </c>
      <c r="AG167" s="23">
        <v>0.0819662661737523</v>
      </c>
      <c r="AH167" s="23" t="s">
        <v>423</v>
      </c>
      <c r="AI167" s="23" t="s">
        <v>424</v>
      </c>
      <c r="AJ167">
        <v>5</v>
      </c>
      <c r="AK167">
        <v>4</v>
      </c>
      <c r="AL167">
        <v>6</v>
      </c>
      <c r="AM167">
        <v>6</v>
      </c>
      <c r="AN167" s="23">
        <v>0.2</v>
      </c>
      <c r="AO167" s="23">
        <v>8</v>
      </c>
      <c r="AP167" s="23">
        <v>0</v>
      </c>
      <c r="AQ167" s="23">
        <v>0</v>
      </c>
      <c r="AR167" s="37">
        <v>0.142857142857143</v>
      </c>
      <c r="AS167" s="37">
        <v>8.57142857142857</v>
      </c>
      <c r="AT167" s="37">
        <v>-6.57142857142857</v>
      </c>
      <c r="AU167" s="33">
        <f t="shared" si="6"/>
        <v>14</v>
      </c>
      <c r="AV167" s="38">
        <f>IFERROR(时间!$B$4+AU167,"上周无销量")</f>
        <v>43353</v>
      </c>
    </row>
    <row r="168" spans="1:48">
      <c r="A168" s="21" t="s">
        <v>425</v>
      </c>
      <c r="B168" t="s">
        <v>426</v>
      </c>
      <c r="C168" t="s">
        <v>410</v>
      </c>
      <c r="D168" s="33">
        <v>0</v>
      </c>
      <c r="E168" s="33">
        <v>44</v>
      </c>
      <c r="F168" s="33">
        <v>0</v>
      </c>
      <c r="G168" s="33">
        <v>0</v>
      </c>
      <c r="H168" s="34">
        <v>0</v>
      </c>
      <c r="I168">
        <v>1</v>
      </c>
      <c r="J168" s="35">
        <v>0</v>
      </c>
      <c r="K168" s="35">
        <v>0</v>
      </c>
      <c r="L168" s="35">
        <v>0</v>
      </c>
      <c r="M168">
        <v>1</v>
      </c>
      <c r="N168">
        <v>0</v>
      </c>
      <c r="O168">
        <v>1</v>
      </c>
      <c r="P168">
        <v>40</v>
      </c>
      <c r="Q168">
        <v>49</v>
      </c>
      <c r="R168">
        <v>960</v>
      </c>
      <c r="S168">
        <v>562</v>
      </c>
      <c r="T168">
        <v>0</v>
      </c>
      <c r="U168">
        <v>0</v>
      </c>
      <c r="V168">
        <v>3</v>
      </c>
      <c r="W168">
        <v>2</v>
      </c>
      <c r="X168" s="23">
        <v>0</v>
      </c>
      <c r="Y168" s="23">
        <v>0</v>
      </c>
      <c r="Z168" s="23">
        <v>0.003125</v>
      </c>
      <c r="AA168" s="23">
        <v>0.00355871886120996</v>
      </c>
      <c r="AB168">
        <v>0</v>
      </c>
      <c r="AC168">
        <v>0</v>
      </c>
      <c r="AD168">
        <v>0.87</v>
      </c>
      <c r="AE168">
        <v>0.55</v>
      </c>
      <c r="AF168" s="23" t="s">
        <v>54</v>
      </c>
      <c r="AG168" s="23" t="s">
        <v>54</v>
      </c>
      <c r="AH168" s="23" t="s">
        <v>427</v>
      </c>
      <c r="AI168" s="23" t="s">
        <v>376</v>
      </c>
      <c r="AJ168">
        <v>2</v>
      </c>
      <c r="AK168">
        <v>3</v>
      </c>
      <c r="AL168">
        <v>9</v>
      </c>
      <c r="AM168">
        <v>1</v>
      </c>
      <c r="AN168" s="23">
        <v>0</v>
      </c>
      <c r="AO168" s="23">
        <v>14.6666666666667</v>
      </c>
      <c r="AP168" s="23">
        <v>0</v>
      </c>
      <c r="AQ168" s="23">
        <v>0</v>
      </c>
      <c r="AR168" s="37">
        <v>0</v>
      </c>
      <c r="AS168" s="37">
        <v>0</v>
      </c>
      <c r="AT168" s="37">
        <v>1</v>
      </c>
      <c r="AU168" s="33" t="str">
        <f t="shared" si="6"/>
        <v>库存为1</v>
      </c>
      <c r="AV168" s="38" t="str">
        <f>IFERROR(时间!$B$4+AU168,"上周无销量")</f>
        <v>上周无销量</v>
      </c>
    </row>
    <row r="169" spans="1:48">
      <c r="A169" s="21" t="s">
        <v>428</v>
      </c>
      <c r="B169" t="s">
        <v>429</v>
      </c>
      <c r="C169" t="s">
        <v>410</v>
      </c>
      <c r="D169" s="33">
        <v>0</v>
      </c>
      <c r="E169" s="33">
        <v>26</v>
      </c>
      <c r="F169" s="33">
        <v>1</v>
      </c>
      <c r="G169" s="33">
        <v>0</v>
      </c>
      <c r="H169" s="34">
        <v>0.37</v>
      </c>
      <c r="I169">
        <v>7</v>
      </c>
      <c r="J169" s="35">
        <v>0</v>
      </c>
      <c r="K169" s="35">
        <v>0</v>
      </c>
      <c r="L169" s="35">
        <v>0</v>
      </c>
      <c r="M169">
        <v>7</v>
      </c>
      <c r="N169">
        <v>0</v>
      </c>
      <c r="O169">
        <v>4</v>
      </c>
      <c r="P169">
        <v>49</v>
      </c>
      <c r="Q169">
        <v>1582</v>
      </c>
      <c r="R169">
        <v>2404</v>
      </c>
      <c r="S169">
        <v>3094</v>
      </c>
      <c r="T169">
        <v>0</v>
      </c>
      <c r="U169">
        <v>3</v>
      </c>
      <c r="V169">
        <v>3</v>
      </c>
      <c r="W169">
        <v>5</v>
      </c>
      <c r="X169" s="23">
        <v>0</v>
      </c>
      <c r="Y169" s="23">
        <v>0.00189633375474083</v>
      </c>
      <c r="Z169" s="23">
        <v>0.00124792013311148</v>
      </c>
      <c r="AA169" s="23">
        <v>0.00161603102779573</v>
      </c>
      <c r="AB169">
        <v>0</v>
      </c>
      <c r="AC169">
        <v>1.04</v>
      </c>
      <c r="AD169">
        <v>0.93</v>
      </c>
      <c r="AE169">
        <v>2.32</v>
      </c>
      <c r="AF169" s="23" t="s">
        <v>54</v>
      </c>
      <c r="AG169" s="23">
        <v>0.108108108108108</v>
      </c>
      <c r="AH169" s="23">
        <v>2.51351351351351</v>
      </c>
      <c r="AI169" s="23" t="s">
        <v>430</v>
      </c>
      <c r="AJ169">
        <v>5</v>
      </c>
      <c r="AK169">
        <v>3</v>
      </c>
      <c r="AL169">
        <v>10</v>
      </c>
      <c r="AM169">
        <v>10</v>
      </c>
      <c r="AN169" s="23">
        <v>0</v>
      </c>
      <c r="AO169" s="23">
        <v>8.66666666666667</v>
      </c>
      <c r="AP169" s="23">
        <v>0.1</v>
      </c>
      <c r="AQ169" s="23">
        <v>0</v>
      </c>
      <c r="AR169" s="37">
        <v>0</v>
      </c>
      <c r="AS169" s="37">
        <v>0</v>
      </c>
      <c r="AT169" s="37">
        <v>7</v>
      </c>
      <c r="AU169" s="33" t="str">
        <f t="shared" si="6"/>
        <v>库存为7</v>
      </c>
      <c r="AV169" s="38" t="str">
        <f>IFERROR(时间!$B$4+AU169,"上周无销量")</f>
        <v>上周无销量</v>
      </c>
    </row>
    <row r="170" spans="1:48">
      <c r="A170" s="21" t="s">
        <v>431</v>
      </c>
      <c r="B170" t="s">
        <v>432</v>
      </c>
      <c r="C170" t="s">
        <v>410</v>
      </c>
      <c r="D170" s="33">
        <v>0</v>
      </c>
      <c r="E170" s="33">
        <v>22</v>
      </c>
      <c r="F170" s="33">
        <v>0</v>
      </c>
      <c r="G170" s="33">
        <v>0</v>
      </c>
      <c r="H170" s="34">
        <v>0</v>
      </c>
      <c r="I170">
        <v>7</v>
      </c>
      <c r="J170" s="35">
        <v>0</v>
      </c>
      <c r="K170" s="35">
        <v>0</v>
      </c>
      <c r="L170" s="35">
        <v>0</v>
      </c>
      <c r="M170">
        <v>7</v>
      </c>
      <c r="N170">
        <v>0</v>
      </c>
      <c r="O170">
        <v>5</v>
      </c>
      <c r="P170">
        <v>116</v>
      </c>
      <c r="Q170">
        <v>310</v>
      </c>
      <c r="R170">
        <v>637</v>
      </c>
      <c r="S170">
        <v>142</v>
      </c>
      <c r="T170">
        <v>1</v>
      </c>
      <c r="U170">
        <v>0</v>
      </c>
      <c r="V170">
        <v>0</v>
      </c>
      <c r="W170">
        <v>0</v>
      </c>
      <c r="X170" s="23">
        <v>0.00862068965517241</v>
      </c>
      <c r="Y170" s="23">
        <v>0</v>
      </c>
      <c r="Z170" s="23">
        <v>0</v>
      </c>
      <c r="AA170" s="23">
        <v>0</v>
      </c>
      <c r="AB170">
        <v>0.11</v>
      </c>
      <c r="AC170">
        <v>0</v>
      </c>
      <c r="AD170">
        <v>0</v>
      </c>
      <c r="AE170">
        <v>0</v>
      </c>
      <c r="AF170" s="23" t="s">
        <v>433</v>
      </c>
      <c r="AG170" s="23" t="s">
        <v>54</v>
      </c>
      <c r="AH170" s="23" t="s">
        <v>54</v>
      </c>
      <c r="AI170" s="23" t="s">
        <v>54</v>
      </c>
      <c r="AJ170">
        <v>8</v>
      </c>
      <c r="AK170">
        <v>2</v>
      </c>
      <c r="AL170">
        <v>10</v>
      </c>
      <c r="AM170">
        <v>8</v>
      </c>
      <c r="AN170" s="23">
        <v>0</v>
      </c>
      <c r="AO170" s="23">
        <v>11</v>
      </c>
      <c r="AP170" s="23">
        <v>0</v>
      </c>
      <c r="AQ170" s="23">
        <v>0</v>
      </c>
      <c r="AR170" s="37">
        <v>0</v>
      </c>
      <c r="AS170" s="37">
        <v>0</v>
      </c>
      <c r="AT170" s="37">
        <v>7</v>
      </c>
      <c r="AU170" s="33" t="str">
        <f t="shared" si="6"/>
        <v>库存为7</v>
      </c>
      <c r="AV170" s="38" t="str">
        <f>IFERROR(时间!$B$4+AU170,"上周无销量")</f>
        <v>上周无销量</v>
      </c>
    </row>
    <row r="171" spans="1:48">
      <c r="A171" s="21" t="s">
        <v>434</v>
      </c>
      <c r="B171" t="s">
        <v>435</v>
      </c>
      <c r="C171" t="s">
        <v>410</v>
      </c>
      <c r="D171" s="33">
        <v>0</v>
      </c>
      <c r="E171" s="33">
        <v>25</v>
      </c>
      <c r="F171" s="33">
        <v>2</v>
      </c>
      <c r="G171" s="33">
        <v>0</v>
      </c>
      <c r="H171" s="34">
        <v>0.74</v>
      </c>
      <c r="I171">
        <v>4</v>
      </c>
      <c r="J171" s="35">
        <v>0</v>
      </c>
      <c r="K171" s="35">
        <v>0</v>
      </c>
      <c r="L171" s="35">
        <v>0</v>
      </c>
      <c r="M171">
        <v>4</v>
      </c>
      <c r="N171">
        <v>0</v>
      </c>
      <c r="O171">
        <v>2</v>
      </c>
      <c r="P171">
        <v>17</v>
      </c>
      <c r="Q171">
        <v>255</v>
      </c>
      <c r="R171">
        <v>840</v>
      </c>
      <c r="S171">
        <v>3481</v>
      </c>
      <c r="T171">
        <v>1</v>
      </c>
      <c r="U171">
        <v>3</v>
      </c>
      <c r="V171">
        <v>2</v>
      </c>
      <c r="W171">
        <v>14</v>
      </c>
      <c r="X171" s="23">
        <v>0.0588235294117647</v>
      </c>
      <c r="Y171" s="23">
        <v>0.0117647058823529</v>
      </c>
      <c r="Z171" s="23">
        <v>0.00238095238095238</v>
      </c>
      <c r="AA171" s="23">
        <v>0.00402183280666475</v>
      </c>
      <c r="AB171">
        <v>0.17</v>
      </c>
      <c r="AC171">
        <v>1.38</v>
      </c>
      <c r="AD171">
        <v>0.81</v>
      </c>
      <c r="AE171">
        <v>4.51</v>
      </c>
      <c r="AF171" s="23" t="s">
        <v>436</v>
      </c>
      <c r="AG171" s="23">
        <v>0.0745945945945946</v>
      </c>
      <c r="AH171" s="23">
        <v>0.547297297297297</v>
      </c>
      <c r="AI171" s="23" t="s">
        <v>437</v>
      </c>
      <c r="AJ171">
        <v>10</v>
      </c>
      <c r="AK171">
        <v>2</v>
      </c>
      <c r="AL171">
        <v>10</v>
      </c>
      <c r="AM171">
        <v>15</v>
      </c>
      <c r="AN171" s="23">
        <v>0</v>
      </c>
      <c r="AO171" s="23">
        <v>12.5</v>
      </c>
      <c r="AP171" s="23">
        <v>0.2</v>
      </c>
      <c r="AQ171" s="23">
        <v>0</v>
      </c>
      <c r="AR171" s="37">
        <v>0</v>
      </c>
      <c r="AS171" s="37">
        <v>0</v>
      </c>
      <c r="AT171" s="37">
        <v>4</v>
      </c>
      <c r="AU171" s="33" t="str">
        <f t="shared" si="6"/>
        <v>库存为4</v>
      </c>
      <c r="AV171" s="38" t="str">
        <f>IFERROR(时间!$B$4+AU171,"上周无销量")</f>
        <v>上周无销量</v>
      </c>
    </row>
    <row r="172" spans="1:48">
      <c r="A172" s="21" t="s">
        <v>438</v>
      </c>
      <c r="B172" t="s">
        <v>439</v>
      </c>
      <c r="C172" t="s">
        <v>410</v>
      </c>
      <c r="D172" s="33">
        <v>0</v>
      </c>
      <c r="E172" s="33">
        <v>22</v>
      </c>
      <c r="F172" s="33">
        <v>1</v>
      </c>
      <c r="G172" s="33">
        <v>0</v>
      </c>
      <c r="H172" s="34">
        <v>0.868695652173913</v>
      </c>
      <c r="I172">
        <v>13</v>
      </c>
      <c r="J172" s="35">
        <v>0</v>
      </c>
      <c r="K172" s="35">
        <v>0</v>
      </c>
      <c r="L172" s="35">
        <v>0</v>
      </c>
      <c r="M172">
        <v>13</v>
      </c>
      <c r="N172">
        <v>0</v>
      </c>
      <c r="O172">
        <v>12</v>
      </c>
      <c r="P172">
        <v>35</v>
      </c>
      <c r="Q172">
        <v>186</v>
      </c>
      <c r="R172">
        <v>482</v>
      </c>
      <c r="S172">
        <v>498</v>
      </c>
      <c r="T172">
        <v>0</v>
      </c>
      <c r="U172">
        <v>1</v>
      </c>
      <c r="V172">
        <v>3</v>
      </c>
      <c r="W172">
        <v>3</v>
      </c>
      <c r="X172" s="23">
        <v>0</v>
      </c>
      <c r="Y172" s="23">
        <v>0.00537634408602151</v>
      </c>
      <c r="Z172" s="23">
        <v>0.00622406639004149</v>
      </c>
      <c r="AA172" s="23">
        <v>0.00602409638554217</v>
      </c>
      <c r="AB172">
        <v>0</v>
      </c>
      <c r="AC172">
        <v>0.09</v>
      </c>
      <c r="AD172">
        <v>0.72</v>
      </c>
      <c r="AE172">
        <v>0.87</v>
      </c>
      <c r="AF172" s="23" t="s">
        <v>54</v>
      </c>
      <c r="AG172" s="23">
        <v>0.00470925470925471</v>
      </c>
      <c r="AH172" s="23">
        <v>0.828828828828829</v>
      </c>
      <c r="AI172" s="23" t="s">
        <v>427</v>
      </c>
      <c r="AJ172">
        <v>7</v>
      </c>
      <c r="AK172">
        <v>2</v>
      </c>
      <c r="AL172">
        <v>8</v>
      </c>
      <c r="AM172">
        <v>8</v>
      </c>
      <c r="AN172" s="23">
        <v>0</v>
      </c>
      <c r="AO172" s="23">
        <v>11</v>
      </c>
      <c r="AP172" s="23">
        <v>0.125</v>
      </c>
      <c r="AQ172" s="23">
        <v>0</v>
      </c>
      <c r="AR172" s="37">
        <v>0</v>
      </c>
      <c r="AS172" s="37">
        <v>0</v>
      </c>
      <c r="AT172" s="37">
        <v>13</v>
      </c>
      <c r="AU172" s="33" t="str">
        <f t="shared" si="6"/>
        <v>库存为13</v>
      </c>
      <c r="AV172" s="38" t="str">
        <f>IFERROR(时间!$B$4+AU172,"上周无销量")</f>
        <v>上周无销量</v>
      </c>
    </row>
    <row r="173" spans="1:48">
      <c r="A173" s="21" t="s">
        <v>440</v>
      </c>
      <c r="B173" t="s">
        <v>441</v>
      </c>
      <c r="C173" t="s">
        <v>410</v>
      </c>
      <c r="D173" s="33">
        <v>1</v>
      </c>
      <c r="E173" s="33">
        <v>13</v>
      </c>
      <c r="F173" s="33">
        <v>0</v>
      </c>
      <c r="G173" s="33">
        <v>2</v>
      </c>
      <c r="H173" s="34">
        <v>1.599375</v>
      </c>
      <c r="I173">
        <v>12</v>
      </c>
      <c r="J173" s="35">
        <v>0</v>
      </c>
      <c r="K173" s="35">
        <v>0</v>
      </c>
      <c r="L173" s="35">
        <v>0</v>
      </c>
      <c r="M173">
        <v>12</v>
      </c>
      <c r="N173">
        <v>0</v>
      </c>
      <c r="O173">
        <v>13</v>
      </c>
      <c r="P173">
        <v>3</v>
      </c>
      <c r="Q173">
        <v>200</v>
      </c>
      <c r="R173">
        <v>468</v>
      </c>
      <c r="S173">
        <v>789</v>
      </c>
      <c r="T173">
        <v>0</v>
      </c>
      <c r="U173">
        <v>4</v>
      </c>
      <c r="V173">
        <v>3</v>
      </c>
      <c r="W173">
        <v>2</v>
      </c>
      <c r="X173" s="23">
        <v>0</v>
      </c>
      <c r="Y173" s="23">
        <v>0.02</v>
      </c>
      <c r="Z173" s="23">
        <v>0.00641025641025641</v>
      </c>
      <c r="AA173" s="23">
        <v>0.00253485424588086</v>
      </c>
      <c r="AB173">
        <v>0</v>
      </c>
      <c r="AC173">
        <v>1.32</v>
      </c>
      <c r="AD173">
        <v>0.88</v>
      </c>
      <c r="AE173">
        <v>0.57</v>
      </c>
      <c r="AF173" s="23" t="s">
        <v>54</v>
      </c>
      <c r="AG173" s="23">
        <v>0.0634863378122464</v>
      </c>
      <c r="AH173" s="23" t="s">
        <v>442</v>
      </c>
      <c r="AI173" s="23">
        <v>0.178194607268464</v>
      </c>
      <c r="AJ173">
        <v>10</v>
      </c>
      <c r="AK173">
        <v>13</v>
      </c>
      <c r="AL173">
        <v>9</v>
      </c>
      <c r="AM173">
        <v>11</v>
      </c>
      <c r="AN173" s="23">
        <v>0.1</v>
      </c>
      <c r="AO173" s="23">
        <v>1</v>
      </c>
      <c r="AP173" s="23">
        <v>0</v>
      </c>
      <c r="AQ173" s="23">
        <v>0.181818181818182</v>
      </c>
      <c r="AR173" s="37">
        <v>0.142857142857143</v>
      </c>
      <c r="AS173" s="37">
        <v>8.57142857142857</v>
      </c>
      <c r="AT173" s="37">
        <v>3.42857142857143</v>
      </c>
      <c r="AU173" s="33">
        <f t="shared" si="6"/>
        <v>84</v>
      </c>
      <c r="AV173" s="38">
        <f>IFERROR(时间!$B$4+AU173,"上周无销量")</f>
        <v>43423</v>
      </c>
    </row>
    <row r="174" spans="1:48">
      <c r="A174" s="21" t="s">
        <v>443</v>
      </c>
      <c r="B174" t="s">
        <v>444</v>
      </c>
      <c r="C174" t="s">
        <v>410</v>
      </c>
      <c r="D174" s="33">
        <v>1</v>
      </c>
      <c r="E174" s="33">
        <v>24</v>
      </c>
      <c r="F174" s="33">
        <v>0</v>
      </c>
      <c r="G174" s="33">
        <v>1</v>
      </c>
      <c r="H174" s="34">
        <v>0.860769230769231</v>
      </c>
      <c r="I174">
        <v>7</v>
      </c>
      <c r="J174" s="35">
        <v>0</v>
      </c>
      <c r="K174" s="35">
        <v>0</v>
      </c>
      <c r="L174" s="35">
        <v>0</v>
      </c>
      <c r="M174">
        <v>7</v>
      </c>
      <c r="N174">
        <v>0</v>
      </c>
      <c r="O174">
        <v>3</v>
      </c>
      <c r="P174">
        <v>75</v>
      </c>
      <c r="Q174">
        <v>651</v>
      </c>
      <c r="R174">
        <v>312</v>
      </c>
      <c r="S174">
        <v>287</v>
      </c>
      <c r="T174">
        <v>0</v>
      </c>
      <c r="U174">
        <v>5</v>
      </c>
      <c r="V174">
        <v>2</v>
      </c>
      <c r="W174">
        <v>2</v>
      </c>
      <c r="X174" s="23">
        <v>0</v>
      </c>
      <c r="Y174" s="23">
        <v>0.00768049155145929</v>
      </c>
      <c r="Z174" s="23">
        <v>0.00641025641025641</v>
      </c>
      <c r="AA174" s="23">
        <v>0.00696864111498258</v>
      </c>
      <c r="AB174">
        <v>0</v>
      </c>
      <c r="AC174">
        <v>1.6</v>
      </c>
      <c r="AD174">
        <v>0.72</v>
      </c>
      <c r="AE174">
        <v>1.08</v>
      </c>
      <c r="AF174" s="23" t="s">
        <v>54</v>
      </c>
      <c r="AG174" s="23">
        <v>0.0774501042597557</v>
      </c>
      <c r="AH174" s="23" t="s">
        <v>445</v>
      </c>
      <c r="AI174" s="23">
        <v>1.25469168900804</v>
      </c>
      <c r="AJ174">
        <v>16</v>
      </c>
      <c r="AK174">
        <v>6</v>
      </c>
      <c r="AL174">
        <v>10</v>
      </c>
      <c r="AM174">
        <v>9</v>
      </c>
      <c r="AN174" s="23">
        <v>0.0625</v>
      </c>
      <c r="AO174" s="23">
        <v>4</v>
      </c>
      <c r="AP174" s="23">
        <v>0</v>
      </c>
      <c r="AQ174" s="23">
        <v>0.111111111111111</v>
      </c>
      <c r="AR174" s="37">
        <v>0.142857142857143</v>
      </c>
      <c r="AS174" s="37">
        <v>8.57142857142857</v>
      </c>
      <c r="AT174" s="37">
        <v>-1.57142857142857</v>
      </c>
      <c r="AU174" s="33">
        <f t="shared" si="6"/>
        <v>49</v>
      </c>
      <c r="AV174" s="38">
        <f>IFERROR(时间!$B$4+AU174,"上周无销量")</f>
        <v>43388</v>
      </c>
    </row>
    <row r="175" spans="1:48">
      <c r="A175" s="21" t="s">
        <v>446</v>
      </c>
      <c r="B175" t="s">
        <v>447</v>
      </c>
      <c r="C175" t="s">
        <v>448</v>
      </c>
      <c r="D175" s="33">
        <v>0</v>
      </c>
      <c r="E175" s="33">
        <v>6</v>
      </c>
      <c r="F175" s="33">
        <v>0</v>
      </c>
      <c r="G175" s="33">
        <v>0</v>
      </c>
      <c r="H175" s="34">
        <v>0</v>
      </c>
      <c r="I175">
        <v>0</v>
      </c>
      <c r="J175" s="35">
        <v>0</v>
      </c>
      <c r="K175" s="35">
        <v>0</v>
      </c>
      <c r="L175" s="3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2</v>
      </c>
      <c r="S175">
        <v>0</v>
      </c>
      <c r="T175">
        <v>0</v>
      </c>
      <c r="U175">
        <v>0</v>
      </c>
      <c r="V175">
        <v>0</v>
      </c>
      <c r="W175">
        <v>0</v>
      </c>
      <c r="X175" s="23" t="s">
        <v>54</v>
      </c>
      <c r="Y175" s="23" t="s">
        <v>54</v>
      </c>
      <c r="Z175" s="23">
        <v>0</v>
      </c>
      <c r="AA175" s="23" t="s">
        <v>54</v>
      </c>
      <c r="AB175">
        <v>0</v>
      </c>
      <c r="AC175">
        <v>0</v>
      </c>
      <c r="AD175">
        <v>0</v>
      </c>
      <c r="AE175">
        <v>0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4</v>
      </c>
      <c r="AM175">
        <v>9</v>
      </c>
      <c r="AN175" s="23" t="s">
        <v>54</v>
      </c>
      <c r="AO175" s="23" t="s">
        <v>54</v>
      </c>
      <c r="AP175" s="23">
        <v>0</v>
      </c>
      <c r="AQ175" s="23">
        <v>0</v>
      </c>
      <c r="AR175" s="37">
        <v>0</v>
      </c>
      <c r="AS175" s="37">
        <v>0</v>
      </c>
      <c r="AT175" s="37">
        <v>0</v>
      </c>
      <c r="AU175" s="33" t="str">
        <f t="shared" si="6"/>
        <v>库存为0</v>
      </c>
      <c r="AV175" s="38" t="str">
        <f>IFERROR(时间!$B$4+AU175,"上周无销量")</f>
        <v>上周无销量</v>
      </c>
    </row>
    <row r="176" spans="1:48">
      <c r="A176" s="21" t="s">
        <v>449</v>
      </c>
      <c r="B176" t="s">
        <v>450</v>
      </c>
      <c r="C176" t="s">
        <v>448</v>
      </c>
      <c r="D176" s="33">
        <v>0</v>
      </c>
      <c r="E176" s="33">
        <v>3</v>
      </c>
      <c r="F176" s="33">
        <v>0</v>
      </c>
      <c r="G176" s="33">
        <v>0</v>
      </c>
      <c r="H176" s="34">
        <v>0</v>
      </c>
      <c r="I176">
        <v>0</v>
      </c>
      <c r="J176" s="35">
        <v>0</v>
      </c>
      <c r="K176" s="35">
        <v>0</v>
      </c>
      <c r="L176" s="35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4</v>
      </c>
      <c r="AM176">
        <v>2</v>
      </c>
      <c r="AN176" s="23" t="s">
        <v>54</v>
      </c>
      <c r="AO176" s="23" t="s">
        <v>54</v>
      </c>
      <c r="AP176" s="23">
        <v>0</v>
      </c>
      <c r="AQ176" s="23">
        <v>0</v>
      </c>
      <c r="AR176" s="37">
        <v>0</v>
      </c>
      <c r="AS176" s="37">
        <v>0</v>
      </c>
      <c r="AT176" s="37">
        <v>0</v>
      </c>
      <c r="AU176" s="33" t="str">
        <f t="shared" si="6"/>
        <v>库存为0</v>
      </c>
      <c r="AV176" s="38" t="str">
        <f>IFERROR(时间!$B$4+AU176,"上周无销量")</f>
        <v>上周无销量</v>
      </c>
    </row>
    <row r="177" spans="1:48">
      <c r="A177" s="21" t="s">
        <v>451</v>
      </c>
      <c r="B177" t="s">
        <v>452</v>
      </c>
      <c r="C177" t="s">
        <v>448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1</v>
      </c>
      <c r="J177" s="35">
        <v>0</v>
      </c>
      <c r="K177" s="35">
        <v>0</v>
      </c>
      <c r="L177" s="35">
        <v>0</v>
      </c>
      <c r="M177">
        <v>1</v>
      </c>
      <c r="N177">
        <v>0</v>
      </c>
      <c r="O177">
        <v>1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8</v>
      </c>
      <c r="AK177">
        <v>4</v>
      </c>
      <c r="AL177">
        <v>11</v>
      </c>
      <c r="AM177">
        <v>5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1</v>
      </c>
      <c r="AU177" s="33" t="str">
        <f t="shared" si="6"/>
        <v>库存为1</v>
      </c>
      <c r="AV177" s="38" t="str">
        <f>IFERROR(时间!$B$4+AU177,"上周无销量")</f>
        <v>上周无销量</v>
      </c>
    </row>
    <row r="178" spans="1:48">
      <c r="A178" s="21" t="s">
        <v>453</v>
      </c>
      <c r="B178" t="s">
        <v>454</v>
      </c>
      <c r="C178" t="s">
        <v>448</v>
      </c>
      <c r="D178" s="33">
        <v>0</v>
      </c>
      <c r="E178" s="33">
        <v>9</v>
      </c>
      <c r="F178" s="33">
        <v>0</v>
      </c>
      <c r="G178" s="33">
        <v>0</v>
      </c>
      <c r="H178" s="34">
        <v>0</v>
      </c>
      <c r="I178">
        <v>1</v>
      </c>
      <c r="J178" s="35">
        <v>0</v>
      </c>
      <c r="K178" s="35">
        <v>0</v>
      </c>
      <c r="L178" s="35">
        <v>0</v>
      </c>
      <c r="M178">
        <v>1</v>
      </c>
      <c r="N178">
        <v>0</v>
      </c>
      <c r="O178">
        <v>1</v>
      </c>
      <c r="P178">
        <v>14</v>
      </c>
      <c r="Q178">
        <v>1779</v>
      </c>
      <c r="R178">
        <v>2620</v>
      </c>
      <c r="S178">
        <v>2598</v>
      </c>
      <c r="T178">
        <v>0</v>
      </c>
      <c r="U178">
        <v>8</v>
      </c>
      <c r="V178">
        <v>21</v>
      </c>
      <c r="W178">
        <v>24</v>
      </c>
      <c r="X178" s="23">
        <v>0</v>
      </c>
      <c r="Y178" s="23">
        <v>0.00449690837549185</v>
      </c>
      <c r="Z178" s="23">
        <v>0.00801526717557252</v>
      </c>
      <c r="AA178" s="23">
        <v>0.0092378752886836</v>
      </c>
      <c r="AB178">
        <v>0</v>
      </c>
      <c r="AC178">
        <v>3.48</v>
      </c>
      <c r="AD178">
        <v>8.89</v>
      </c>
      <c r="AE178">
        <v>10.92</v>
      </c>
      <c r="AF178" s="23" t="s">
        <v>54</v>
      </c>
      <c r="AG178" s="23" t="s">
        <v>455</v>
      </c>
      <c r="AH178" s="23" t="s">
        <v>456</v>
      </c>
      <c r="AI178" s="23" t="s">
        <v>457</v>
      </c>
      <c r="AJ178">
        <v>11</v>
      </c>
      <c r="AK178">
        <v>17</v>
      </c>
      <c r="AL178">
        <v>9</v>
      </c>
      <c r="AM178">
        <v>15</v>
      </c>
      <c r="AN178" s="23">
        <v>0</v>
      </c>
      <c r="AO178" s="23">
        <v>0.529411764705882</v>
      </c>
      <c r="AP178" s="23">
        <v>0</v>
      </c>
      <c r="AQ178" s="23">
        <v>0</v>
      </c>
      <c r="AR178" s="37">
        <v>0</v>
      </c>
      <c r="AS178" s="37">
        <v>0</v>
      </c>
      <c r="AT178" s="37">
        <v>1</v>
      </c>
      <c r="AU178" s="33" t="str">
        <f t="shared" si="6"/>
        <v>库存为1</v>
      </c>
      <c r="AV178" s="38" t="str">
        <f>IFERROR(时间!$B$4+AU178,"上周无销量")</f>
        <v>上周无销量</v>
      </c>
    </row>
    <row r="179" spans="1:48">
      <c r="A179" s="21" t="s">
        <v>458</v>
      </c>
      <c r="B179" t="s">
        <v>459</v>
      </c>
      <c r="C179" t="s">
        <v>448</v>
      </c>
      <c r="D179" s="33">
        <v>0</v>
      </c>
      <c r="E179" s="33">
        <v>11</v>
      </c>
      <c r="F179" s="33">
        <v>0</v>
      </c>
      <c r="G179" s="33">
        <v>0</v>
      </c>
      <c r="H179" s="34">
        <v>0</v>
      </c>
      <c r="I179">
        <v>1</v>
      </c>
      <c r="J179" s="35">
        <v>0</v>
      </c>
      <c r="K179" s="35">
        <v>0</v>
      </c>
      <c r="L179" s="35">
        <v>0</v>
      </c>
      <c r="M179">
        <v>1</v>
      </c>
      <c r="N179">
        <v>0</v>
      </c>
      <c r="O179">
        <v>1</v>
      </c>
      <c r="P179">
        <v>22</v>
      </c>
      <c r="Q179">
        <v>18</v>
      </c>
      <c r="R179">
        <v>22</v>
      </c>
      <c r="S179">
        <v>15</v>
      </c>
      <c r="T179">
        <v>1</v>
      </c>
      <c r="U179">
        <v>0</v>
      </c>
      <c r="V179">
        <v>1</v>
      </c>
      <c r="W179">
        <v>0</v>
      </c>
      <c r="X179" s="23">
        <v>0.0454545454545455</v>
      </c>
      <c r="Y179" s="23">
        <v>0</v>
      </c>
      <c r="Z179" s="23">
        <v>0.0454545454545455</v>
      </c>
      <c r="AA179" s="23">
        <v>0</v>
      </c>
      <c r="AB179">
        <v>0.02</v>
      </c>
      <c r="AC179">
        <v>0</v>
      </c>
      <c r="AD179">
        <v>0.02</v>
      </c>
      <c r="AE179">
        <v>0</v>
      </c>
      <c r="AF179" s="23" t="s">
        <v>460</v>
      </c>
      <c r="AG179" s="23" t="s">
        <v>54</v>
      </c>
      <c r="AH179" s="23" t="s">
        <v>460</v>
      </c>
      <c r="AI179" s="23" t="s">
        <v>54</v>
      </c>
      <c r="AJ179">
        <v>8</v>
      </c>
      <c r="AK179">
        <v>7</v>
      </c>
      <c r="AL179">
        <v>4</v>
      </c>
      <c r="AM179">
        <v>16</v>
      </c>
      <c r="AN179" s="23">
        <v>0</v>
      </c>
      <c r="AO179" s="23">
        <v>1.57142857142857</v>
      </c>
      <c r="AP179" s="23">
        <v>0</v>
      </c>
      <c r="AQ179" s="23">
        <v>0</v>
      </c>
      <c r="AR179" s="37">
        <v>0</v>
      </c>
      <c r="AS179" s="37">
        <v>0</v>
      </c>
      <c r="AT179" s="37">
        <v>1</v>
      </c>
      <c r="AU179" s="33" t="str">
        <f t="shared" si="6"/>
        <v>库存为1</v>
      </c>
      <c r="AV179" s="38" t="str">
        <f>IFERROR(时间!$B$4+AU179,"上周无销量")</f>
        <v>上周无销量</v>
      </c>
    </row>
    <row r="180" spans="1:48">
      <c r="A180" s="21" t="s">
        <v>461</v>
      </c>
      <c r="B180" t="s">
        <v>462</v>
      </c>
      <c r="C180" t="s">
        <v>448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0</v>
      </c>
      <c r="J180" s="35">
        <v>0</v>
      </c>
      <c r="K180" s="35">
        <v>0</v>
      </c>
      <c r="L180" s="35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7">
        <v>0</v>
      </c>
      <c r="AS180" s="37">
        <v>0</v>
      </c>
      <c r="AT180" s="37">
        <v>0</v>
      </c>
      <c r="AU180" s="33" t="str">
        <f t="shared" si="6"/>
        <v>库存为0</v>
      </c>
      <c r="AV180" s="38" t="str">
        <f>IFERROR(时间!$B$4+AU180,"上周无销量")</f>
        <v>上周无销量</v>
      </c>
    </row>
    <row r="181" spans="1:48">
      <c r="A181" s="21" t="s">
        <v>463</v>
      </c>
      <c r="B181" t="s">
        <v>464</v>
      </c>
      <c r="C181" t="s">
        <v>448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1</v>
      </c>
      <c r="J181" s="35">
        <v>0</v>
      </c>
      <c r="K181" s="35">
        <v>0</v>
      </c>
      <c r="L181" s="35">
        <v>0</v>
      </c>
      <c r="M181">
        <v>1</v>
      </c>
      <c r="N181">
        <v>0</v>
      </c>
      <c r="O181">
        <v>1</v>
      </c>
      <c r="P181">
        <v>3</v>
      </c>
      <c r="Q181">
        <v>4</v>
      </c>
      <c r="R181">
        <v>0</v>
      </c>
      <c r="S181">
        <v>1</v>
      </c>
      <c r="T181">
        <v>0</v>
      </c>
      <c r="U181">
        <v>0</v>
      </c>
      <c r="V181">
        <v>0</v>
      </c>
      <c r="W181">
        <v>0</v>
      </c>
      <c r="X181" s="23">
        <v>0</v>
      </c>
      <c r="Y181" s="23">
        <v>0</v>
      </c>
      <c r="Z181" s="23" t="s">
        <v>54</v>
      </c>
      <c r="AA181" s="23">
        <v>0</v>
      </c>
      <c r="AB181">
        <v>0</v>
      </c>
      <c r="AC181">
        <v>0</v>
      </c>
      <c r="AD181">
        <v>0</v>
      </c>
      <c r="AE181">
        <v>0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6</v>
      </c>
      <c r="AK181">
        <v>4</v>
      </c>
      <c r="AL181">
        <v>10</v>
      </c>
      <c r="AM181">
        <v>7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1</v>
      </c>
      <c r="AU181" s="33" t="str">
        <f t="shared" si="6"/>
        <v>库存为1</v>
      </c>
      <c r="AV181" s="38" t="str">
        <f>IFERROR(时间!$B$4+AU181,"上周无销量")</f>
        <v>上周无销量</v>
      </c>
    </row>
    <row r="182" spans="1:48">
      <c r="A182" s="21" t="s">
        <v>465</v>
      </c>
      <c r="B182" t="s">
        <v>466</v>
      </c>
      <c r="C182" t="s">
        <v>448</v>
      </c>
      <c r="D182" s="33">
        <v>0</v>
      </c>
      <c r="E182" s="33">
        <v>4</v>
      </c>
      <c r="F182" s="33">
        <v>0</v>
      </c>
      <c r="G182" s="33">
        <v>0</v>
      </c>
      <c r="H182" s="34">
        <v>0</v>
      </c>
      <c r="I182">
        <v>0</v>
      </c>
      <c r="J182" s="35">
        <v>0</v>
      </c>
      <c r="K182" s="35">
        <v>0</v>
      </c>
      <c r="L182" s="35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4</v>
      </c>
      <c r="S182">
        <v>5</v>
      </c>
      <c r="T182">
        <v>0</v>
      </c>
      <c r="U182">
        <v>0</v>
      </c>
      <c r="V182">
        <v>0</v>
      </c>
      <c r="W182">
        <v>0</v>
      </c>
      <c r="X182" s="23" t="s">
        <v>54</v>
      </c>
      <c r="Y182" s="23">
        <v>0</v>
      </c>
      <c r="Z182" s="23">
        <v>0</v>
      </c>
      <c r="AA182" s="23">
        <v>0</v>
      </c>
      <c r="AB182">
        <v>0</v>
      </c>
      <c r="AC182">
        <v>0</v>
      </c>
      <c r="AD182">
        <v>0</v>
      </c>
      <c r="AE182">
        <v>0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1</v>
      </c>
      <c r="AL182">
        <v>1</v>
      </c>
      <c r="AM182">
        <v>5</v>
      </c>
      <c r="AN182" s="23" t="s">
        <v>54</v>
      </c>
      <c r="AO182" s="23">
        <v>4</v>
      </c>
      <c r="AP182" s="23">
        <v>0</v>
      </c>
      <c r="AQ182" s="23">
        <v>0</v>
      </c>
      <c r="AR182" s="37">
        <v>0</v>
      </c>
      <c r="AS182" s="37">
        <v>0</v>
      </c>
      <c r="AT182" s="37">
        <v>0</v>
      </c>
      <c r="AU182" s="33" t="str">
        <f t="shared" si="6"/>
        <v>库存为0</v>
      </c>
      <c r="AV182" s="38" t="str">
        <f>IFERROR(时间!$B$4+AU182,"上周无销量")</f>
        <v>上周无销量</v>
      </c>
    </row>
    <row r="183" spans="1:48">
      <c r="A183" s="21" t="s">
        <v>467</v>
      </c>
      <c r="B183" t="s">
        <v>468</v>
      </c>
      <c r="C183" t="s">
        <v>448</v>
      </c>
      <c r="D183" s="33">
        <v>0</v>
      </c>
      <c r="E183" s="33">
        <v>4</v>
      </c>
      <c r="F183" s="33">
        <v>0</v>
      </c>
      <c r="G183" s="33">
        <v>0</v>
      </c>
      <c r="H183" s="34">
        <v>0</v>
      </c>
      <c r="I183">
        <v>0</v>
      </c>
      <c r="J183" s="35">
        <v>0</v>
      </c>
      <c r="K183" s="35">
        <v>0</v>
      </c>
      <c r="L183" s="35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 s="23" t="s">
        <v>54</v>
      </c>
      <c r="Y183" s="23" t="s">
        <v>54</v>
      </c>
      <c r="Z183" s="23" t="s">
        <v>54</v>
      </c>
      <c r="AA183" s="23">
        <v>0</v>
      </c>
      <c r="AB183">
        <v>0</v>
      </c>
      <c r="AC183">
        <v>0</v>
      </c>
      <c r="AD183">
        <v>0</v>
      </c>
      <c r="AE183">
        <v>0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5</v>
      </c>
      <c r="AM183">
        <v>13</v>
      </c>
      <c r="AN183" s="23" t="s">
        <v>54</v>
      </c>
      <c r="AO183" s="23" t="s">
        <v>54</v>
      </c>
      <c r="AP183" s="23">
        <v>0</v>
      </c>
      <c r="AQ183" s="23">
        <v>0</v>
      </c>
      <c r="AR183" s="37">
        <v>0</v>
      </c>
      <c r="AS183" s="37">
        <v>0</v>
      </c>
      <c r="AT183" s="37">
        <v>0</v>
      </c>
      <c r="AU183" s="33" t="str">
        <f t="shared" si="6"/>
        <v>库存为0</v>
      </c>
      <c r="AV183" s="38" t="str">
        <f>IFERROR(时间!$B$4+AU183,"上周无销量")</f>
        <v>上周无销量</v>
      </c>
    </row>
    <row r="184" spans="1:48">
      <c r="A184" s="21" t="s">
        <v>469</v>
      </c>
      <c r="B184" t="s">
        <v>470</v>
      </c>
      <c r="C184" t="s">
        <v>448</v>
      </c>
      <c r="D184" s="33">
        <v>0</v>
      </c>
      <c r="E184" s="33">
        <v>5</v>
      </c>
      <c r="F184" s="33">
        <v>0</v>
      </c>
      <c r="G184" s="33">
        <v>0</v>
      </c>
      <c r="H184" s="34">
        <v>0</v>
      </c>
      <c r="I184">
        <v>1</v>
      </c>
      <c r="J184" s="35">
        <v>0</v>
      </c>
      <c r="K184" s="35">
        <v>0</v>
      </c>
      <c r="L184" s="35">
        <v>0</v>
      </c>
      <c r="M184">
        <v>1</v>
      </c>
      <c r="N184">
        <v>0</v>
      </c>
      <c r="O184">
        <v>0</v>
      </c>
      <c r="P184">
        <v>160</v>
      </c>
      <c r="Q184">
        <v>695</v>
      </c>
      <c r="R184">
        <v>4553</v>
      </c>
      <c r="S184">
        <v>5569</v>
      </c>
      <c r="T184">
        <v>4</v>
      </c>
      <c r="U184">
        <v>9</v>
      </c>
      <c r="V184">
        <v>42</v>
      </c>
      <c r="W184">
        <v>63</v>
      </c>
      <c r="X184" s="23">
        <v>0.025</v>
      </c>
      <c r="Y184" s="23">
        <v>0.0129496402877698</v>
      </c>
      <c r="Z184" s="23">
        <v>0.00922468701954755</v>
      </c>
      <c r="AA184" s="23">
        <v>0.011312623451248</v>
      </c>
      <c r="AB184">
        <v>0.17</v>
      </c>
      <c r="AC184">
        <v>2.3</v>
      </c>
      <c r="AD184">
        <v>11.76</v>
      </c>
      <c r="AE184">
        <v>21.75</v>
      </c>
      <c r="AF184" s="23" t="s">
        <v>436</v>
      </c>
      <c r="AG184" s="23" t="s">
        <v>471</v>
      </c>
      <c r="AH184" s="23" t="s">
        <v>472</v>
      </c>
      <c r="AI184" s="23" t="s">
        <v>473</v>
      </c>
      <c r="AJ184">
        <v>2</v>
      </c>
      <c r="AK184">
        <v>10</v>
      </c>
      <c r="AL184">
        <v>15</v>
      </c>
      <c r="AM184">
        <v>27</v>
      </c>
      <c r="AN184" s="23">
        <v>0</v>
      </c>
      <c r="AO184" s="23">
        <v>0.5</v>
      </c>
      <c r="AP184" s="23">
        <v>0</v>
      </c>
      <c r="AQ184" s="23">
        <v>0</v>
      </c>
      <c r="AR184" s="37">
        <v>0</v>
      </c>
      <c r="AS184" s="37">
        <v>0</v>
      </c>
      <c r="AT184" s="37">
        <v>1</v>
      </c>
      <c r="AU184" s="33" t="str">
        <f t="shared" si="6"/>
        <v>库存为1</v>
      </c>
      <c r="AV184" s="38" t="str">
        <f>IFERROR(时间!$B$4+AU184,"上周无销量")</f>
        <v>上周无销量</v>
      </c>
    </row>
    <row r="185" spans="1:48">
      <c r="A185" s="21" t="s">
        <v>474</v>
      </c>
      <c r="B185" t="s">
        <v>475</v>
      </c>
      <c r="C185" t="s">
        <v>448</v>
      </c>
      <c r="D185" s="33">
        <v>0</v>
      </c>
      <c r="E185" s="33">
        <v>9</v>
      </c>
      <c r="F185" s="33">
        <v>1</v>
      </c>
      <c r="G185" s="33">
        <v>0</v>
      </c>
      <c r="H185" s="34">
        <v>1.39</v>
      </c>
      <c r="I185">
        <v>0</v>
      </c>
      <c r="J185" s="35">
        <v>0</v>
      </c>
      <c r="K185" s="35">
        <v>0</v>
      </c>
      <c r="L185" s="3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2</v>
      </c>
      <c r="S185">
        <v>0</v>
      </c>
      <c r="T185">
        <v>0</v>
      </c>
      <c r="U185">
        <v>0</v>
      </c>
      <c r="V185">
        <v>0</v>
      </c>
      <c r="W185">
        <v>0</v>
      </c>
      <c r="X185" s="23" t="s">
        <v>54</v>
      </c>
      <c r="Y185" s="23" t="s">
        <v>54</v>
      </c>
      <c r="Z185" s="23">
        <v>0</v>
      </c>
      <c r="AA185" s="23" t="s">
        <v>54</v>
      </c>
      <c r="AB185">
        <v>0</v>
      </c>
      <c r="AC185">
        <v>0</v>
      </c>
      <c r="AD185">
        <v>0</v>
      </c>
      <c r="AE185">
        <v>0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1</v>
      </c>
      <c r="AL185">
        <v>7</v>
      </c>
      <c r="AM185">
        <v>8</v>
      </c>
      <c r="AN185" s="23" t="s">
        <v>54</v>
      </c>
      <c r="AO185" s="23">
        <v>9</v>
      </c>
      <c r="AP185" s="23">
        <v>0.142857142857143</v>
      </c>
      <c r="AQ185" s="23">
        <v>0</v>
      </c>
      <c r="AR185" s="37">
        <v>0</v>
      </c>
      <c r="AS185" s="37">
        <v>0</v>
      </c>
      <c r="AT185" s="37">
        <v>0</v>
      </c>
      <c r="AU185" s="33" t="str">
        <f t="shared" si="6"/>
        <v>库存为0</v>
      </c>
      <c r="AV185" s="38" t="str">
        <f>IFERROR(时间!$B$4+AU185,"上周无销量")</f>
        <v>上周无销量</v>
      </c>
    </row>
    <row r="186" spans="1:48">
      <c r="A186" s="21" t="s">
        <v>476</v>
      </c>
      <c r="B186" t="s">
        <v>477</v>
      </c>
      <c r="C186" t="s">
        <v>448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0</v>
      </c>
      <c r="J186" s="35">
        <v>0</v>
      </c>
      <c r="K186" s="35">
        <v>0</v>
      </c>
      <c r="L186" s="35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7">
        <v>0</v>
      </c>
      <c r="AS186" s="37">
        <v>0</v>
      </c>
      <c r="AT186" s="37">
        <v>0</v>
      </c>
      <c r="AU186" s="33" t="str">
        <f t="shared" si="6"/>
        <v>库存为0</v>
      </c>
      <c r="AV186" s="38" t="str">
        <f>IFERROR(时间!$B$4+AU186,"上周无销量")</f>
        <v>上周无销量</v>
      </c>
    </row>
    <row r="187" spans="1:48">
      <c r="A187" s="21" t="s">
        <v>478</v>
      </c>
      <c r="B187" t="s">
        <v>479</v>
      </c>
      <c r="C187" t="s">
        <v>448</v>
      </c>
      <c r="D187" s="33">
        <v>0</v>
      </c>
      <c r="E187" s="33">
        <v>8</v>
      </c>
      <c r="F187" s="33">
        <v>0</v>
      </c>
      <c r="G187" s="33">
        <v>0</v>
      </c>
      <c r="H187" s="34">
        <v>0</v>
      </c>
      <c r="I187">
        <v>0</v>
      </c>
      <c r="J187" s="35">
        <v>0</v>
      </c>
      <c r="K187" s="35">
        <v>0</v>
      </c>
      <c r="L187" s="35">
        <v>0</v>
      </c>
      <c r="M187">
        <v>0</v>
      </c>
      <c r="N187">
        <v>0</v>
      </c>
      <c r="O187">
        <v>0</v>
      </c>
      <c r="P187">
        <v>0</v>
      </c>
      <c r="Q187">
        <v>3</v>
      </c>
      <c r="R187">
        <v>3</v>
      </c>
      <c r="S187">
        <v>0</v>
      </c>
      <c r="T187">
        <v>0</v>
      </c>
      <c r="U187">
        <v>0</v>
      </c>
      <c r="V187">
        <v>0</v>
      </c>
      <c r="W187">
        <v>0</v>
      </c>
      <c r="X187" s="23" t="s">
        <v>54</v>
      </c>
      <c r="Y187" s="23">
        <v>0</v>
      </c>
      <c r="Z187" s="23">
        <v>0</v>
      </c>
      <c r="AA187" s="23" t="s">
        <v>54</v>
      </c>
      <c r="AB187">
        <v>0</v>
      </c>
      <c r="AC187">
        <v>0</v>
      </c>
      <c r="AD187">
        <v>0</v>
      </c>
      <c r="AE187">
        <v>0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1</v>
      </c>
      <c r="AL187">
        <v>3</v>
      </c>
      <c r="AM187">
        <v>10</v>
      </c>
      <c r="AN187" s="23" t="s">
        <v>54</v>
      </c>
      <c r="AO187" s="23">
        <v>8</v>
      </c>
      <c r="AP187" s="23">
        <v>0</v>
      </c>
      <c r="AQ187" s="23">
        <v>0</v>
      </c>
      <c r="AR187" s="37">
        <v>0</v>
      </c>
      <c r="AS187" s="37">
        <v>0</v>
      </c>
      <c r="AT187" s="37">
        <v>0</v>
      </c>
      <c r="AU187" s="33" t="str">
        <f t="shared" si="6"/>
        <v>库存为0</v>
      </c>
      <c r="AV187" s="38" t="str">
        <f>IFERROR(时间!$B$4+AU187,"上周无销量")</f>
        <v>上周无销量</v>
      </c>
    </row>
    <row r="188" spans="1:48">
      <c r="A188" s="21" t="s">
        <v>480</v>
      </c>
      <c r="B188" t="s">
        <v>481</v>
      </c>
      <c r="C188" t="s">
        <v>448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0</v>
      </c>
      <c r="J188" s="35">
        <v>0</v>
      </c>
      <c r="K188" s="35">
        <v>0</v>
      </c>
      <c r="L188" s="35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7">
        <v>0</v>
      </c>
      <c r="AS188" s="37">
        <v>0</v>
      </c>
      <c r="AT188" s="37">
        <v>0</v>
      </c>
      <c r="AU188" s="33" t="str">
        <f t="shared" si="6"/>
        <v>库存为0</v>
      </c>
      <c r="AV188" s="38" t="str">
        <f>IFERROR(时间!$B$4+AU188,"上周无销量")</f>
        <v>上周无销量</v>
      </c>
    </row>
    <row r="189" spans="1:48">
      <c r="A189" s="21" t="s">
        <v>482</v>
      </c>
      <c r="B189" t="s">
        <v>483</v>
      </c>
      <c r="C189" t="s">
        <v>448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0</v>
      </c>
      <c r="J189" s="35">
        <v>0</v>
      </c>
      <c r="K189" s="35">
        <v>0</v>
      </c>
      <c r="L189" s="35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7">
        <v>0</v>
      </c>
      <c r="AS189" s="37">
        <v>0</v>
      </c>
      <c r="AT189" s="37">
        <v>0</v>
      </c>
      <c r="AU189" s="33" t="str">
        <f t="shared" si="6"/>
        <v>库存为0</v>
      </c>
      <c r="AV189" s="38" t="str">
        <f>IFERROR(时间!$B$4+AU189,"上周无销量")</f>
        <v>上周无销量</v>
      </c>
    </row>
    <row r="190" spans="1:48">
      <c r="A190" s="21" t="s">
        <v>484</v>
      </c>
      <c r="B190" t="s">
        <v>485</v>
      </c>
      <c r="C190" t="s">
        <v>448</v>
      </c>
      <c r="D190" s="33">
        <v>0</v>
      </c>
      <c r="E190" s="33">
        <v>2</v>
      </c>
      <c r="F190" s="33">
        <v>0</v>
      </c>
      <c r="G190" s="33">
        <v>0</v>
      </c>
      <c r="H190" s="34">
        <v>0</v>
      </c>
      <c r="I190">
        <v>0</v>
      </c>
      <c r="J190" s="35">
        <v>0</v>
      </c>
      <c r="K190" s="35">
        <v>0</v>
      </c>
      <c r="L190" s="35">
        <v>0</v>
      </c>
      <c r="M190">
        <v>0</v>
      </c>
      <c r="N190">
        <v>0</v>
      </c>
      <c r="O190">
        <v>0</v>
      </c>
      <c r="P190">
        <v>0</v>
      </c>
      <c r="Q190">
        <v>2035</v>
      </c>
      <c r="R190">
        <v>14007</v>
      </c>
      <c r="S190">
        <v>6995</v>
      </c>
      <c r="T190">
        <v>0</v>
      </c>
      <c r="U190">
        <v>6</v>
      </c>
      <c r="V190">
        <v>56</v>
      </c>
      <c r="W190">
        <v>52</v>
      </c>
      <c r="X190" s="23" t="s">
        <v>54</v>
      </c>
      <c r="Y190" s="23">
        <v>0.00294840294840295</v>
      </c>
      <c r="Z190" s="23">
        <v>0.00399800099950025</v>
      </c>
      <c r="AA190" s="23">
        <v>0.00743388134381701</v>
      </c>
      <c r="AB190">
        <v>0</v>
      </c>
      <c r="AC190">
        <v>2.28</v>
      </c>
      <c r="AD190">
        <v>19.9</v>
      </c>
      <c r="AE190">
        <v>18.72</v>
      </c>
      <c r="AF190" s="23" t="s">
        <v>54</v>
      </c>
      <c r="AG190" s="23" t="s">
        <v>486</v>
      </c>
      <c r="AH190" s="23" t="s">
        <v>487</v>
      </c>
      <c r="AI190" s="23" t="s">
        <v>488</v>
      </c>
      <c r="AJ190">
        <v>0</v>
      </c>
      <c r="AK190">
        <v>10</v>
      </c>
      <c r="AL190">
        <v>46</v>
      </c>
      <c r="AM190">
        <v>27</v>
      </c>
      <c r="AN190" s="23" t="s">
        <v>54</v>
      </c>
      <c r="AO190" s="23">
        <v>0.2</v>
      </c>
      <c r="AP190" s="23">
        <v>0</v>
      </c>
      <c r="AQ190" s="23">
        <v>0</v>
      </c>
      <c r="AR190" s="37">
        <v>0</v>
      </c>
      <c r="AS190" s="37">
        <v>0</v>
      </c>
      <c r="AT190" s="37">
        <v>0</v>
      </c>
      <c r="AU190" s="33" t="str">
        <f t="shared" si="6"/>
        <v>库存为0</v>
      </c>
      <c r="AV190" s="38" t="str">
        <f>IFERROR(时间!$B$4+AU190,"上周无销量")</f>
        <v>上周无销量</v>
      </c>
    </row>
    <row r="191" spans="1:48">
      <c r="A191" s="21" t="s">
        <v>489</v>
      </c>
      <c r="B191" t="s">
        <v>490</v>
      </c>
      <c r="C191" t="s">
        <v>448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0</v>
      </c>
      <c r="J191" s="35">
        <v>0</v>
      </c>
      <c r="K191" s="35">
        <v>0</v>
      </c>
      <c r="L191" s="35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7">
        <v>0</v>
      </c>
      <c r="AS191" s="37">
        <v>0</v>
      </c>
      <c r="AT191" s="37">
        <v>0</v>
      </c>
      <c r="AU191" s="33" t="str">
        <f t="shared" si="6"/>
        <v>库存为0</v>
      </c>
      <c r="AV191" s="38" t="str">
        <f>IFERROR(时间!$B$4+AU191,"上周无销量")</f>
        <v>上周无销量</v>
      </c>
    </row>
    <row r="192" spans="1:48">
      <c r="A192" s="21" t="s">
        <v>491</v>
      </c>
      <c r="B192" t="s">
        <v>492</v>
      </c>
      <c r="C192" t="s">
        <v>493</v>
      </c>
      <c r="D192" s="33">
        <v>0</v>
      </c>
      <c r="E192" s="33">
        <v>34</v>
      </c>
      <c r="F192" s="33">
        <v>0</v>
      </c>
      <c r="G192" s="33">
        <v>0</v>
      </c>
      <c r="H192" s="34">
        <v>0</v>
      </c>
      <c r="I192">
        <v>0</v>
      </c>
      <c r="J192" s="35">
        <v>0</v>
      </c>
      <c r="K192" s="35">
        <v>0</v>
      </c>
      <c r="L192" s="35">
        <v>0</v>
      </c>
      <c r="M192">
        <v>0</v>
      </c>
      <c r="N192">
        <v>0</v>
      </c>
      <c r="O192">
        <v>0</v>
      </c>
      <c r="P192">
        <v>0</v>
      </c>
      <c r="Q192">
        <v>205</v>
      </c>
      <c r="R192">
        <v>1914</v>
      </c>
      <c r="S192">
        <v>3148</v>
      </c>
      <c r="T192">
        <v>0</v>
      </c>
      <c r="U192">
        <v>2</v>
      </c>
      <c r="V192">
        <v>9</v>
      </c>
      <c r="W192">
        <v>20</v>
      </c>
      <c r="X192" s="23" t="s">
        <v>54</v>
      </c>
      <c r="Y192" s="23">
        <v>0.00975609756097561</v>
      </c>
      <c r="Z192" s="23">
        <v>0.00470219435736677</v>
      </c>
      <c r="AA192" s="23">
        <v>0.00635324015247776</v>
      </c>
      <c r="AB192">
        <v>0</v>
      </c>
      <c r="AC192">
        <v>0.74</v>
      </c>
      <c r="AD192">
        <v>3.69</v>
      </c>
      <c r="AE192">
        <v>8.38</v>
      </c>
      <c r="AF192" s="23" t="s">
        <v>54</v>
      </c>
      <c r="AG192" s="23" t="s">
        <v>494</v>
      </c>
      <c r="AH192" s="23" t="s">
        <v>495</v>
      </c>
      <c r="AI192" s="23" t="s">
        <v>496</v>
      </c>
      <c r="AJ192">
        <v>0</v>
      </c>
      <c r="AK192">
        <v>2</v>
      </c>
      <c r="AL192">
        <v>10</v>
      </c>
      <c r="AM192">
        <v>8</v>
      </c>
      <c r="AN192" s="23" t="s">
        <v>54</v>
      </c>
      <c r="AO192" s="23">
        <v>17</v>
      </c>
      <c r="AP192" s="23">
        <v>0</v>
      </c>
      <c r="AQ192" s="23">
        <v>0</v>
      </c>
      <c r="AR192" s="37">
        <v>0</v>
      </c>
      <c r="AS192" s="37">
        <v>0</v>
      </c>
      <c r="AT192" s="37">
        <v>0</v>
      </c>
      <c r="AU192" s="33" t="str">
        <f t="shared" si="6"/>
        <v>库存为0</v>
      </c>
      <c r="AV192" s="38" t="str">
        <f>IFERROR(时间!$B$4+AU192,"上周无销量")</f>
        <v>上周无销量</v>
      </c>
    </row>
    <row r="193" spans="1:48">
      <c r="A193" s="21" t="s">
        <v>497</v>
      </c>
      <c r="B193" t="s">
        <v>498</v>
      </c>
      <c r="C193" t="s">
        <v>493</v>
      </c>
      <c r="D193" s="33">
        <v>0</v>
      </c>
      <c r="E193" s="33">
        <v>22</v>
      </c>
      <c r="F193" s="33">
        <v>0</v>
      </c>
      <c r="G193" s="33">
        <v>0</v>
      </c>
      <c r="H193" s="34">
        <v>0</v>
      </c>
      <c r="I193">
        <v>22</v>
      </c>
      <c r="J193" s="35">
        <v>0</v>
      </c>
      <c r="K193" s="35">
        <v>0</v>
      </c>
      <c r="L193" s="35">
        <v>0</v>
      </c>
      <c r="M193">
        <v>22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1</v>
      </c>
      <c r="AK193">
        <v>2</v>
      </c>
      <c r="AL193">
        <v>5</v>
      </c>
      <c r="AM193">
        <v>1</v>
      </c>
      <c r="AN193" s="23">
        <v>0</v>
      </c>
      <c r="AO193" s="23">
        <v>11</v>
      </c>
      <c r="AP193" s="23">
        <v>0</v>
      </c>
      <c r="AQ193" s="23">
        <v>0</v>
      </c>
      <c r="AR193" s="37">
        <v>0</v>
      </c>
      <c r="AS193" s="37">
        <v>0</v>
      </c>
      <c r="AT193" s="37">
        <v>22</v>
      </c>
      <c r="AU193" s="33" t="str">
        <f t="shared" si="6"/>
        <v>库存为22</v>
      </c>
      <c r="AV193" s="38" t="str">
        <f>IFERROR(时间!$B$4+AU193,"上周无销量")</f>
        <v>上周无销量</v>
      </c>
    </row>
    <row r="194" spans="1:48">
      <c r="A194" s="21" t="s">
        <v>499</v>
      </c>
      <c r="B194" t="s">
        <v>500</v>
      </c>
      <c r="C194" t="s">
        <v>493</v>
      </c>
      <c r="D194" s="33">
        <v>0</v>
      </c>
      <c r="E194" s="33">
        <v>48</v>
      </c>
      <c r="F194" s="33">
        <v>0</v>
      </c>
      <c r="G194" s="33">
        <v>0</v>
      </c>
      <c r="H194" s="34">
        <v>0</v>
      </c>
      <c r="I194">
        <v>0</v>
      </c>
      <c r="J194" s="35">
        <v>0</v>
      </c>
      <c r="K194" s="35">
        <v>0</v>
      </c>
      <c r="L194" s="35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4</v>
      </c>
      <c r="AM194">
        <v>2</v>
      </c>
      <c r="AN194" s="23" t="s">
        <v>54</v>
      </c>
      <c r="AO194" s="23" t="s">
        <v>54</v>
      </c>
      <c r="AP194" s="23">
        <v>0</v>
      </c>
      <c r="AQ194" s="23">
        <v>0</v>
      </c>
      <c r="AR194" s="37">
        <v>0</v>
      </c>
      <c r="AS194" s="37">
        <v>0</v>
      </c>
      <c r="AT194" s="37">
        <v>0</v>
      </c>
      <c r="AU194" s="33" t="str">
        <f t="shared" si="6"/>
        <v>库存为0</v>
      </c>
      <c r="AV194" s="38" t="str">
        <f>IFERROR(时间!$B$4+AU194,"上周无销量")</f>
        <v>上周无销量</v>
      </c>
    </row>
    <row r="195" spans="1:48">
      <c r="A195" s="21" t="s">
        <v>501</v>
      </c>
      <c r="B195" t="s">
        <v>502</v>
      </c>
      <c r="C195" t="s">
        <v>493</v>
      </c>
      <c r="D195" s="33">
        <v>0</v>
      </c>
      <c r="E195" s="33">
        <v>40</v>
      </c>
      <c r="F195" s="33">
        <v>1</v>
      </c>
      <c r="G195" s="33">
        <v>0</v>
      </c>
      <c r="H195" s="34">
        <v>0.21609756097561</v>
      </c>
      <c r="I195">
        <v>34</v>
      </c>
      <c r="J195" s="35">
        <v>0</v>
      </c>
      <c r="K195" s="35">
        <v>0</v>
      </c>
      <c r="L195" s="35">
        <v>0</v>
      </c>
      <c r="M195">
        <v>34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4</v>
      </c>
      <c r="AM195">
        <v>1</v>
      </c>
      <c r="AN195" s="23" t="s">
        <v>54</v>
      </c>
      <c r="AO195" s="23" t="s">
        <v>54</v>
      </c>
      <c r="AP195" s="23">
        <v>0.25</v>
      </c>
      <c r="AQ195" s="23">
        <v>0</v>
      </c>
      <c r="AR195" s="37">
        <v>0</v>
      </c>
      <c r="AS195" s="37">
        <v>0</v>
      </c>
      <c r="AT195" s="37">
        <v>34</v>
      </c>
      <c r="AU195" s="33" t="str">
        <f t="shared" si="6"/>
        <v>库存为34</v>
      </c>
      <c r="AV195" s="38" t="str">
        <f>IFERROR(时间!$B$4+AU195,"上周无销量")</f>
        <v>上周无销量</v>
      </c>
    </row>
    <row r="196" spans="1:48">
      <c r="A196" s="21" t="s">
        <v>503</v>
      </c>
      <c r="B196" t="s">
        <v>504</v>
      </c>
      <c r="C196" t="s">
        <v>493</v>
      </c>
      <c r="D196" s="33">
        <v>0</v>
      </c>
      <c r="E196" s="33">
        <v>44</v>
      </c>
      <c r="F196" s="33">
        <v>0</v>
      </c>
      <c r="G196" s="33">
        <v>0</v>
      </c>
      <c r="H196" s="34">
        <v>0</v>
      </c>
      <c r="I196">
        <v>0</v>
      </c>
      <c r="J196" s="35">
        <v>0</v>
      </c>
      <c r="K196" s="35">
        <v>0</v>
      </c>
      <c r="L196" s="35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3</v>
      </c>
      <c r="AM196">
        <v>1</v>
      </c>
      <c r="AN196" s="23" t="s">
        <v>54</v>
      </c>
      <c r="AO196" s="23" t="s">
        <v>54</v>
      </c>
      <c r="AP196" s="23">
        <v>0</v>
      </c>
      <c r="AQ196" s="23">
        <v>0</v>
      </c>
      <c r="AR196" s="37">
        <v>0</v>
      </c>
      <c r="AS196" s="37">
        <v>0</v>
      </c>
      <c r="AT196" s="37">
        <v>0</v>
      </c>
      <c r="AU196" s="33" t="str">
        <f t="shared" si="6"/>
        <v>库存为0</v>
      </c>
      <c r="AV196" s="38" t="str">
        <f>IFERROR(时间!$B$4+AU196,"上周无销量")</f>
        <v>上周无销量</v>
      </c>
    </row>
    <row r="197" spans="1:48">
      <c r="A197" s="21" t="s">
        <v>505</v>
      </c>
      <c r="B197" t="s">
        <v>506</v>
      </c>
      <c r="C197" t="s">
        <v>507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0</v>
      </c>
      <c r="J197" s="35">
        <v>0</v>
      </c>
      <c r="K197" s="35">
        <v>0</v>
      </c>
      <c r="L197" s="35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7">
        <v>0</v>
      </c>
      <c r="AS197" s="37">
        <v>0</v>
      </c>
      <c r="AT197" s="37">
        <v>0</v>
      </c>
      <c r="AU197" s="33" t="str">
        <f t="shared" ref="AU197:AU260" si="7">IF(AR197="","库存为"&amp;M197,IF(AS197=0,"库存为"&amp;M197,INT(M197/AR197)))</f>
        <v>库存为0</v>
      </c>
      <c r="AV197" s="38" t="str">
        <f>IFERROR(时间!$B$4+AU197,"上周无销量")</f>
        <v>上周无销量</v>
      </c>
    </row>
    <row r="198" spans="1:48">
      <c r="A198" s="21" t="s">
        <v>508</v>
      </c>
      <c r="B198" t="s">
        <v>509</v>
      </c>
      <c r="C198" t="s">
        <v>507</v>
      </c>
      <c r="D198" s="33">
        <v>0</v>
      </c>
      <c r="E198" s="33">
        <v>54</v>
      </c>
      <c r="F198" s="33">
        <v>0</v>
      </c>
      <c r="G198" s="33">
        <v>0</v>
      </c>
      <c r="H198" s="34">
        <v>0</v>
      </c>
      <c r="I198">
        <v>0</v>
      </c>
      <c r="J198" s="35">
        <v>0</v>
      </c>
      <c r="K198" s="35">
        <v>0</v>
      </c>
      <c r="L198" s="35">
        <v>0</v>
      </c>
      <c r="M198">
        <v>0</v>
      </c>
      <c r="N198">
        <v>0</v>
      </c>
      <c r="O198">
        <v>0</v>
      </c>
      <c r="P198">
        <v>0</v>
      </c>
      <c r="Q198">
        <v>158</v>
      </c>
      <c r="R198">
        <v>730</v>
      </c>
      <c r="S198">
        <v>862</v>
      </c>
      <c r="T198">
        <v>0</v>
      </c>
      <c r="U198">
        <v>0</v>
      </c>
      <c r="V198">
        <v>4</v>
      </c>
      <c r="W198">
        <v>3</v>
      </c>
      <c r="X198" s="23" t="s">
        <v>54</v>
      </c>
      <c r="Y198" s="23">
        <v>0</v>
      </c>
      <c r="Z198" s="23">
        <v>0.00547945205479452</v>
      </c>
      <c r="AA198" s="23">
        <v>0.00348027842227378</v>
      </c>
      <c r="AB198">
        <v>0</v>
      </c>
      <c r="AC198">
        <v>0</v>
      </c>
      <c r="AD198">
        <v>1.38</v>
      </c>
      <c r="AE198">
        <v>1.23</v>
      </c>
      <c r="AF198" s="23" t="s">
        <v>54</v>
      </c>
      <c r="AG198" s="23" t="s">
        <v>54</v>
      </c>
      <c r="AH198" s="23" t="s">
        <v>510</v>
      </c>
      <c r="AI198" s="23" t="s">
        <v>511</v>
      </c>
      <c r="AJ198">
        <v>0</v>
      </c>
      <c r="AK198">
        <v>1</v>
      </c>
      <c r="AL198">
        <v>6</v>
      </c>
      <c r="AM198">
        <v>6</v>
      </c>
      <c r="AN198" s="23" t="s">
        <v>54</v>
      </c>
      <c r="AO198" s="23">
        <v>54</v>
      </c>
      <c r="AP198" s="23">
        <v>0</v>
      </c>
      <c r="AQ198" s="23">
        <v>0</v>
      </c>
      <c r="AR198" s="37">
        <v>0</v>
      </c>
      <c r="AS198" s="37">
        <v>0</v>
      </c>
      <c r="AT198" s="37">
        <v>0</v>
      </c>
      <c r="AU198" s="33" t="str">
        <f t="shared" si="7"/>
        <v>库存为0</v>
      </c>
      <c r="AV198" s="38" t="str">
        <f>IFERROR(时间!$B$4+AU198,"上周无销量")</f>
        <v>上周无销量</v>
      </c>
    </row>
    <row r="199" spans="1:48">
      <c r="A199" s="21" t="s">
        <v>512</v>
      </c>
      <c r="B199" t="s">
        <v>513</v>
      </c>
      <c r="C199" t="s">
        <v>507</v>
      </c>
      <c r="D199" s="33">
        <v>0</v>
      </c>
      <c r="E199" s="33">
        <v>26</v>
      </c>
      <c r="F199" s="33">
        <v>0</v>
      </c>
      <c r="G199" s="33">
        <v>0</v>
      </c>
      <c r="H199" s="34">
        <v>0</v>
      </c>
      <c r="I199">
        <v>0</v>
      </c>
      <c r="J199" s="35">
        <v>0</v>
      </c>
      <c r="K199" s="35">
        <v>0</v>
      </c>
      <c r="L199" s="35">
        <v>0</v>
      </c>
      <c r="M199">
        <v>0</v>
      </c>
      <c r="N199">
        <v>0</v>
      </c>
      <c r="O199">
        <v>0</v>
      </c>
      <c r="P199">
        <v>0</v>
      </c>
      <c r="Q199">
        <v>251</v>
      </c>
      <c r="R199">
        <v>9402</v>
      </c>
      <c r="S199">
        <v>1453</v>
      </c>
      <c r="T199">
        <v>0</v>
      </c>
      <c r="U199">
        <v>0</v>
      </c>
      <c r="V199">
        <v>18</v>
      </c>
      <c r="W199">
        <v>6</v>
      </c>
      <c r="X199" s="23" t="s">
        <v>54</v>
      </c>
      <c r="Y199" s="23">
        <v>0</v>
      </c>
      <c r="Z199" s="23">
        <v>0.001914486279515</v>
      </c>
      <c r="AA199" s="23">
        <v>0.00412938747419133</v>
      </c>
      <c r="AB199">
        <v>0</v>
      </c>
      <c r="AC199">
        <v>0</v>
      </c>
      <c r="AD199">
        <v>4.73</v>
      </c>
      <c r="AE199">
        <v>2.05</v>
      </c>
      <c r="AF199" s="23" t="s">
        <v>54</v>
      </c>
      <c r="AG199" s="23" t="s">
        <v>54</v>
      </c>
      <c r="AH199" s="23" t="s">
        <v>514</v>
      </c>
      <c r="AI199" s="23" t="s">
        <v>515</v>
      </c>
      <c r="AJ199">
        <v>0</v>
      </c>
      <c r="AK199">
        <v>2</v>
      </c>
      <c r="AL199">
        <v>15</v>
      </c>
      <c r="AM199">
        <v>1</v>
      </c>
      <c r="AN199" s="23" t="s">
        <v>54</v>
      </c>
      <c r="AO199" s="23">
        <v>13</v>
      </c>
      <c r="AP199" s="23">
        <v>0</v>
      </c>
      <c r="AQ199" s="23">
        <v>0</v>
      </c>
      <c r="AR199" s="37">
        <v>0</v>
      </c>
      <c r="AS199" s="37">
        <v>0</v>
      </c>
      <c r="AT199" s="37">
        <v>0</v>
      </c>
      <c r="AU199" s="33" t="str">
        <f t="shared" si="7"/>
        <v>库存为0</v>
      </c>
      <c r="AV199" s="38" t="str">
        <f>IFERROR(时间!$B$4+AU199,"上周无销量")</f>
        <v>上周无销量</v>
      </c>
    </row>
    <row r="200" spans="1:48">
      <c r="A200" s="21" t="s">
        <v>516</v>
      </c>
      <c r="B200" t="s">
        <v>517</v>
      </c>
      <c r="C200" t="s">
        <v>507</v>
      </c>
      <c r="D200" s="33">
        <v>0</v>
      </c>
      <c r="E200" s="33">
        <v>27</v>
      </c>
      <c r="F200" s="33">
        <v>0</v>
      </c>
      <c r="G200" s="33">
        <v>0</v>
      </c>
      <c r="H200" s="34">
        <v>0</v>
      </c>
      <c r="I200">
        <v>0</v>
      </c>
      <c r="J200" s="35">
        <v>0</v>
      </c>
      <c r="K200" s="35">
        <v>0</v>
      </c>
      <c r="L200" s="35">
        <v>0</v>
      </c>
      <c r="M200">
        <v>0</v>
      </c>
      <c r="N200">
        <v>0</v>
      </c>
      <c r="O200">
        <v>0</v>
      </c>
      <c r="P200">
        <v>0</v>
      </c>
      <c r="Q200">
        <v>27</v>
      </c>
      <c r="R200">
        <v>59</v>
      </c>
      <c r="S200">
        <v>83</v>
      </c>
      <c r="T200">
        <v>0</v>
      </c>
      <c r="U200">
        <v>0</v>
      </c>
      <c r="V200">
        <v>0</v>
      </c>
      <c r="W200">
        <v>0</v>
      </c>
      <c r="X200" s="23" t="s">
        <v>54</v>
      </c>
      <c r="Y200" s="23">
        <v>0</v>
      </c>
      <c r="Z200" s="23">
        <v>0</v>
      </c>
      <c r="AA200" s="23">
        <v>0</v>
      </c>
      <c r="AB200">
        <v>0</v>
      </c>
      <c r="AC200">
        <v>0</v>
      </c>
      <c r="AD200">
        <v>0</v>
      </c>
      <c r="AE200">
        <v>0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1</v>
      </c>
      <c r="AL200">
        <v>2</v>
      </c>
      <c r="AM200">
        <v>4</v>
      </c>
      <c r="AN200" s="23" t="s">
        <v>54</v>
      </c>
      <c r="AO200" s="23">
        <v>27</v>
      </c>
      <c r="AP200" s="23">
        <v>0</v>
      </c>
      <c r="AQ200" s="23">
        <v>0</v>
      </c>
      <c r="AR200" s="37">
        <v>0</v>
      </c>
      <c r="AS200" s="37">
        <v>0</v>
      </c>
      <c r="AT200" s="37">
        <v>0</v>
      </c>
      <c r="AU200" s="33" t="str">
        <f t="shared" si="7"/>
        <v>库存为0</v>
      </c>
      <c r="AV200" s="38" t="str">
        <f>IFERROR(时间!$B$4+AU200,"上周无销量")</f>
        <v>上周无销量</v>
      </c>
    </row>
    <row r="201" spans="1:48">
      <c r="A201" s="21" t="s">
        <v>518</v>
      </c>
      <c r="B201" t="s">
        <v>519</v>
      </c>
      <c r="C201" t="s">
        <v>507</v>
      </c>
      <c r="D201" s="33">
        <v>0</v>
      </c>
      <c r="E201" s="33">
        <v>27</v>
      </c>
      <c r="F201" s="33">
        <v>0</v>
      </c>
      <c r="G201" s="33">
        <v>0</v>
      </c>
      <c r="H201" s="34">
        <v>0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>
        <v>0</v>
      </c>
      <c r="Q201">
        <v>159</v>
      </c>
      <c r="R201">
        <v>6314</v>
      </c>
      <c r="S201">
        <v>21886</v>
      </c>
      <c r="T201">
        <v>0</v>
      </c>
      <c r="U201">
        <v>1</v>
      </c>
      <c r="V201">
        <v>17</v>
      </c>
      <c r="W201">
        <v>63</v>
      </c>
      <c r="X201" s="23" t="s">
        <v>54</v>
      </c>
      <c r="Y201" s="23">
        <v>0.00628930817610063</v>
      </c>
      <c r="Z201" s="23">
        <v>0.00269242952169781</v>
      </c>
      <c r="AA201" s="23">
        <v>0.00287855249931463</v>
      </c>
      <c r="AB201">
        <v>0</v>
      </c>
      <c r="AC201">
        <v>0.28</v>
      </c>
      <c r="AD201">
        <v>4.03</v>
      </c>
      <c r="AE201">
        <v>15.82</v>
      </c>
      <c r="AF201" s="23" t="s">
        <v>54</v>
      </c>
      <c r="AG201" s="23" t="s">
        <v>235</v>
      </c>
      <c r="AH201" s="23" t="s">
        <v>520</v>
      </c>
      <c r="AI201" s="23" t="s">
        <v>521</v>
      </c>
      <c r="AJ201">
        <v>0</v>
      </c>
      <c r="AK201">
        <v>1</v>
      </c>
      <c r="AL201">
        <v>12</v>
      </c>
      <c r="AM201">
        <v>34</v>
      </c>
      <c r="AN201" s="23" t="s">
        <v>54</v>
      </c>
      <c r="AO201" s="23">
        <v>27</v>
      </c>
      <c r="AP201" s="23">
        <v>0</v>
      </c>
      <c r="AQ201" s="23">
        <v>0</v>
      </c>
      <c r="AR201" s="37">
        <v>0</v>
      </c>
      <c r="AS201" s="37">
        <v>0</v>
      </c>
      <c r="AT201" s="37">
        <v>0</v>
      </c>
      <c r="AU201" s="33" t="str">
        <f t="shared" si="7"/>
        <v>库存为0</v>
      </c>
      <c r="AV201" s="38" t="str">
        <f>IFERROR(时间!$B$4+AU201,"上周无销量")</f>
        <v>上周无销量</v>
      </c>
    </row>
    <row r="202" spans="1:48">
      <c r="A202" s="21" t="s">
        <v>522</v>
      </c>
      <c r="B202" t="s">
        <v>523</v>
      </c>
      <c r="C202" t="s">
        <v>507</v>
      </c>
      <c r="D202" s="33">
        <v>0</v>
      </c>
      <c r="E202" s="33">
        <v>27</v>
      </c>
      <c r="F202" s="33">
        <v>0</v>
      </c>
      <c r="G202" s="33">
        <v>0</v>
      </c>
      <c r="H202" s="34">
        <v>0</v>
      </c>
      <c r="I202">
        <v>0</v>
      </c>
      <c r="J202" s="35">
        <v>0</v>
      </c>
      <c r="K202" s="35">
        <v>0</v>
      </c>
      <c r="L202" s="35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3</v>
      </c>
      <c r="AM202">
        <v>1</v>
      </c>
      <c r="AN202" s="23" t="s">
        <v>54</v>
      </c>
      <c r="AO202" s="23" t="s">
        <v>54</v>
      </c>
      <c r="AP202" s="23">
        <v>0</v>
      </c>
      <c r="AQ202" s="23">
        <v>0</v>
      </c>
      <c r="AR202" s="37">
        <v>0</v>
      </c>
      <c r="AS202" s="37">
        <v>0</v>
      </c>
      <c r="AT202" s="37">
        <v>0</v>
      </c>
      <c r="AU202" s="33" t="str">
        <f t="shared" si="7"/>
        <v>库存为0</v>
      </c>
      <c r="AV202" s="38" t="str">
        <f>IFERROR(时间!$B$4+AU202,"上周无销量")</f>
        <v>上周无销量</v>
      </c>
    </row>
    <row r="203" spans="1:48">
      <c r="A203" s="21" t="s">
        <v>524</v>
      </c>
      <c r="B203" t="s">
        <v>525</v>
      </c>
      <c r="C203" t="s">
        <v>507</v>
      </c>
      <c r="D203" s="33">
        <v>0</v>
      </c>
      <c r="E203" s="33">
        <v>26</v>
      </c>
      <c r="F203" s="33">
        <v>0</v>
      </c>
      <c r="G203" s="33">
        <v>0</v>
      </c>
      <c r="H203" s="34">
        <v>0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0</v>
      </c>
      <c r="O203">
        <v>0</v>
      </c>
      <c r="P203">
        <v>0</v>
      </c>
      <c r="Q203">
        <v>13</v>
      </c>
      <c r="R203">
        <v>73</v>
      </c>
      <c r="S203">
        <v>76</v>
      </c>
      <c r="T203">
        <v>0</v>
      </c>
      <c r="U203">
        <v>0</v>
      </c>
      <c r="V203">
        <v>0</v>
      </c>
      <c r="W203">
        <v>0</v>
      </c>
      <c r="X203" s="23" t="s">
        <v>54</v>
      </c>
      <c r="Y203" s="23">
        <v>0</v>
      </c>
      <c r="Z203" s="23">
        <v>0</v>
      </c>
      <c r="AA203" s="23">
        <v>0</v>
      </c>
      <c r="AB203">
        <v>0</v>
      </c>
      <c r="AC203">
        <v>0</v>
      </c>
      <c r="AD203">
        <v>0</v>
      </c>
      <c r="AE203">
        <v>0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1</v>
      </c>
      <c r="AL203">
        <v>4</v>
      </c>
      <c r="AM203">
        <v>3</v>
      </c>
      <c r="AN203" s="23" t="s">
        <v>54</v>
      </c>
      <c r="AO203" s="23">
        <v>26</v>
      </c>
      <c r="AP203" s="23">
        <v>0</v>
      </c>
      <c r="AQ203" s="23">
        <v>0</v>
      </c>
      <c r="AR203" s="37">
        <v>0</v>
      </c>
      <c r="AS203" s="37">
        <v>0</v>
      </c>
      <c r="AT203" s="37">
        <v>0</v>
      </c>
      <c r="AU203" s="33" t="str">
        <f t="shared" si="7"/>
        <v>库存为0</v>
      </c>
      <c r="AV203" s="38" t="str">
        <f>IFERROR(时间!$B$4+AU203,"上周无销量")</f>
        <v>上周无销量</v>
      </c>
    </row>
    <row r="204" spans="1:48">
      <c r="A204" s="21" t="s">
        <v>526</v>
      </c>
      <c r="B204" t="s">
        <v>527</v>
      </c>
      <c r="C204" t="s">
        <v>507</v>
      </c>
      <c r="D204" s="33">
        <v>0</v>
      </c>
      <c r="E204" s="33">
        <v>28</v>
      </c>
      <c r="F204" s="33">
        <v>0</v>
      </c>
      <c r="G204" s="33">
        <v>0</v>
      </c>
      <c r="H204" s="34">
        <v>0</v>
      </c>
      <c r="I204">
        <v>0</v>
      </c>
      <c r="J204" s="35">
        <v>0</v>
      </c>
      <c r="K204" s="35">
        <v>0</v>
      </c>
      <c r="L204" s="35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2</v>
      </c>
      <c r="AM204">
        <v>2</v>
      </c>
      <c r="AN204" s="23" t="s">
        <v>54</v>
      </c>
      <c r="AO204" s="23" t="s">
        <v>54</v>
      </c>
      <c r="AP204" s="23">
        <v>0</v>
      </c>
      <c r="AQ204" s="23">
        <v>0</v>
      </c>
      <c r="AR204" s="37">
        <v>0</v>
      </c>
      <c r="AS204" s="37">
        <v>0</v>
      </c>
      <c r="AT204" s="37">
        <v>0</v>
      </c>
      <c r="AU204" s="33" t="str">
        <f t="shared" si="7"/>
        <v>库存为0</v>
      </c>
      <c r="AV204" s="38" t="str">
        <f>IFERROR(时间!$B$4+AU204,"上周无销量")</f>
        <v>上周无销量</v>
      </c>
    </row>
    <row r="205" spans="1:48">
      <c r="A205" s="21" t="s">
        <v>528</v>
      </c>
      <c r="B205" t="s">
        <v>529</v>
      </c>
      <c r="C205" t="s">
        <v>507</v>
      </c>
      <c r="D205" s="33">
        <v>0</v>
      </c>
      <c r="E205" s="33">
        <v>28</v>
      </c>
      <c r="F205" s="33">
        <v>0</v>
      </c>
      <c r="G205" s="33">
        <v>0</v>
      </c>
      <c r="H205" s="34">
        <v>0</v>
      </c>
      <c r="I205">
        <v>0</v>
      </c>
      <c r="J205" s="35">
        <v>0</v>
      </c>
      <c r="K205" s="35">
        <v>0</v>
      </c>
      <c r="L205" s="35">
        <v>0</v>
      </c>
      <c r="M205">
        <v>0</v>
      </c>
      <c r="N205">
        <v>0</v>
      </c>
      <c r="O205">
        <v>0</v>
      </c>
      <c r="P205">
        <v>0</v>
      </c>
      <c r="Q205">
        <v>3</v>
      </c>
      <c r="R205">
        <v>6</v>
      </c>
      <c r="S205">
        <v>11</v>
      </c>
      <c r="T205">
        <v>0</v>
      </c>
      <c r="U205">
        <v>0</v>
      </c>
      <c r="V205">
        <v>0</v>
      </c>
      <c r="W205">
        <v>0</v>
      </c>
      <c r="X205" s="23" t="s">
        <v>54</v>
      </c>
      <c r="Y205" s="23">
        <v>0</v>
      </c>
      <c r="Z205" s="23">
        <v>0</v>
      </c>
      <c r="AA205" s="23">
        <v>0</v>
      </c>
      <c r="AB205">
        <v>0</v>
      </c>
      <c r="AC205">
        <v>0</v>
      </c>
      <c r="AD205">
        <v>0</v>
      </c>
      <c r="AE205">
        <v>0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4</v>
      </c>
      <c r="AM205">
        <v>1</v>
      </c>
      <c r="AN205" s="23" t="s">
        <v>54</v>
      </c>
      <c r="AO205" s="23" t="s">
        <v>54</v>
      </c>
      <c r="AP205" s="23">
        <v>0</v>
      </c>
      <c r="AQ205" s="23">
        <v>0</v>
      </c>
      <c r="AR205" s="37">
        <v>0</v>
      </c>
      <c r="AS205" s="37">
        <v>0</v>
      </c>
      <c r="AT205" s="37">
        <v>0</v>
      </c>
      <c r="AU205" s="33" t="str">
        <f t="shared" si="7"/>
        <v>库存为0</v>
      </c>
      <c r="AV205" s="38" t="str">
        <f>IFERROR(时间!$B$4+AU205,"上周无销量")</f>
        <v>上周无销量</v>
      </c>
    </row>
    <row r="206" spans="1:48">
      <c r="A206" s="21" t="s">
        <v>530</v>
      </c>
      <c r="B206" t="s">
        <v>531</v>
      </c>
      <c r="C206" t="s">
        <v>507</v>
      </c>
      <c r="D206" s="33">
        <v>0</v>
      </c>
      <c r="E206" s="33">
        <v>25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>
        <v>6</v>
      </c>
      <c r="Q206">
        <v>526</v>
      </c>
      <c r="R206">
        <v>272</v>
      </c>
      <c r="S206">
        <v>525</v>
      </c>
      <c r="T206">
        <v>0</v>
      </c>
      <c r="U206">
        <v>4</v>
      </c>
      <c r="V206">
        <v>2</v>
      </c>
      <c r="W206">
        <v>1</v>
      </c>
      <c r="X206" s="23">
        <v>0</v>
      </c>
      <c r="Y206" s="23">
        <v>0.00760456273764259</v>
      </c>
      <c r="Z206" s="23">
        <v>0.00735294117647059</v>
      </c>
      <c r="AA206" s="23">
        <v>0.0019047619047619</v>
      </c>
      <c r="AB206">
        <v>0</v>
      </c>
      <c r="AC206">
        <v>0.73</v>
      </c>
      <c r="AD206">
        <v>0.6</v>
      </c>
      <c r="AE206">
        <v>0.22</v>
      </c>
      <c r="AF206" s="23" t="s">
        <v>54</v>
      </c>
      <c r="AG206" s="23" t="s">
        <v>532</v>
      </c>
      <c r="AH206" s="23" t="s">
        <v>383</v>
      </c>
      <c r="AI206" s="23" t="s">
        <v>533</v>
      </c>
      <c r="AJ206">
        <v>4</v>
      </c>
      <c r="AK206">
        <v>4</v>
      </c>
      <c r="AL206">
        <v>4</v>
      </c>
      <c r="AM206">
        <v>2</v>
      </c>
      <c r="AN206" s="23">
        <v>0</v>
      </c>
      <c r="AO206" s="23">
        <v>6.25</v>
      </c>
      <c r="AP206" s="23">
        <v>0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534</v>
      </c>
      <c r="B207" t="s">
        <v>535</v>
      </c>
      <c r="C207" t="s">
        <v>507</v>
      </c>
      <c r="D207" s="33">
        <v>0</v>
      </c>
      <c r="E207" s="33">
        <v>30</v>
      </c>
      <c r="F207" s="33">
        <v>0</v>
      </c>
      <c r="G207" s="33">
        <v>0</v>
      </c>
      <c r="H207" s="34">
        <v>0</v>
      </c>
      <c r="I207">
        <v>0</v>
      </c>
      <c r="J207" s="35">
        <v>0</v>
      </c>
      <c r="K207" s="35">
        <v>0</v>
      </c>
      <c r="L207" s="35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3</v>
      </c>
      <c r="AM207">
        <v>2</v>
      </c>
      <c r="AN207" s="23" t="s">
        <v>54</v>
      </c>
      <c r="AO207" s="23" t="s">
        <v>54</v>
      </c>
      <c r="AP207" s="23">
        <v>0</v>
      </c>
      <c r="AQ207" s="23">
        <v>0</v>
      </c>
      <c r="AR207" s="37">
        <v>0</v>
      </c>
      <c r="AS207" s="37">
        <v>0</v>
      </c>
      <c r="AT207" s="37">
        <v>0</v>
      </c>
      <c r="AU207" s="33" t="str">
        <f t="shared" si="7"/>
        <v>库存为0</v>
      </c>
      <c r="AV207" s="38" t="str">
        <f>IFERROR(时间!$B$4+AU207,"上周无销量")</f>
        <v>上周无销量</v>
      </c>
    </row>
    <row r="208" spans="1:48">
      <c r="A208" s="21" t="s">
        <v>536</v>
      </c>
      <c r="B208" t="s">
        <v>537</v>
      </c>
      <c r="C208" t="s">
        <v>507</v>
      </c>
      <c r="D208" s="33">
        <v>0</v>
      </c>
      <c r="E208" s="33">
        <v>25</v>
      </c>
      <c r="F208" s="33">
        <v>0</v>
      </c>
      <c r="G208" s="33">
        <v>1</v>
      </c>
      <c r="H208" s="34">
        <v>0.399615384615385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>
        <v>110</v>
      </c>
      <c r="Q208">
        <v>1132</v>
      </c>
      <c r="R208">
        <v>1357</v>
      </c>
      <c r="S208">
        <v>1855</v>
      </c>
      <c r="T208">
        <v>0</v>
      </c>
      <c r="U208">
        <v>3</v>
      </c>
      <c r="V208">
        <v>3</v>
      </c>
      <c r="W208">
        <v>13</v>
      </c>
      <c r="X208" s="23">
        <v>0</v>
      </c>
      <c r="Y208" s="23">
        <v>0.00265017667844523</v>
      </c>
      <c r="Z208" s="23">
        <v>0.00221075902726603</v>
      </c>
      <c r="AA208" s="23">
        <v>0.00700808625336927</v>
      </c>
      <c r="AB208">
        <v>0</v>
      </c>
      <c r="AC208">
        <v>1.28</v>
      </c>
      <c r="AD208">
        <v>0.93</v>
      </c>
      <c r="AE208">
        <v>3.57</v>
      </c>
      <c r="AF208" s="23" t="s">
        <v>54</v>
      </c>
      <c r="AG208" s="23">
        <v>0.128123195380173</v>
      </c>
      <c r="AH208" s="23" t="s">
        <v>424</v>
      </c>
      <c r="AI208" s="23">
        <v>8.93358999037535</v>
      </c>
      <c r="AJ208">
        <v>4</v>
      </c>
      <c r="AK208">
        <v>4</v>
      </c>
      <c r="AL208">
        <v>4</v>
      </c>
      <c r="AM208">
        <v>5</v>
      </c>
      <c r="AN208" s="23">
        <v>0</v>
      </c>
      <c r="AO208" s="23">
        <v>6.25</v>
      </c>
      <c r="AP208" s="23">
        <v>0</v>
      </c>
      <c r="AQ208" s="23">
        <v>0.2</v>
      </c>
      <c r="AR208" s="37">
        <v>0</v>
      </c>
      <c r="AS208" s="37">
        <v>0</v>
      </c>
      <c r="AT208" s="37">
        <v>1</v>
      </c>
      <c r="AU208" s="33" t="str">
        <f t="shared" si="7"/>
        <v>库存为1</v>
      </c>
      <c r="AV208" s="38" t="str">
        <f>IFERROR(时间!$B$4+AU208,"上周无销量")</f>
        <v>上周无销量</v>
      </c>
    </row>
    <row r="209" spans="1:48">
      <c r="A209" s="21" t="s">
        <v>538</v>
      </c>
      <c r="B209" t="s">
        <v>539</v>
      </c>
      <c r="C209" t="s">
        <v>507</v>
      </c>
      <c r="D209" s="33">
        <v>0</v>
      </c>
      <c r="E209" s="33">
        <v>27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>
        <v>40</v>
      </c>
      <c r="Q209">
        <v>554</v>
      </c>
      <c r="R209">
        <v>2282</v>
      </c>
      <c r="S209">
        <v>11086</v>
      </c>
      <c r="T209">
        <v>0</v>
      </c>
      <c r="U209">
        <v>4</v>
      </c>
      <c r="V209">
        <v>4</v>
      </c>
      <c r="W209">
        <v>18</v>
      </c>
      <c r="X209" s="23">
        <v>0</v>
      </c>
      <c r="Y209" s="23">
        <v>0.0072202166064982</v>
      </c>
      <c r="Z209" s="23">
        <v>0.00175284837861525</v>
      </c>
      <c r="AA209" s="23">
        <v>0.0016236694930543</v>
      </c>
      <c r="AB209">
        <v>0</v>
      </c>
      <c r="AC209">
        <v>0.91</v>
      </c>
      <c r="AD209">
        <v>1.22</v>
      </c>
      <c r="AE209">
        <v>4.67</v>
      </c>
      <c r="AF209" s="23" t="s">
        <v>54</v>
      </c>
      <c r="AG209" s="23" t="s">
        <v>540</v>
      </c>
      <c r="AH209" s="23" t="s">
        <v>541</v>
      </c>
      <c r="AI209" s="23" t="s">
        <v>542</v>
      </c>
      <c r="AJ209">
        <v>5</v>
      </c>
      <c r="AK209">
        <v>7</v>
      </c>
      <c r="AL209">
        <v>5</v>
      </c>
      <c r="AM209">
        <v>11</v>
      </c>
      <c r="AN209" s="23">
        <v>0</v>
      </c>
      <c r="AO209" s="23">
        <v>3.85714285714286</v>
      </c>
      <c r="AP209" s="23">
        <v>0</v>
      </c>
      <c r="AQ209" s="23">
        <v>0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543</v>
      </c>
      <c r="B210" t="s">
        <v>544</v>
      </c>
      <c r="C210" t="s">
        <v>507</v>
      </c>
      <c r="D210" s="33">
        <v>0</v>
      </c>
      <c r="E210" s="33">
        <v>29</v>
      </c>
      <c r="F210" s="33">
        <v>0</v>
      </c>
      <c r="G210" s="33">
        <v>0</v>
      </c>
      <c r="H210" s="34">
        <v>0</v>
      </c>
      <c r="I210">
        <v>0</v>
      </c>
      <c r="J210" s="35">
        <v>0</v>
      </c>
      <c r="K210" s="35">
        <v>0</v>
      </c>
      <c r="L210" s="35">
        <v>0</v>
      </c>
      <c r="M210">
        <v>0</v>
      </c>
      <c r="N210">
        <v>0</v>
      </c>
      <c r="O210">
        <v>0</v>
      </c>
      <c r="P210">
        <v>0</v>
      </c>
      <c r="Q210">
        <v>5</v>
      </c>
      <c r="R210">
        <v>31</v>
      </c>
      <c r="S210">
        <v>98</v>
      </c>
      <c r="T210">
        <v>0</v>
      </c>
      <c r="U210">
        <v>0</v>
      </c>
      <c r="V210">
        <v>0</v>
      </c>
      <c r="W210">
        <v>0</v>
      </c>
      <c r="X210" s="23" t="s">
        <v>54</v>
      </c>
      <c r="Y210" s="23">
        <v>0</v>
      </c>
      <c r="Z210" s="23">
        <v>0</v>
      </c>
      <c r="AA210" s="23">
        <v>0</v>
      </c>
      <c r="AB210">
        <v>0</v>
      </c>
      <c r="AC210">
        <v>0</v>
      </c>
      <c r="AD210">
        <v>0</v>
      </c>
      <c r="AE210">
        <v>0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1</v>
      </c>
      <c r="AM210">
        <v>2</v>
      </c>
      <c r="AN210" s="23" t="s">
        <v>54</v>
      </c>
      <c r="AO210" s="23" t="s">
        <v>54</v>
      </c>
      <c r="AP210" s="23">
        <v>0</v>
      </c>
      <c r="AQ210" s="23">
        <v>0</v>
      </c>
      <c r="AR210" s="37">
        <v>0</v>
      </c>
      <c r="AS210" s="37">
        <v>0</v>
      </c>
      <c r="AT210" s="37">
        <v>0</v>
      </c>
      <c r="AU210" s="33" t="str">
        <f t="shared" si="7"/>
        <v>库存为0</v>
      </c>
      <c r="AV210" s="38" t="str">
        <f>IFERROR(时间!$B$4+AU210,"上周无销量")</f>
        <v>上周无销量</v>
      </c>
    </row>
    <row r="211" spans="1:48">
      <c r="A211" s="21" t="s">
        <v>545</v>
      </c>
      <c r="B211" t="s">
        <v>546</v>
      </c>
      <c r="C211" t="s">
        <v>507</v>
      </c>
      <c r="D211" s="33">
        <v>0</v>
      </c>
      <c r="E211" s="33">
        <v>26</v>
      </c>
      <c r="F211" s="33">
        <v>0</v>
      </c>
      <c r="G211" s="33">
        <v>0</v>
      </c>
      <c r="H211" s="34">
        <v>0</v>
      </c>
      <c r="I211">
        <v>0</v>
      </c>
      <c r="J211" s="35">
        <v>0</v>
      </c>
      <c r="K211" s="35">
        <v>0</v>
      </c>
      <c r="L211" s="35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61</v>
      </c>
      <c r="T211">
        <v>0</v>
      </c>
      <c r="U211">
        <v>0</v>
      </c>
      <c r="V211">
        <v>0</v>
      </c>
      <c r="W211">
        <v>0</v>
      </c>
      <c r="X211" s="23" t="s">
        <v>54</v>
      </c>
      <c r="Y211" s="23" t="s">
        <v>54</v>
      </c>
      <c r="Z211" s="23">
        <v>0</v>
      </c>
      <c r="AA211" s="23">
        <v>0</v>
      </c>
      <c r="AB211">
        <v>0</v>
      </c>
      <c r="AC211">
        <v>0</v>
      </c>
      <c r="AD211">
        <v>0</v>
      </c>
      <c r="AE211">
        <v>0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6</v>
      </c>
      <c r="AM211">
        <v>4</v>
      </c>
      <c r="AN211" s="23" t="s">
        <v>54</v>
      </c>
      <c r="AO211" s="23" t="s">
        <v>54</v>
      </c>
      <c r="AP211" s="23">
        <v>0</v>
      </c>
      <c r="AQ211" s="23">
        <v>0</v>
      </c>
      <c r="AR211" s="37">
        <v>0</v>
      </c>
      <c r="AS211" s="37">
        <v>0</v>
      </c>
      <c r="AT211" s="37">
        <v>0</v>
      </c>
      <c r="AU211" s="33" t="str">
        <f t="shared" si="7"/>
        <v>库存为0</v>
      </c>
      <c r="AV211" s="38" t="str">
        <f>IFERROR(时间!$B$4+AU211,"上周无销量")</f>
        <v>上周无销量</v>
      </c>
    </row>
    <row r="212" spans="1:48">
      <c r="A212" s="21" t="s">
        <v>547</v>
      </c>
      <c r="B212" t="s">
        <v>548</v>
      </c>
      <c r="C212" t="s">
        <v>507</v>
      </c>
      <c r="D212" s="33">
        <v>0</v>
      </c>
      <c r="E212" s="33">
        <v>26</v>
      </c>
      <c r="F212" s="33">
        <v>0</v>
      </c>
      <c r="G212" s="33">
        <v>1</v>
      </c>
      <c r="H212" s="34">
        <v>0.481111111111111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>
        <v>23</v>
      </c>
      <c r="Q212">
        <v>30</v>
      </c>
      <c r="R212">
        <v>20</v>
      </c>
      <c r="S212">
        <v>6</v>
      </c>
      <c r="T212">
        <v>0</v>
      </c>
      <c r="U212">
        <v>0</v>
      </c>
      <c r="V212">
        <v>0</v>
      </c>
      <c r="W212">
        <v>0</v>
      </c>
      <c r="X212" s="23">
        <v>0</v>
      </c>
      <c r="Y212" s="23">
        <v>0</v>
      </c>
      <c r="Z212" s="23">
        <v>0</v>
      </c>
      <c r="AA212" s="23">
        <v>0</v>
      </c>
      <c r="AB212">
        <v>0</v>
      </c>
      <c r="AC212">
        <v>0</v>
      </c>
      <c r="AD212">
        <v>0</v>
      </c>
      <c r="AE212">
        <v>0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3</v>
      </c>
      <c r="AK212">
        <v>1</v>
      </c>
      <c r="AL212">
        <v>5</v>
      </c>
      <c r="AM212">
        <v>5</v>
      </c>
      <c r="AN212" s="23">
        <v>0</v>
      </c>
      <c r="AO212" s="23">
        <v>26</v>
      </c>
      <c r="AP212" s="23">
        <v>0</v>
      </c>
      <c r="AQ212" s="23">
        <v>0.2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549</v>
      </c>
      <c r="B213" t="s">
        <v>550</v>
      </c>
      <c r="C213" t="s">
        <v>507</v>
      </c>
      <c r="D213" s="33">
        <v>0</v>
      </c>
      <c r="E213" s="33">
        <v>30</v>
      </c>
      <c r="F213" s="33">
        <v>0</v>
      </c>
      <c r="G213" s="33">
        <v>0</v>
      </c>
      <c r="H213" s="34">
        <v>0</v>
      </c>
      <c r="I213">
        <v>0</v>
      </c>
      <c r="J213" s="35">
        <v>0</v>
      </c>
      <c r="K213" s="35">
        <v>0</v>
      </c>
      <c r="L213" s="35">
        <v>0</v>
      </c>
      <c r="M213">
        <v>0</v>
      </c>
      <c r="N213">
        <v>0</v>
      </c>
      <c r="O213">
        <v>0</v>
      </c>
      <c r="P213">
        <v>0</v>
      </c>
      <c r="Q213">
        <v>203</v>
      </c>
      <c r="R213">
        <v>1609</v>
      </c>
      <c r="S213">
        <v>1649</v>
      </c>
      <c r="T213">
        <v>0</v>
      </c>
      <c r="U213">
        <v>0</v>
      </c>
      <c r="V213">
        <v>0</v>
      </c>
      <c r="W213">
        <v>2</v>
      </c>
      <c r="X213" s="23" t="s">
        <v>54</v>
      </c>
      <c r="Y213" s="23">
        <v>0</v>
      </c>
      <c r="Z213" s="23">
        <v>0</v>
      </c>
      <c r="AA213" s="23">
        <v>0.00121285627653123</v>
      </c>
      <c r="AB213">
        <v>0</v>
      </c>
      <c r="AC213">
        <v>0</v>
      </c>
      <c r="AD213">
        <v>0</v>
      </c>
      <c r="AE213">
        <v>0.68</v>
      </c>
      <c r="AF213" s="23" t="s">
        <v>54</v>
      </c>
      <c r="AG213" s="23" t="s">
        <v>54</v>
      </c>
      <c r="AH213" s="23" t="s">
        <v>54</v>
      </c>
      <c r="AI213" s="23" t="s">
        <v>380</v>
      </c>
      <c r="AJ213">
        <v>0</v>
      </c>
      <c r="AK213">
        <v>0</v>
      </c>
      <c r="AL213">
        <v>2</v>
      </c>
      <c r="AM213">
        <v>2</v>
      </c>
      <c r="AN213" s="23" t="s">
        <v>54</v>
      </c>
      <c r="AO213" s="23" t="s">
        <v>54</v>
      </c>
      <c r="AP213" s="23">
        <v>0</v>
      </c>
      <c r="AQ213" s="23">
        <v>0</v>
      </c>
      <c r="AR213" s="37">
        <v>0</v>
      </c>
      <c r="AS213" s="37">
        <v>0</v>
      </c>
      <c r="AT213" s="37">
        <v>0</v>
      </c>
      <c r="AU213" s="33" t="str">
        <f t="shared" si="7"/>
        <v>库存为0</v>
      </c>
      <c r="AV213" s="38" t="str">
        <f>IFERROR(时间!$B$4+AU213,"上周无销量")</f>
        <v>上周无销量</v>
      </c>
    </row>
    <row r="214" spans="1:48">
      <c r="A214" s="21" t="s">
        <v>551</v>
      </c>
      <c r="B214" t="s">
        <v>552</v>
      </c>
      <c r="C214" t="s">
        <v>507</v>
      </c>
      <c r="D214" s="33">
        <v>0</v>
      </c>
      <c r="E214" s="33">
        <v>28</v>
      </c>
      <c r="F214" s="33">
        <v>0</v>
      </c>
      <c r="G214" s="33">
        <v>0</v>
      </c>
      <c r="H214" s="34">
        <v>0</v>
      </c>
      <c r="I214">
        <v>0</v>
      </c>
      <c r="J214" s="35">
        <v>0</v>
      </c>
      <c r="K214" s="35">
        <v>0</v>
      </c>
      <c r="L214" s="35">
        <v>0</v>
      </c>
      <c r="M214">
        <v>0</v>
      </c>
      <c r="N214">
        <v>0</v>
      </c>
      <c r="O214">
        <v>0</v>
      </c>
      <c r="P214">
        <v>0</v>
      </c>
      <c r="Q214">
        <v>30</v>
      </c>
      <c r="R214">
        <v>268</v>
      </c>
      <c r="S214">
        <v>180</v>
      </c>
      <c r="T214">
        <v>0</v>
      </c>
      <c r="U214">
        <v>0</v>
      </c>
      <c r="V214">
        <v>2</v>
      </c>
      <c r="W214">
        <v>1</v>
      </c>
      <c r="X214" s="23" t="s">
        <v>54</v>
      </c>
      <c r="Y214" s="23">
        <v>0</v>
      </c>
      <c r="Z214" s="23">
        <v>0.00746268656716418</v>
      </c>
      <c r="AA214" s="23">
        <v>0.00555555555555556</v>
      </c>
      <c r="AB214">
        <v>0</v>
      </c>
      <c r="AC214">
        <v>0</v>
      </c>
      <c r="AD214">
        <v>0.79</v>
      </c>
      <c r="AE214">
        <v>0.26</v>
      </c>
      <c r="AF214" s="23" t="s">
        <v>54</v>
      </c>
      <c r="AG214" s="23" t="s">
        <v>54</v>
      </c>
      <c r="AH214" s="23" t="s">
        <v>553</v>
      </c>
      <c r="AI214" s="23" t="s">
        <v>554</v>
      </c>
      <c r="AJ214">
        <v>1</v>
      </c>
      <c r="AK214">
        <v>0</v>
      </c>
      <c r="AL214">
        <v>3</v>
      </c>
      <c r="AM214">
        <v>2</v>
      </c>
      <c r="AN214" s="23">
        <v>0</v>
      </c>
      <c r="AO214" s="23" t="s">
        <v>54</v>
      </c>
      <c r="AP214" s="23">
        <v>0</v>
      </c>
      <c r="AQ214" s="23">
        <v>0</v>
      </c>
      <c r="AR214" s="37">
        <v>0</v>
      </c>
      <c r="AS214" s="37">
        <v>0</v>
      </c>
      <c r="AT214" s="37">
        <v>0</v>
      </c>
      <c r="AU214" s="33" t="str">
        <f t="shared" si="7"/>
        <v>库存为0</v>
      </c>
      <c r="AV214" s="38" t="str">
        <f>IFERROR(时间!$B$4+AU214,"上周无销量")</f>
        <v>上周无销量</v>
      </c>
    </row>
    <row r="215" spans="1:48">
      <c r="A215" s="21" t="s">
        <v>555</v>
      </c>
      <c r="B215" t="s">
        <v>556</v>
      </c>
      <c r="C215" t="s">
        <v>507</v>
      </c>
      <c r="D215" s="33">
        <v>0</v>
      </c>
      <c r="E215" s="33">
        <v>28</v>
      </c>
      <c r="F215" s="33">
        <v>0</v>
      </c>
      <c r="G215" s="33">
        <v>0</v>
      </c>
      <c r="H215" s="34">
        <v>0</v>
      </c>
      <c r="I215">
        <v>0</v>
      </c>
      <c r="J215" s="35">
        <v>0</v>
      </c>
      <c r="K215" s="35">
        <v>0</v>
      </c>
      <c r="L215" s="35">
        <v>0</v>
      </c>
      <c r="M215">
        <v>0</v>
      </c>
      <c r="N215">
        <v>0</v>
      </c>
      <c r="O215">
        <v>0</v>
      </c>
      <c r="P215">
        <v>0</v>
      </c>
      <c r="Q215">
        <v>53</v>
      </c>
      <c r="R215">
        <v>335</v>
      </c>
      <c r="S215">
        <v>833</v>
      </c>
      <c r="T215">
        <v>0</v>
      </c>
      <c r="U215">
        <v>0</v>
      </c>
      <c r="V215">
        <v>2</v>
      </c>
      <c r="W215">
        <v>4</v>
      </c>
      <c r="X215" s="23" t="s">
        <v>54</v>
      </c>
      <c r="Y215" s="23">
        <v>0</v>
      </c>
      <c r="Z215" s="23">
        <v>0.00597014925373134</v>
      </c>
      <c r="AA215" s="23">
        <v>0.00480192076830732</v>
      </c>
      <c r="AB215">
        <v>0</v>
      </c>
      <c r="AC215">
        <v>0</v>
      </c>
      <c r="AD215">
        <v>0.49</v>
      </c>
      <c r="AE215">
        <v>0.97</v>
      </c>
      <c r="AF215" s="23" t="s">
        <v>54</v>
      </c>
      <c r="AG215" s="23" t="s">
        <v>54</v>
      </c>
      <c r="AH215" s="23" t="s">
        <v>277</v>
      </c>
      <c r="AI215" s="23" t="s">
        <v>557</v>
      </c>
      <c r="AJ215">
        <v>0</v>
      </c>
      <c r="AK215">
        <v>1</v>
      </c>
      <c r="AL215">
        <v>4</v>
      </c>
      <c r="AM215">
        <v>1</v>
      </c>
      <c r="AN215" s="23" t="s">
        <v>54</v>
      </c>
      <c r="AO215" s="23">
        <v>28</v>
      </c>
      <c r="AP215" s="23">
        <v>0</v>
      </c>
      <c r="AQ215" s="23">
        <v>0</v>
      </c>
      <c r="AR215" s="37">
        <v>0</v>
      </c>
      <c r="AS215" s="37">
        <v>0</v>
      </c>
      <c r="AT215" s="37">
        <v>0</v>
      </c>
      <c r="AU215" s="33" t="str">
        <f t="shared" si="7"/>
        <v>库存为0</v>
      </c>
      <c r="AV215" s="38" t="str">
        <f>IFERROR(时间!$B$4+AU215,"上周无销量")</f>
        <v>上周无销量</v>
      </c>
    </row>
    <row r="216" spans="1:48">
      <c r="A216" s="21" t="s">
        <v>558</v>
      </c>
      <c r="B216" t="s">
        <v>559</v>
      </c>
      <c r="C216" t="s">
        <v>507</v>
      </c>
      <c r="D216" s="33">
        <v>0</v>
      </c>
      <c r="E216" s="33">
        <v>26</v>
      </c>
      <c r="F216" s="33">
        <v>0</v>
      </c>
      <c r="G216" s="33">
        <v>0</v>
      </c>
      <c r="H216" s="34">
        <v>0</v>
      </c>
      <c r="I216">
        <v>0</v>
      </c>
      <c r="J216" s="35">
        <v>0</v>
      </c>
      <c r="K216" s="35">
        <v>0</v>
      </c>
      <c r="L216" s="35">
        <v>0</v>
      </c>
      <c r="M216">
        <v>0</v>
      </c>
      <c r="N216">
        <v>0</v>
      </c>
      <c r="O216">
        <v>0</v>
      </c>
      <c r="P216">
        <v>0</v>
      </c>
      <c r="Q216">
        <v>332</v>
      </c>
      <c r="R216">
        <v>2847</v>
      </c>
      <c r="S216">
        <v>602</v>
      </c>
      <c r="T216">
        <v>0</v>
      </c>
      <c r="U216">
        <v>3</v>
      </c>
      <c r="V216">
        <v>10</v>
      </c>
      <c r="W216">
        <v>6</v>
      </c>
      <c r="X216" s="23" t="s">
        <v>54</v>
      </c>
      <c r="Y216" s="23">
        <v>0.00903614457831325</v>
      </c>
      <c r="Z216" s="23">
        <v>0.00351246926589392</v>
      </c>
      <c r="AA216" s="23">
        <v>0.00996677740863787</v>
      </c>
      <c r="AB216">
        <v>0</v>
      </c>
      <c r="AC216">
        <v>0.8</v>
      </c>
      <c r="AD216">
        <v>2.42</v>
      </c>
      <c r="AE216">
        <v>1.15</v>
      </c>
      <c r="AF216" s="23" t="s">
        <v>54</v>
      </c>
      <c r="AG216" s="23" t="s">
        <v>560</v>
      </c>
      <c r="AH216" s="23" t="s">
        <v>561</v>
      </c>
      <c r="AI216" s="23" t="s">
        <v>562</v>
      </c>
      <c r="AJ216">
        <v>0</v>
      </c>
      <c r="AK216">
        <v>3</v>
      </c>
      <c r="AL216">
        <v>5</v>
      </c>
      <c r="AM216">
        <v>7</v>
      </c>
      <c r="AN216" s="23" t="s">
        <v>54</v>
      </c>
      <c r="AO216" s="23">
        <v>8.66666666666667</v>
      </c>
      <c r="AP216" s="23">
        <v>0</v>
      </c>
      <c r="AQ216" s="23">
        <v>0</v>
      </c>
      <c r="AR216" s="37">
        <v>0</v>
      </c>
      <c r="AS216" s="37">
        <v>0</v>
      </c>
      <c r="AT216" s="37">
        <v>0</v>
      </c>
      <c r="AU216" s="33" t="str">
        <f t="shared" si="7"/>
        <v>库存为0</v>
      </c>
      <c r="AV216" s="38" t="str">
        <f>IFERROR(时间!$B$4+AU216,"上周无销量")</f>
        <v>上周无销量</v>
      </c>
    </row>
    <row r="217" spans="1:48">
      <c r="A217" s="21" t="s">
        <v>563</v>
      </c>
      <c r="B217" t="s">
        <v>564</v>
      </c>
      <c r="C217" t="s">
        <v>565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3</v>
      </c>
      <c r="J217" s="35">
        <v>0</v>
      </c>
      <c r="K217" s="35">
        <v>0</v>
      </c>
      <c r="L217" s="35">
        <v>0</v>
      </c>
      <c r="M217">
        <v>3</v>
      </c>
      <c r="N217">
        <v>0</v>
      </c>
      <c r="O217">
        <v>3</v>
      </c>
      <c r="P217">
        <v>1</v>
      </c>
      <c r="Q217">
        <v>89</v>
      </c>
      <c r="R217">
        <v>95</v>
      </c>
      <c r="S217">
        <v>144</v>
      </c>
      <c r="T217">
        <v>0</v>
      </c>
      <c r="U217">
        <v>0</v>
      </c>
      <c r="V217">
        <v>0</v>
      </c>
      <c r="W217">
        <v>1</v>
      </c>
      <c r="X217" s="23">
        <v>0</v>
      </c>
      <c r="Y217" s="23">
        <v>0</v>
      </c>
      <c r="Z217" s="23">
        <v>0</v>
      </c>
      <c r="AA217" s="23">
        <v>0.00694444444444444</v>
      </c>
      <c r="AB217">
        <v>0</v>
      </c>
      <c r="AC217">
        <v>0</v>
      </c>
      <c r="AD217">
        <v>0</v>
      </c>
      <c r="AE217">
        <v>0.37</v>
      </c>
      <c r="AF217" s="23" t="s">
        <v>54</v>
      </c>
      <c r="AG217" s="23" t="s">
        <v>54</v>
      </c>
      <c r="AH217" s="23" t="s">
        <v>54</v>
      </c>
      <c r="AI217" s="23" t="s">
        <v>566</v>
      </c>
      <c r="AJ217">
        <v>3</v>
      </c>
      <c r="AK217">
        <v>2</v>
      </c>
      <c r="AL217">
        <v>3</v>
      </c>
      <c r="AM217">
        <v>0</v>
      </c>
      <c r="AN217" s="23">
        <v>0</v>
      </c>
      <c r="AO217" s="23">
        <v>0</v>
      </c>
      <c r="AP217" s="23">
        <v>0</v>
      </c>
      <c r="AQ217" s="23" t="s">
        <v>54</v>
      </c>
      <c r="AR217" s="37">
        <v>0</v>
      </c>
      <c r="AS217" s="37">
        <v>0</v>
      </c>
      <c r="AT217" s="37">
        <v>3</v>
      </c>
      <c r="AU217" s="33" t="str">
        <f t="shared" si="7"/>
        <v>库存为3</v>
      </c>
      <c r="AV217" s="38" t="str">
        <f>IFERROR(时间!$B$4+AU217,"上周无销量")</f>
        <v>上周无销量</v>
      </c>
    </row>
    <row r="218" spans="1:48">
      <c r="A218" s="21" t="s">
        <v>567</v>
      </c>
      <c r="B218" t="s">
        <v>568</v>
      </c>
      <c r="C218" t="s">
        <v>565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3</v>
      </c>
      <c r="J218" s="35">
        <v>0</v>
      </c>
      <c r="K218" s="35">
        <v>0</v>
      </c>
      <c r="L218" s="35">
        <v>0</v>
      </c>
      <c r="M218">
        <v>3</v>
      </c>
      <c r="N218">
        <v>0</v>
      </c>
      <c r="O218">
        <v>3</v>
      </c>
      <c r="P218">
        <v>10</v>
      </c>
      <c r="Q218">
        <v>1195</v>
      </c>
      <c r="R218">
        <v>1476</v>
      </c>
      <c r="S218">
        <v>1547</v>
      </c>
      <c r="T218">
        <v>0</v>
      </c>
      <c r="U218">
        <v>4</v>
      </c>
      <c r="V218">
        <v>4</v>
      </c>
      <c r="W218">
        <v>15</v>
      </c>
      <c r="X218" s="23">
        <v>0</v>
      </c>
      <c r="Y218" s="23">
        <v>0.00334728033472803</v>
      </c>
      <c r="Z218" s="23">
        <v>0.002710027100271</v>
      </c>
      <c r="AA218" s="23">
        <v>0.0096961861667744</v>
      </c>
      <c r="AB218">
        <v>0</v>
      </c>
      <c r="AC218">
        <v>1.34</v>
      </c>
      <c r="AD218">
        <v>0.96</v>
      </c>
      <c r="AE218">
        <v>5.22</v>
      </c>
      <c r="AF218" s="23" t="s">
        <v>54</v>
      </c>
      <c r="AG218" s="23" t="s">
        <v>569</v>
      </c>
      <c r="AH218" s="23" t="s">
        <v>570</v>
      </c>
      <c r="AI218" s="23" t="s">
        <v>571</v>
      </c>
      <c r="AJ218">
        <v>2</v>
      </c>
      <c r="AK218">
        <v>9</v>
      </c>
      <c r="AL218">
        <v>3</v>
      </c>
      <c r="AM218">
        <v>5</v>
      </c>
      <c r="AN218" s="23">
        <v>0</v>
      </c>
      <c r="AO218" s="23">
        <v>0</v>
      </c>
      <c r="AP218" s="23">
        <v>0</v>
      </c>
      <c r="AQ218" s="23">
        <v>0</v>
      </c>
      <c r="AR218" s="37">
        <v>0</v>
      </c>
      <c r="AS218" s="37">
        <v>0</v>
      </c>
      <c r="AT218" s="37">
        <v>3</v>
      </c>
      <c r="AU218" s="33" t="str">
        <f t="shared" si="7"/>
        <v>库存为3</v>
      </c>
      <c r="AV218" s="38" t="str">
        <f>IFERROR(时间!$B$4+AU218,"上周无销量")</f>
        <v>上周无销量</v>
      </c>
    </row>
    <row r="219" spans="1:48">
      <c r="A219" s="21" t="s">
        <v>572</v>
      </c>
      <c r="B219" t="s">
        <v>573</v>
      </c>
      <c r="C219" t="s">
        <v>565</v>
      </c>
      <c r="D219" s="33">
        <v>0</v>
      </c>
      <c r="E219" s="33">
        <v>3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>
        <v>0</v>
      </c>
      <c r="Q219">
        <v>13</v>
      </c>
      <c r="R219">
        <v>47</v>
      </c>
      <c r="S219">
        <v>40</v>
      </c>
      <c r="T219">
        <v>0</v>
      </c>
      <c r="U219">
        <v>0</v>
      </c>
      <c r="V219">
        <v>0</v>
      </c>
      <c r="W219">
        <v>0</v>
      </c>
      <c r="X219" s="23" t="s">
        <v>54</v>
      </c>
      <c r="Y219" s="23">
        <v>0</v>
      </c>
      <c r="Z219" s="23">
        <v>0</v>
      </c>
      <c r="AA219" s="23">
        <v>0</v>
      </c>
      <c r="AB219">
        <v>0</v>
      </c>
      <c r="AC219">
        <v>0</v>
      </c>
      <c r="AD219">
        <v>0</v>
      </c>
      <c r="AE219">
        <v>0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4</v>
      </c>
      <c r="AM219">
        <v>2</v>
      </c>
      <c r="AN219" s="23" t="s">
        <v>54</v>
      </c>
      <c r="AO219" s="23" t="s">
        <v>54</v>
      </c>
      <c r="AP219" s="23">
        <v>0</v>
      </c>
      <c r="AQ219" s="23">
        <v>0</v>
      </c>
      <c r="AR219" s="37">
        <v>0</v>
      </c>
      <c r="AS219" s="37">
        <v>0</v>
      </c>
      <c r="AT219" s="37">
        <v>0</v>
      </c>
      <c r="AU219" s="33" t="str">
        <f t="shared" si="7"/>
        <v>库存为0</v>
      </c>
      <c r="AV219" s="38" t="str">
        <f>IFERROR(时间!$B$4+AU219,"上周无销量")</f>
        <v>上周无销量</v>
      </c>
    </row>
    <row r="220" spans="1:48">
      <c r="A220" s="21" t="s">
        <v>574</v>
      </c>
      <c r="B220" t="s">
        <v>575</v>
      </c>
      <c r="C220" t="s">
        <v>565</v>
      </c>
      <c r="D220" s="33">
        <v>0</v>
      </c>
      <c r="E220" s="33">
        <v>3</v>
      </c>
      <c r="F220" s="33">
        <v>0</v>
      </c>
      <c r="G220" s="33">
        <v>0</v>
      </c>
      <c r="H220" s="34">
        <v>0</v>
      </c>
      <c r="I220">
        <v>0</v>
      </c>
      <c r="J220" s="35">
        <v>0</v>
      </c>
      <c r="K220" s="35">
        <v>0</v>
      </c>
      <c r="L220" s="35">
        <v>0</v>
      </c>
      <c r="M220">
        <v>0</v>
      </c>
      <c r="N220">
        <v>0</v>
      </c>
      <c r="O220">
        <v>0</v>
      </c>
      <c r="P220">
        <v>0</v>
      </c>
      <c r="Q220">
        <v>5</v>
      </c>
      <c r="R220">
        <v>46</v>
      </c>
      <c r="S220">
        <v>50</v>
      </c>
      <c r="T220">
        <v>0</v>
      </c>
      <c r="U220">
        <v>0</v>
      </c>
      <c r="V220">
        <v>0</v>
      </c>
      <c r="W220">
        <v>0</v>
      </c>
      <c r="X220" s="23" t="s">
        <v>54</v>
      </c>
      <c r="Y220" s="23">
        <v>0</v>
      </c>
      <c r="Z220" s="23">
        <v>0</v>
      </c>
      <c r="AA220" s="23">
        <v>0</v>
      </c>
      <c r="AB220">
        <v>0</v>
      </c>
      <c r="AC220">
        <v>0</v>
      </c>
      <c r="AD220">
        <v>0</v>
      </c>
      <c r="AE220">
        <v>0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3</v>
      </c>
      <c r="AM220">
        <v>1</v>
      </c>
      <c r="AN220" s="23" t="s">
        <v>54</v>
      </c>
      <c r="AO220" s="23" t="s">
        <v>54</v>
      </c>
      <c r="AP220" s="23">
        <v>0</v>
      </c>
      <c r="AQ220" s="23">
        <v>0</v>
      </c>
      <c r="AR220" s="37">
        <v>0</v>
      </c>
      <c r="AS220" s="37">
        <v>0</v>
      </c>
      <c r="AT220" s="37">
        <v>0</v>
      </c>
      <c r="AU220" s="33" t="str">
        <f t="shared" si="7"/>
        <v>库存为0</v>
      </c>
      <c r="AV220" s="38" t="str">
        <f>IFERROR(时间!$B$4+AU220,"上周无销量")</f>
        <v>上周无销量</v>
      </c>
    </row>
    <row r="221" spans="1:48">
      <c r="A221" s="21" t="s">
        <v>576</v>
      </c>
      <c r="B221" t="s">
        <v>577</v>
      </c>
      <c r="C221" t="s">
        <v>565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2</v>
      </c>
      <c r="J221" s="35">
        <v>0</v>
      </c>
      <c r="K221" s="35">
        <v>0</v>
      </c>
      <c r="L221" s="35">
        <v>0</v>
      </c>
      <c r="M221">
        <v>2</v>
      </c>
      <c r="N221">
        <v>0</v>
      </c>
      <c r="O221">
        <v>2</v>
      </c>
      <c r="P221">
        <v>1</v>
      </c>
      <c r="Q221">
        <v>158</v>
      </c>
      <c r="R221">
        <v>131</v>
      </c>
      <c r="S221">
        <v>100</v>
      </c>
      <c r="T221">
        <v>0</v>
      </c>
      <c r="U221">
        <v>1</v>
      </c>
      <c r="V221">
        <v>0</v>
      </c>
      <c r="W221">
        <v>0</v>
      </c>
      <c r="X221" s="23">
        <v>0</v>
      </c>
      <c r="Y221" s="23">
        <v>0.00632911392405063</v>
      </c>
      <c r="Z221" s="23">
        <v>0</v>
      </c>
      <c r="AA221" s="23">
        <v>0</v>
      </c>
      <c r="AB221">
        <v>0</v>
      </c>
      <c r="AC221">
        <v>0.43</v>
      </c>
      <c r="AD221">
        <v>0</v>
      </c>
      <c r="AE221">
        <v>0</v>
      </c>
      <c r="AF221" s="23" t="s">
        <v>54</v>
      </c>
      <c r="AG221" s="23" t="s">
        <v>578</v>
      </c>
      <c r="AH221" s="23" t="s">
        <v>54</v>
      </c>
      <c r="AI221" s="23" t="s">
        <v>54</v>
      </c>
      <c r="AJ221">
        <v>3</v>
      </c>
      <c r="AK221">
        <v>4</v>
      </c>
      <c r="AL221">
        <v>4</v>
      </c>
      <c r="AM221">
        <v>1</v>
      </c>
      <c r="AN221" s="23">
        <v>0</v>
      </c>
      <c r="AO221" s="23">
        <v>0</v>
      </c>
      <c r="AP221" s="23">
        <v>0</v>
      </c>
      <c r="AQ221" s="23">
        <v>0</v>
      </c>
      <c r="AR221" s="37">
        <v>0</v>
      </c>
      <c r="AS221" s="37">
        <v>0</v>
      </c>
      <c r="AT221" s="37">
        <v>2</v>
      </c>
      <c r="AU221" s="33" t="str">
        <f t="shared" si="7"/>
        <v>库存为2</v>
      </c>
      <c r="AV221" s="38" t="str">
        <f>IFERROR(时间!$B$4+AU221,"上周无销量")</f>
        <v>上周无销量</v>
      </c>
    </row>
    <row r="222" spans="1:48">
      <c r="A222" s="21" t="s">
        <v>579</v>
      </c>
      <c r="B222" t="s">
        <v>580</v>
      </c>
      <c r="C222" t="s">
        <v>581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0</v>
      </c>
      <c r="AU222" s="33" t="str">
        <f t="shared" si="7"/>
        <v>库存为0</v>
      </c>
      <c r="AV222" s="38" t="str">
        <f>IFERROR(时间!$B$4+AU222,"上周无销量")</f>
        <v>上周无销量</v>
      </c>
    </row>
    <row r="223" spans="1:48">
      <c r="A223" s="21" t="s">
        <v>582</v>
      </c>
      <c r="B223" t="s">
        <v>583</v>
      </c>
      <c r="C223" t="s">
        <v>584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1</v>
      </c>
      <c r="J223" s="35">
        <v>0</v>
      </c>
      <c r="K223" s="35">
        <v>0</v>
      </c>
      <c r="L223" s="35">
        <v>0</v>
      </c>
      <c r="M223">
        <v>1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6</v>
      </c>
      <c r="AK223">
        <v>2</v>
      </c>
      <c r="AL223">
        <v>2</v>
      </c>
      <c r="AM223">
        <v>2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1</v>
      </c>
      <c r="AU223" s="33" t="str">
        <f t="shared" si="7"/>
        <v>库存为1</v>
      </c>
      <c r="AV223" s="38" t="str">
        <f>IFERROR(时间!$B$4+AU223,"上周无销量")</f>
        <v>上周无销量</v>
      </c>
    </row>
    <row r="224" spans="1:48">
      <c r="A224" s="21" t="s">
        <v>585</v>
      </c>
      <c r="B224" t="s">
        <v>586</v>
      </c>
      <c r="C224" t="s">
        <v>584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1</v>
      </c>
      <c r="J224" s="35">
        <v>0</v>
      </c>
      <c r="K224" s="35">
        <v>0</v>
      </c>
      <c r="L224" s="35">
        <v>0</v>
      </c>
      <c r="M224">
        <v>1</v>
      </c>
      <c r="N224">
        <v>0</v>
      </c>
      <c r="O224">
        <v>1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3</v>
      </c>
      <c r="AK224">
        <v>3</v>
      </c>
      <c r="AL224">
        <v>3</v>
      </c>
      <c r="AM224">
        <v>4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1</v>
      </c>
      <c r="AU224" s="33" t="str">
        <f t="shared" si="7"/>
        <v>库存为1</v>
      </c>
      <c r="AV224" s="38" t="str">
        <f>IFERROR(时间!$B$4+AU224,"上周无销量")</f>
        <v>上周无销量</v>
      </c>
    </row>
    <row r="225" spans="1:48">
      <c r="A225" s="21" t="s">
        <v>587</v>
      </c>
      <c r="B225" t="s">
        <v>588</v>
      </c>
      <c r="C225" t="s">
        <v>584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1</v>
      </c>
      <c r="J225" s="35">
        <v>0</v>
      </c>
      <c r="K225" s="35">
        <v>0</v>
      </c>
      <c r="L225" s="35">
        <v>0</v>
      </c>
      <c r="M225">
        <v>1</v>
      </c>
      <c r="N225">
        <v>0</v>
      </c>
      <c r="O225">
        <v>1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4</v>
      </c>
      <c r="AK225">
        <v>4</v>
      </c>
      <c r="AL225">
        <v>2</v>
      </c>
      <c r="AM225">
        <v>5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1</v>
      </c>
      <c r="AU225" s="33" t="str">
        <f t="shared" si="7"/>
        <v>库存为1</v>
      </c>
      <c r="AV225" s="38" t="str">
        <f>IFERROR(时间!$B$4+AU225,"上周无销量")</f>
        <v>上周无销量</v>
      </c>
    </row>
    <row r="226" spans="1:48">
      <c r="A226" s="21" t="s">
        <v>589</v>
      </c>
      <c r="B226" t="s">
        <v>590</v>
      </c>
      <c r="C226" t="s">
        <v>591</v>
      </c>
      <c r="D226" s="33">
        <v>0</v>
      </c>
      <c r="E226" s="33">
        <v>0</v>
      </c>
      <c r="F226" s="33">
        <v>0</v>
      </c>
      <c r="G226" s="33">
        <v>1</v>
      </c>
      <c r="H226" s="34">
        <v>5.63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2</v>
      </c>
      <c r="AN226" s="23" t="s">
        <v>54</v>
      </c>
      <c r="AO226" s="23" t="s">
        <v>54</v>
      </c>
      <c r="AP226" s="23" t="s">
        <v>54</v>
      </c>
      <c r="AQ226" s="23">
        <v>0.5</v>
      </c>
      <c r="AR226" s="37">
        <v>0</v>
      </c>
      <c r="AS226" s="37">
        <v>0</v>
      </c>
      <c r="AT226" s="37">
        <v>0</v>
      </c>
      <c r="AU226" s="33" t="str">
        <f t="shared" si="7"/>
        <v>库存为0</v>
      </c>
      <c r="AV226" s="38" t="str">
        <f>IFERROR(时间!$B$4+AU226,"上周无销量")</f>
        <v>上周无销量</v>
      </c>
    </row>
    <row r="227" spans="1:48">
      <c r="A227" s="21" t="s">
        <v>592</v>
      </c>
      <c r="B227" t="s">
        <v>593</v>
      </c>
      <c r="C227" t="s">
        <v>591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2</v>
      </c>
      <c r="J227" s="35">
        <v>0</v>
      </c>
      <c r="K227" s="35">
        <v>0</v>
      </c>
      <c r="L227" s="35">
        <v>0</v>
      </c>
      <c r="M227">
        <v>2</v>
      </c>
      <c r="N227">
        <v>0</v>
      </c>
      <c r="O227">
        <v>2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4</v>
      </c>
      <c r="AK227">
        <v>3</v>
      </c>
      <c r="AL227">
        <v>4</v>
      </c>
      <c r="AM227">
        <v>1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2</v>
      </c>
      <c r="AU227" s="33" t="str">
        <f t="shared" si="7"/>
        <v>库存为2</v>
      </c>
      <c r="AV227" s="38" t="str">
        <f>IFERROR(时间!$B$4+AU227,"上周无销量")</f>
        <v>上周无销量</v>
      </c>
    </row>
    <row r="228" spans="1:48">
      <c r="A228" s="21" t="s">
        <v>594</v>
      </c>
      <c r="B228" t="s">
        <v>595</v>
      </c>
      <c r="C228" t="s">
        <v>591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1</v>
      </c>
      <c r="J228" s="35">
        <v>0</v>
      </c>
      <c r="K228" s="35">
        <v>0</v>
      </c>
      <c r="L228" s="35">
        <v>0</v>
      </c>
      <c r="M228">
        <v>1</v>
      </c>
      <c r="N228">
        <v>0</v>
      </c>
      <c r="O228">
        <v>1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3</v>
      </c>
      <c r="AK228">
        <v>4</v>
      </c>
      <c r="AL228">
        <v>3</v>
      </c>
      <c r="AM228">
        <v>3</v>
      </c>
      <c r="AN228" s="23">
        <v>0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1</v>
      </c>
      <c r="AU228" s="33" t="str">
        <f t="shared" si="7"/>
        <v>库存为1</v>
      </c>
      <c r="AV228" s="38" t="str">
        <f>IFERROR(时间!$B$4+AU228,"上周无销量")</f>
        <v>上周无销量</v>
      </c>
    </row>
    <row r="229" spans="1:48">
      <c r="A229" s="21" t="s">
        <v>596</v>
      </c>
      <c r="B229" t="s">
        <v>597</v>
      </c>
      <c r="C229" t="s">
        <v>591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2</v>
      </c>
      <c r="J229" s="35">
        <v>0</v>
      </c>
      <c r="K229" s="35">
        <v>0</v>
      </c>
      <c r="L229" s="35">
        <v>0</v>
      </c>
      <c r="M229">
        <v>2</v>
      </c>
      <c r="N229">
        <v>0</v>
      </c>
      <c r="O229">
        <v>2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5</v>
      </c>
      <c r="AK229">
        <v>4</v>
      </c>
      <c r="AL229">
        <v>2</v>
      </c>
      <c r="AM229">
        <v>1</v>
      </c>
      <c r="AN229" s="23">
        <v>0</v>
      </c>
      <c r="AO229" s="23">
        <v>0</v>
      </c>
      <c r="AP229" s="23">
        <v>0</v>
      </c>
      <c r="AQ229" s="23">
        <v>0</v>
      </c>
      <c r="AR229" s="37">
        <v>0</v>
      </c>
      <c r="AS229" s="37">
        <v>0</v>
      </c>
      <c r="AT229" s="37">
        <v>2</v>
      </c>
      <c r="AU229" s="33" t="str">
        <f t="shared" si="7"/>
        <v>库存为2</v>
      </c>
      <c r="AV229" s="38" t="str">
        <f>IFERROR(时间!$B$4+AU229,"上周无销量")</f>
        <v>上周无销量</v>
      </c>
    </row>
    <row r="230" spans="1:48">
      <c r="A230" s="21" t="s">
        <v>598</v>
      </c>
      <c r="B230" t="s">
        <v>599</v>
      </c>
      <c r="C230" t="s">
        <v>591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1</v>
      </c>
      <c r="J230" s="35">
        <v>0</v>
      </c>
      <c r="K230" s="35">
        <v>0</v>
      </c>
      <c r="L230" s="35">
        <v>0</v>
      </c>
      <c r="M230">
        <v>1</v>
      </c>
      <c r="N230">
        <v>0</v>
      </c>
      <c r="O230">
        <v>1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3</v>
      </c>
      <c r="AK230">
        <v>4</v>
      </c>
      <c r="AL230">
        <v>2</v>
      </c>
      <c r="AM230">
        <v>2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1</v>
      </c>
      <c r="AU230" s="33" t="str">
        <f t="shared" si="7"/>
        <v>库存为1</v>
      </c>
      <c r="AV230" s="38" t="str">
        <f>IFERROR(时间!$B$4+AU230,"上周无销量")</f>
        <v>上周无销量</v>
      </c>
    </row>
    <row r="231" spans="1:48">
      <c r="A231" s="21" t="s">
        <v>600</v>
      </c>
      <c r="B231" t="s">
        <v>601</v>
      </c>
      <c r="C231" t="s">
        <v>591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</v>
      </c>
      <c r="J231" s="35">
        <v>0</v>
      </c>
      <c r="K231" s="35">
        <v>0</v>
      </c>
      <c r="L231" s="35">
        <v>0</v>
      </c>
      <c r="M231">
        <v>1</v>
      </c>
      <c r="N231">
        <v>0</v>
      </c>
      <c r="O231">
        <v>1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3</v>
      </c>
      <c r="AK231">
        <v>3</v>
      </c>
      <c r="AL231">
        <v>2</v>
      </c>
      <c r="AM231">
        <v>2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1</v>
      </c>
      <c r="AU231" s="33" t="str">
        <f t="shared" si="7"/>
        <v>库存为1</v>
      </c>
      <c r="AV231" s="38" t="str">
        <f>IFERROR(时间!$B$4+AU231,"上周无销量")</f>
        <v>上周无销量</v>
      </c>
    </row>
    <row r="232" spans="1:48">
      <c r="A232" s="21" t="s">
        <v>602</v>
      </c>
      <c r="B232" t="s">
        <v>603</v>
      </c>
      <c r="C232" t="s">
        <v>591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2</v>
      </c>
      <c r="J232" s="35">
        <v>0</v>
      </c>
      <c r="K232" s="35">
        <v>0</v>
      </c>
      <c r="L232" s="35">
        <v>0</v>
      </c>
      <c r="M232">
        <v>2</v>
      </c>
      <c r="N232">
        <v>0</v>
      </c>
      <c r="O232">
        <v>2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3</v>
      </c>
      <c r="AK232">
        <v>3</v>
      </c>
      <c r="AL232">
        <v>5</v>
      </c>
      <c r="AM232">
        <v>3</v>
      </c>
      <c r="AN232" s="23">
        <v>0</v>
      </c>
      <c r="AO232" s="23">
        <v>0</v>
      </c>
      <c r="AP232" s="23">
        <v>0</v>
      </c>
      <c r="AQ232" s="23">
        <v>0</v>
      </c>
      <c r="AR232" s="37">
        <v>0</v>
      </c>
      <c r="AS232" s="37">
        <v>0</v>
      </c>
      <c r="AT232" s="37">
        <v>2</v>
      </c>
      <c r="AU232" s="33" t="str">
        <f t="shared" si="7"/>
        <v>库存为2</v>
      </c>
      <c r="AV232" s="38" t="str">
        <f>IFERROR(时间!$B$4+AU232,"上周无销量")</f>
        <v>上周无销量</v>
      </c>
    </row>
    <row r="233" spans="1:48">
      <c r="A233" s="21" t="s">
        <v>604</v>
      </c>
      <c r="B233" t="s">
        <v>605</v>
      </c>
      <c r="C233" t="s">
        <v>591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5</v>
      </c>
      <c r="AK233">
        <v>2</v>
      </c>
      <c r="AL233">
        <v>2</v>
      </c>
      <c r="AM233">
        <v>3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7"/>
        <v>库存为1</v>
      </c>
      <c r="AV233" s="38" t="str">
        <f>IFERROR(时间!$B$4+AU233,"上周无销量")</f>
        <v>上周无销量</v>
      </c>
    </row>
    <row r="234" spans="1:48">
      <c r="A234" s="21" t="s">
        <v>606</v>
      </c>
      <c r="B234" t="s">
        <v>607</v>
      </c>
      <c r="C234" t="s">
        <v>591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4</v>
      </c>
      <c r="AK234">
        <v>3</v>
      </c>
      <c r="AL234">
        <v>2</v>
      </c>
      <c r="AM234">
        <v>1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7"/>
        <v>库存为1</v>
      </c>
      <c r="AV234" s="38" t="str">
        <f>IFERROR(时间!$B$4+AU234,"上周无销量")</f>
        <v>上周无销量</v>
      </c>
    </row>
    <row r="235" spans="1:48">
      <c r="A235" s="21" t="s">
        <v>608</v>
      </c>
      <c r="B235" t="s">
        <v>609</v>
      </c>
      <c r="C235" t="s">
        <v>591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5</v>
      </c>
      <c r="AK235">
        <v>2</v>
      </c>
      <c r="AL235">
        <v>2</v>
      </c>
      <c r="AM235">
        <v>2</v>
      </c>
      <c r="AN235" s="23">
        <v>0</v>
      </c>
      <c r="AO235" s="23">
        <v>0</v>
      </c>
      <c r="AP235" s="23">
        <v>0</v>
      </c>
      <c r="AQ235" s="23">
        <v>0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610</v>
      </c>
      <c r="B236" t="s">
        <v>611</v>
      </c>
      <c r="C236" t="s">
        <v>591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2</v>
      </c>
      <c r="J236" s="35">
        <v>0</v>
      </c>
      <c r="K236" s="35">
        <v>0</v>
      </c>
      <c r="L236" s="35">
        <v>0</v>
      </c>
      <c r="M236">
        <v>2</v>
      </c>
      <c r="N236">
        <v>0</v>
      </c>
      <c r="O236">
        <v>2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4</v>
      </c>
      <c r="AK236">
        <v>2</v>
      </c>
      <c r="AL236">
        <v>2</v>
      </c>
      <c r="AM236">
        <v>0</v>
      </c>
      <c r="AN236" s="23">
        <v>0</v>
      </c>
      <c r="AO236" s="23">
        <v>0</v>
      </c>
      <c r="AP236" s="23">
        <v>0</v>
      </c>
      <c r="AQ236" s="23" t="s">
        <v>54</v>
      </c>
      <c r="AR236" s="37">
        <v>0</v>
      </c>
      <c r="AS236" s="37">
        <v>0</v>
      </c>
      <c r="AT236" s="37">
        <v>2</v>
      </c>
      <c r="AU236" s="33" t="str">
        <f t="shared" si="7"/>
        <v>库存为2</v>
      </c>
      <c r="AV236" s="38" t="str">
        <f>IFERROR(时间!$B$4+AU236,"上周无销量")</f>
        <v>上周无销量</v>
      </c>
    </row>
    <row r="237" spans="1:48">
      <c r="A237" s="21" t="s">
        <v>612</v>
      </c>
      <c r="B237" t="s">
        <v>613</v>
      </c>
      <c r="C237" t="s">
        <v>614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5</v>
      </c>
      <c r="AK237">
        <v>3</v>
      </c>
      <c r="AL237">
        <v>2</v>
      </c>
      <c r="AM237">
        <v>3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615</v>
      </c>
      <c r="B238" t="s">
        <v>616</v>
      </c>
      <c r="C238" t="s">
        <v>614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6</v>
      </c>
      <c r="AK238">
        <v>1</v>
      </c>
      <c r="AL238">
        <v>2</v>
      </c>
      <c r="AM238">
        <v>0</v>
      </c>
      <c r="AN238" s="23">
        <v>0</v>
      </c>
      <c r="AO238" s="23">
        <v>0</v>
      </c>
      <c r="AP238" s="23">
        <v>0</v>
      </c>
      <c r="AQ238" s="23" t="s">
        <v>54</v>
      </c>
      <c r="AR238" s="37">
        <v>0</v>
      </c>
      <c r="AS238" s="37">
        <v>0</v>
      </c>
      <c r="AT238" s="37">
        <v>1</v>
      </c>
      <c r="AU238" s="33" t="str">
        <f t="shared" si="7"/>
        <v>库存为1</v>
      </c>
      <c r="AV238" s="38" t="str">
        <f>IFERROR(时间!$B$4+AU238,"上周无销量")</f>
        <v>上周无销量</v>
      </c>
    </row>
    <row r="239" spans="1:48">
      <c r="A239" s="21" t="s">
        <v>617</v>
      </c>
      <c r="B239" t="s">
        <v>618</v>
      </c>
      <c r="C239" t="s">
        <v>614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4</v>
      </c>
      <c r="AK239">
        <v>3</v>
      </c>
      <c r="AL239">
        <v>1</v>
      </c>
      <c r="AM239">
        <v>4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619</v>
      </c>
      <c r="B240" t="s">
        <v>620</v>
      </c>
      <c r="C240" t="s">
        <v>621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4</v>
      </c>
      <c r="AK240">
        <v>2</v>
      </c>
      <c r="AL240">
        <v>5</v>
      </c>
      <c r="AM240">
        <v>3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7"/>
        <v>库存为1</v>
      </c>
      <c r="AV240" s="38" t="str">
        <f>IFERROR(时间!$B$4+AU240,"上周无销量")</f>
        <v>上周无销量</v>
      </c>
    </row>
    <row r="241" spans="1:48">
      <c r="A241" s="21" t="s">
        <v>622</v>
      </c>
      <c r="B241" t="s">
        <v>623</v>
      </c>
      <c r="C241" t="s">
        <v>621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4</v>
      </c>
      <c r="AK241">
        <v>4</v>
      </c>
      <c r="AL241">
        <v>5</v>
      </c>
      <c r="AM241">
        <v>4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7"/>
        <v>库存为1</v>
      </c>
      <c r="AV241" s="38" t="str">
        <f>IFERROR(时间!$B$4+AU241,"上周无销量")</f>
        <v>上周无销量</v>
      </c>
    </row>
    <row r="242" spans="1:48">
      <c r="A242" s="21" t="s">
        <v>624</v>
      </c>
      <c r="B242" t="s">
        <v>625</v>
      </c>
      <c r="C242" t="s">
        <v>621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4</v>
      </c>
      <c r="AK242">
        <v>4</v>
      </c>
      <c r="AL242">
        <v>3</v>
      </c>
      <c r="AM242">
        <v>3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1</v>
      </c>
      <c r="AU242" s="33" t="str">
        <f t="shared" si="7"/>
        <v>库存为1</v>
      </c>
      <c r="AV242" s="38" t="str">
        <f>IFERROR(时间!$B$4+AU242,"上周无销量")</f>
        <v>上周无销量</v>
      </c>
    </row>
    <row r="243" spans="1:48">
      <c r="A243" s="21" t="s">
        <v>626</v>
      </c>
      <c r="B243" t="s">
        <v>627</v>
      </c>
      <c r="C243" t="s">
        <v>621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1</v>
      </c>
      <c r="J243" s="35">
        <v>0</v>
      </c>
      <c r="K243" s="35">
        <v>0</v>
      </c>
      <c r="L243" s="35">
        <v>0</v>
      </c>
      <c r="M243">
        <v>1</v>
      </c>
      <c r="N243">
        <v>0</v>
      </c>
      <c r="O243">
        <v>1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4</v>
      </c>
      <c r="AK243">
        <v>3</v>
      </c>
      <c r="AL243">
        <v>4</v>
      </c>
      <c r="AM243">
        <v>0</v>
      </c>
      <c r="AN243" s="23">
        <v>0</v>
      </c>
      <c r="AO243" s="23">
        <v>0</v>
      </c>
      <c r="AP243" s="23">
        <v>0</v>
      </c>
      <c r="AQ243" s="23" t="s">
        <v>54</v>
      </c>
      <c r="AR243" s="37">
        <v>0</v>
      </c>
      <c r="AS243" s="37">
        <v>0</v>
      </c>
      <c r="AT243" s="37">
        <v>1</v>
      </c>
      <c r="AU243" s="33" t="str">
        <f t="shared" si="7"/>
        <v>库存为1</v>
      </c>
      <c r="AV243" s="38" t="str">
        <f>IFERROR(时间!$B$4+AU243,"上周无销量")</f>
        <v>上周无销量</v>
      </c>
    </row>
    <row r="244" spans="1:48">
      <c r="A244" s="21" t="s">
        <v>628</v>
      </c>
      <c r="B244" t="s">
        <v>629</v>
      </c>
      <c r="C244" t="s">
        <v>621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1</v>
      </c>
      <c r="J244" s="35">
        <v>0</v>
      </c>
      <c r="K244" s="35">
        <v>0</v>
      </c>
      <c r="L244" s="35">
        <v>0</v>
      </c>
      <c r="M244">
        <v>1</v>
      </c>
      <c r="N244">
        <v>0</v>
      </c>
      <c r="O244">
        <v>1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5</v>
      </c>
      <c r="AK244">
        <v>4</v>
      </c>
      <c r="AL244">
        <v>3</v>
      </c>
      <c r="AM244">
        <v>4</v>
      </c>
      <c r="AN244" s="23">
        <v>0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1</v>
      </c>
      <c r="AU244" s="33" t="str">
        <f t="shared" si="7"/>
        <v>库存为1</v>
      </c>
      <c r="AV244" s="38" t="str">
        <f>IFERROR(时间!$B$4+AU244,"上周无销量")</f>
        <v>上周无销量</v>
      </c>
    </row>
    <row r="245" spans="1:48">
      <c r="A245" s="21" t="s">
        <v>630</v>
      </c>
      <c r="B245" t="s">
        <v>631</v>
      </c>
      <c r="C245" t="s">
        <v>621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0</v>
      </c>
      <c r="J245" s="35">
        <v>0</v>
      </c>
      <c r="K245" s="35">
        <v>0</v>
      </c>
      <c r="L245" s="35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s">
        <v>54</v>
      </c>
      <c r="AO245" s="23" t="s">
        <v>54</v>
      </c>
      <c r="AP245" s="23" t="s">
        <v>54</v>
      </c>
      <c r="AQ245" s="23" t="s">
        <v>54</v>
      </c>
      <c r="AR245" s="37">
        <v>0</v>
      </c>
      <c r="AS245" s="37">
        <v>0</v>
      </c>
      <c r="AT245" s="37">
        <v>0</v>
      </c>
      <c r="AU245" s="33" t="str">
        <f t="shared" si="7"/>
        <v>库存为0</v>
      </c>
      <c r="AV245" s="38" t="str">
        <f>IFERROR(时间!$B$4+AU245,"上周无销量")</f>
        <v>上周无销量</v>
      </c>
    </row>
    <row r="246" spans="1:48">
      <c r="A246" s="21" t="s">
        <v>632</v>
      </c>
      <c r="B246" t="s">
        <v>633</v>
      </c>
      <c r="C246" t="s">
        <v>621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1</v>
      </c>
      <c r="J246" s="35">
        <v>0</v>
      </c>
      <c r="K246" s="35">
        <v>0</v>
      </c>
      <c r="L246" s="35">
        <v>0</v>
      </c>
      <c r="M246">
        <v>1</v>
      </c>
      <c r="N246">
        <v>0</v>
      </c>
      <c r="O246">
        <v>1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8</v>
      </c>
      <c r="AK246">
        <v>2</v>
      </c>
      <c r="AL246">
        <v>6</v>
      </c>
      <c r="AM246">
        <v>5</v>
      </c>
      <c r="AN246" s="23">
        <v>0</v>
      </c>
      <c r="AO246" s="23">
        <v>0</v>
      </c>
      <c r="AP246" s="23">
        <v>0</v>
      </c>
      <c r="AQ246" s="23">
        <v>0</v>
      </c>
      <c r="AR246" s="37">
        <v>0</v>
      </c>
      <c r="AS246" s="37">
        <v>0</v>
      </c>
      <c r="AT246" s="37">
        <v>1</v>
      </c>
      <c r="AU246" s="33" t="str">
        <f t="shared" si="7"/>
        <v>库存为1</v>
      </c>
      <c r="AV246" s="38" t="str">
        <f>IFERROR(时间!$B$4+AU246,"上周无销量")</f>
        <v>上周无销量</v>
      </c>
    </row>
    <row r="247" spans="1:48">
      <c r="A247" s="21" t="s">
        <v>634</v>
      </c>
      <c r="B247" t="s">
        <v>635</v>
      </c>
      <c r="C247" t="s">
        <v>621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1</v>
      </c>
      <c r="J247" s="35">
        <v>0</v>
      </c>
      <c r="K247" s="35">
        <v>0</v>
      </c>
      <c r="L247" s="35">
        <v>0</v>
      </c>
      <c r="M247">
        <v>1</v>
      </c>
      <c r="N247">
        <v>0</v>
      </c>
      <c r="O247">
        <v>1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4</v>
      </c>
      <c r="AK247">
        <v>4</v>
      </c>
      <c r="AL247">
        <v>4</v>
      </c>
      <c r="AM247">
        <v>1</v>
      </c>
      <c r="AN247" s="23">
        <v>0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1</v>
      </c>
      <c r="AU247" s="33" t="str">
        <f t="shared" si="7"/>
        <v>库存为1</v>
      </c>
      <c r="AV247" s="38" t="str">
        <f>IFERROR(时间!$B$4+AU247,"上周无销量")</f>
        <v>上周无销量</v>
      </c>
    </row>
    <row r="248" spans="1:48">
      <c r="A248" s="21" t="s">
        <v>636</v>
      </c>
      <c r="B248" t="s">
        <v>637</v>
      </c>
      <c r="C248" t="s">
        <v>638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6</v>
      </c>
      <c r="AK248">
        <v>1</v>
      </c>
      <c r="AL248">
        <v>2</v>
      </c>
      <c r="AM248">
        <v>1</v>
      </c>
      <c r="AN248" s="23">
        <v>0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639</v>
      </c>
      <c r="B249" t="s">
        <v>640</v>
      </c>
      <c r="C249" t="s">
        <v>638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0</v>
      </c>
      <c r="J249" s="35">
        <v>0</v>
      </c>
      <c r="K249" s="35">
        <v>0</v>
      </c>
      <c r="L249" s="35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7">
        <v>0</v>
      </c>
      <c r="AS249" s="37">
        <v>0</v>
      </c>
      <c r="AT249" s="37">
        <v>0</v>
      </c>
      <c r="AU249" s="33" t="str">
        <f t="shared" si="7"/>
        <v>库存为0</v>
      </c>
      <c r="AV249" s="38" t="str">
        <f>IFERROR(时间!$B$4+AU249,"上周无销量")</f>
        <v>上周无销量</v>
      </c>
    </row>
    <row r="250" spans="1:48">
      <c r="A250" s="21" t="s">
        <v>641</v>
      </c>
      <c r="B250" t="s">
        <v>642</v>
      </c>
      <c r="C250" t="s">
        <v>638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6</v>
      </c>
      <c r="AK250">
        <v>2</v>
      </c>
      <c r="AL250">
        <v>1</v>
      </c>
      <c r="AM250">
        <v>2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643</v>
      </c>
      <c r="B251" t="s">
        <v>644</v>
      </c>
      <c r="C251" t="s">
        <v>645</v>
      </c>
      <c r="D251" s="33">
        <v>0</v>
      </c>
      <c r="E251" s="33">
        <v>3</v>
      </c>
      <c r="F251" s="33">
        <v>0</v>
      </c>
      <c r="G251" s="33">
        <v>0</v>
      </c>
      <c r="H251" s="34">
        <v>0</v>
      </c>
      <c r="I251">
        <v>0</v>
      </c>
      <c r="J251" s="35">
        <v>0</v>
      </c>
      <c r="K251" s="35">
        <v>0</v>
      </c>
      <c r="L251" s="35">
        <v>0</v>
      </c>
      <c r="M251">
        <v>0</v>
      </c>
      <c r="N251">
        <v>0</v>
      </c>
      <c r="O251">
        <v>0</v>
      </c>
      <c r="P251">
        <v>0</v>
      </c>
      <c r="Q251">
        <v>53</v>
      </c>
      <c r="R251">
        <v>235</v>
      </c>
      <c r="S251">
        <v>164</v>
      </c>
      <c r="T251">
        <v>0</v>
      </c>
      <c r="U251">
        <v>0</v>
      </c>
      <c r="V251">
        <v>1</v>
      </c>
      <c r="W251">
        <v>0</v>
      </c>
      <c r="X251" s="23" t="s">
        <v>54</v>
      </c>
      <c r="Y251" s="23">
        <v>0</v>
      </c>
      <c r="Z251" s="23">
        <v>0.00425531914893617</v>
      </c>
      <c r="AA251" s="23">
        <v>0</v>
      </c>
      <c r="AB251">
        <v>0</v>
      </c>
      <c r="AC251">
        <v>0</v>
      </c>
      <c r="AD251">
        <v>0.28</v>
      </c>
      <c r="AE251">
        <v>0</v>
      </c>
      <c r="AF251" s="23" t="s">
        <v>54</v>
      </c>
      <c r="AG251" s="23" t="s">
        <v>54</v>
      </c>
      <c r="AH251" s="23" t="s">
        <v>235</v>
      </c>
      <c r="AI251" s="23" t="s">
        <v>54</v>
      </c>
      <c r="AJ251">
        <v>0</v>
      </c>
      <c r="AK251">
        <v>1</v>
      </c>
      <c r="AL251">
        <v>4</v>
      </c>
      <c r="AM251">
        <v>0</v>
      </c>
      <c r="AN251" s="23" t="s">
        <v>54</v>
      </c>
      <c r="AO251" s="23">
        <v>3</v>
      </c>
      <c r="AP251" s="23">
        <v>0</v>
      </c>
      <c r="AQ251" s="23" t="s">
        <v>54</v>
      </c>
      <c r="AR251" s="37">
        <v>0</v>
      </c>
      <c r="AS251" s="37">
        <v>0</v>
      </c>
      <c r="AT251" s="37">
        <v>0</v>
      </c>
      <c r="AU251" s="33" t="str">
        <f t="shared" si="7"/>
        <v>库存为0</v>
      </c>
      <c r="AV251" s="38" t="str">
        <f>IFERROR(时间!$B$4+AU251,"上周无销量")</f>
        <v>上周无销量</v>
      </c>
    </row>
    <row r="252" spans="1:48">
      <c r="A252" s="21" t="s">
        <v>646</v>
      </c>
      <c r="B252" t="s">
        <v>647</v>
      </c>
      <c r="C252" t="s">
        <v>645</v>
      </c>
      <c r="D252" s="33">
        <v>0</v>
      </c>
      <c r="E252" s="33">
        <v>2</v>
      </c>
      <c r="F252" s="33">
        <v>0</v>
      </c>
      <c r="G252" s="33">
        <v>0</v>
      </c>
      <c r="H252" s="34">
        <v>0</v>
      </c>
      <c r="I252">
        <v>1</v>
      </c>
      <c r="J252" s="35">
        <v>0</v>
      </c>
      <c r="K252" s="35">
        <v>0</v>
      </c>
      <c r="L252" s="35">
        <v>0</v>
      </c>
      <c r="M252">
        <v>1</v>
      </c>
      <c r="N252">
        <v>0</v>
      </c>
      <c r="O252">
        <v>1</v>
      </c>
      <c r="P252">
        <v>150</v>
      </c>
      <c r="Q252">
        <v>1014</v>
      </c>
      <c r="R252">
        <v>305</v>
      </c>
      <c r="S252">
        <v>169</v>
      </c>
      <c r="T252">
        <v>0</v>
      </c>
      <c r="U252">
        <v>0</v>
      </c>
      <c r="V252">
        <v>0</v>
      </c>
      <c r="W252">
        <v>1</v>
      </c>
      <c r="X252" s="23">
        <v>0</v>
      </c>
      <c r="Y252" s="23">
        <v>0</v>
      </c>
      <c r="Z252" s="23">
        <v>0</v>
      </c>
      <c r="AA252" s="23">
        <v>0.00591715976331361</v>
      </c>
      <c r="AB252">
        <v>0</v>
      </c>
      <c r="AC252">
        <v>0</v>
      </c>
      <c r="AD252">
        <v>0</v>
      </c>
      <c r="AE252">
        <v>0.35</v>
      </c>
      <c r="AF252" s="23" t="s">
        <v>54</v>
      </c>
      <c r="AG252" s="23" t="s">
        <v>54</v>
      </c>
      <c r="AH252" s="23" t="s">
        <v>54</v>
      </c>
      <c r="AI252" s="23" t="s">
        <v>648</v>
      </c>
      <c r="AJ252">
        <v>8</v>
      </c>
      <c r="AK252">
        <v>7</v>
      </c>
      <c r="AL252">
        <v>2</v>
      </c>
      <c r="AM252">
        <v>0</v>
      </c>
      <c r="AN252" s="23">
        <v>0</v>
      </c>
      <c r="AO252" s="23">
        <v>0.285714285714286</v>
      </c>
      <c r="AP252" s="23">
        <v>0</v>
      </c>
      <c r="AQ252" s="23" t="s">
        <v>54</v>
      </c>
      <c r="AR252" s="37">
        <v>0</v>
      </c>
      <c r="AS252" s="37">
        <v>0</v>
      </c>
      <c r="AT252" s="37">
        <v>1</v>
      </c>
      <c r="AU252" s="33" t="str">
        <f t="shared" si="7"/>
        <v>库存为1</v>
      </c>
      <c r="AV252" s="38" t="str">
        <f>IFERROR(时间!$B$4+AU252,"上周无销量")</f>
        <v>上周无销量</v>
      </c>
    </row>
    <row r="253" spans="1:48">
      <c r="A253" s="21" t="s">
        <v>649</v>
      </c>
      <c r="B253" t="s">
        <v>650</v>
      </c>
      <c r="C253" t="s">
        <v>645</v>
      </c>
      <c r="D253" s="33">
        <v>0</v>
      </c>
      <c r="E253" s="33">
        <v>3</v>
      </c>
      <c r="F253" s="33">
        <v>0</v>
      </c>
      <c r="G253" s="33">
        <v>0</v>
      </c>
      <c r="H253" s="34">
        <v>0</v>
      </c>
      <c r="I253">
        <v>0</v>
      </c>
      <c r="J253" s="35">
        <v>0</v>
      </c>
      <c r="K253" s="35">
        <v>0</v>
      </c>
      <c r="L253" s="35">
        <v>0</v>
      </c>
      <c r="M253">
        <v>0</v>
      </c>
      <c r="N253">
        <v>0</v>
      </c>
      <c r="O253">
        <v>0</v>
      </c>
      <c r="P253">
        <v>0</v>
      </c>
      <c r="Q253">
        <v>375</v>
      </c>
      <c r="R253">
        <v>2574</v>
      </c>
      <c r="S253">
        <v>1727</v>
      </c>
      <c r="T253">
        <v>0</v>
      </c>
      <c r="U253">
        <v>1</v>
      </c>
      <c r="V253">
        <v>0</v>
      </c>
      <c r="W253">
        <v>1</v>
      </c>
      <c r="X253" s="23" t="s">
        <v>54</v>
      </c>
      <c r="Y253" s="23">
        <v>0.00266666666666667</v>
      </c>
      <c r="Z253" s="23">
        <v>0</v>
      </c>
      <c r="AA253" s="23">
        <v>0.000579038795599305</v>
      </c>
      <c r="AB253">
        <v>0</v>
      </c>
      <c r="AC253">
        <v>0.28</v>
      </c>
      <c r="AD253">
        <v>0</v>
      </c>
      <c r="AE253">
        <v>0.29</v>
      </c>
      <c r="AF253" s="23" t="s">
        <v>54</v>
      </c>
      <c r="AG253" s="23" t="s">
        <v>235</v>
      </c>
      <c r="AH253" s="23" t="s">
        <v>54</v>
      </c>
      <c r="AI253" s="23" t="s">
        <v>232</v>
      </c>
      <c r="AJ253">
        <v>0</v>
      </c>
      <c r="AK253">
        <v>2</v>
      </c>
      <c r="AL253">
        <v>6</v>
      </c>
      <c r="AM253">
        <v>2</v>
      </c>
      <c r="AN253" s="23" t="s">
        <v>54</v>
      </c>
      <c r="AO253" s="23">
        <v>1.5</v>
      </c>
      <c r="AP253" s="23">
        <v>0</v>
      </c>
      <c r="AQ253" s="23">
        <v>0</v>
      </c>
      <c r="AR253" s="37">
        <v>0</v>
      </c>
      <c r="AS253" s="37">
        <v>0</v>
      </c>
      <c r="AT253" s="37">
        <v>0</v>
      </c>
      <c r="AU253" s="33" t="str">
        <f t="shared" si="7"/>
        <v>库存为0</v>
      </c>
      <c r="AV253" s="38" t="str">
        <f>IFERROR(时间!$B$4+AU253,"上周无销量")</f>
        <v>上周无销量</v>
      </c>
    </row>
    <row r="254" spans="1:48">
      <c r="A254" s="21" t="s">
        <v>651</v>
      </c>
      <c r="B254" t="s">
        <v>652</v>
      </c>
      <c r="C254" t="s">
        <v>645</v>
      </c>
      <c r="D254" s="33">
        <v>0</v>
      </c>
      <c r="E254" s="33">
        <v>2</v>
      </c>
      <c r="F254" s="33">
        <v>0</v>
      </c>
      <c r="G254" s="33">
        <v>0</v>
      </c>
      <c r="H254" s="34">
        <v>0</v>
      </c>
      <c r="I254">
        <v>0</v>
      </c>
      <c r="J254" s="35">
        <v>0</v>
      </c>
      <c r="K254" s="35">
        <v>0</v>
      </c>
      <c r="L254" s="35">
        <v>0</v>
      </c>
      <c r="M254">
        <v>0</v>
      </c>
      <c r="N254">
        <v>0</v>
      </c>
      <c r="O254">
        <v>0</v>
      </c>
      <c r="P254">
        <v>0</v>
      </c>
      <c r="Q254">
        <v>28</v>
      </c>
      <c r="R254">
        <v>285</v>
      </c>
      <c r="S254">
        <v>354</v>
      </c>
      <c r="T254">
        <v>0</v>
      </c>
      <c r="U254">
        <v>0</v>
      </c>
      <c r="V254">
        <v>1</v>
      </c>
      <c r="W254">
        <v>0</v>
      </c>
      <c r="X254" s="23" t="s">
        <v>54</v>
      </c>
      <c r="Y254" s="23">
        <v>0</v>
      </c>
      <c r="Z254" s="23">
        <v>0.00350877192982456</v>
      </c>
      <c r="AA254" s="23">
        <v>0</v>
      </c>
      <c r="AB254">
        <v>0</v>
      </c>
      <c r="AC254">
        <v>0</v>
      </c>
      <c r="AD254">
        <v>0.2</v>
      </c>
      <c r="AE254">
        <v>0</v>
      </c>
      <c r="AF254" s="23" t="s">
        <v>54</v>
      </c>
      <c r="AG254" s="23" t="s">
        <v>54</v>
      </c>
      <c r="AH254" s="23" t="s">
        <v>653</v>
      </c>
      <c r="AI254" s="23" t="s">
        <v>54</v>
      </c>
      <c r="AJ254">
        <v>0</v>
      </c>
      <c r="AK254">
        <v>1</v>
      </c>
      <c r="AL254">
        <v>1</v>
      </c>
      <c r="AM254">
        <v>1</v>
      </c>
      <c r="AN254" s="23" t="s">
        <v>54</v>
      </c>
      <c r="AO254" s="23">
        <v>2</v>
      </c>
      <c r="AP254" s="23">
        <v>0</v>
      </c>
      <c r="AQ254" s="23">
        <v>0</v>
      </c>
      <c r="AR254" s="37">
        <v>0</v>
      </c>
      <c r="AS254" s="37">
        <v>0</v>
      </c>
      <c r="AT254" s="37">
        <v>0</v>
      </c>
      <c r="AU254" s="33" t="str">
        <f t="shared" si="7"/>
        <v>库存为0</v>
      </c>
      <c r="AV254" s="38" t="str">
        <f>IFERROR(时间!$B$4+AU254,"上周无销量")</f>
        <v>上周无销量</v>
      </c>
    </row>
    <row r="255" spans="1:48">
      <c r="A255" s="21" t="s">
        <v>654</v>
      </c>
      <c r="B255" t="s">
        <v>655</v>
      </c>
      <c r="C255" t="s">
        <v>645</v>
      </c>
      <c r="D255" s="33">
        <v>0</v>
      </c>
      <c r="E255" s="33">
        <v>3</v>
      </c>
      <c r="F255" s="33">
        <v>0</v>
      </c>
      <c r="G255" s="33">
        <v>0</v>
      </c>
      <c r="H255" s="34">
        <v>0</v>
      </c>
      <c r="I255">
        <v>0</v>
      </c>
      <c r="J255" s="35">
        <v>0</v>
      </c>
      <c r="K255" s="35">
        <v>0</v>
      </c>
      <c r="L255" s="35">
        <v>0</v>
      </c>
      <c r="M255">
        <v>0</v>
      </c>
      <c r="N255">
        <v>0</v>
      </c>
      <c r="O255">
        <v>0</v>
      </c>
      <c r="P255">
        <v>0</v>
      </c>
      <c r="Q255">
        <v>71</v>
      </c>
      <c r="R255">
        <v>233</v>
      </c>
      <c r="S255">
        <v>711</v>
      </c>
      <c r="T255">
        <v>0</v>
      </c>
      <c r="U255">
        <v>0</v>
      </c>
      <c r="V255">
        <v>1</v>
      </c>
      <c r="W255">
        <v>1</v>
      </c>
      <c r="X255" s="23" t="s">
        <v>54</v>
      </c>
      <c r="Y255" s="23">
        <v>0</v>
      </c>
      <c r="Z255" s="23">
        <v>0.00429184549356223</v>
      </c>
      <c r="AA255" s="23">
        <v>0.00140646976090014</v>
      </c>
      <c r="AB255">
        <v>0</v>
      </c>
      <c r="AC255">
        <v>0</v>
      </c>
      <c r="AD255">
        <v>0.27</v>
      </c>
      <c r="AE255">
        <v>0.47</v>
      </c>
      <c r="AF255" s="23" t="s">
        <v>54</v>
      </c>
      <c r="AG255" s="23" t="s">
        <v>54</v>
      </c>
      <c r="AH255" s="23" t="s">
        <v>656</v>
      </c>
      <c r="AI255" s="23" t="s">
        <v>657</v>
      </c>
      <c r="AJ255">
        <v>0</v>
      </c>
      <c r="AK255">
        <v>1</v>
      </c>
      <c r="AL255">
        <v>2</v>
      </c>
      <c r="AM255">
        <v>2</v>
      </c>
      <c r="AN255" s="23" t="s">
        <v>54</v>
      </c>
      <c r="AO255" s="23">
        <v>3</v>
      </c>
      <c r="AP255" s="23">
        <v>0</v>
      </c>
      <c r="AQ255" s="23">
        <v>0</v>
      </c>
      <c r="AR255" s="37">
        <v>0</v>
      </c>
      <c r="AS255" s="37">
        <v>0</v>
      </c>
      <c r="AT255" s="37">
        <v>0</v>
      </c>
      <c r="AU255" s="33" t="str">
        <f t="shared" si="7"/>
        <v>库存为0</v>
      </c>
      <c r="AV255" s="38" t="str">
        <f>IFERROR(时间!$B$4+AU255,"上周无销量")</f>
        <v>上周无销量</v>
      </c>
    </row>
    <row r="256" spans="1:48">
      <c r="A256" s="21" t="s">
        <v>658</v>
      </c>
      <c r="B256" t="s">
        <v>659</v>
      </c>
      <c r="C256" t="s">
        <v>645</v>
      </c>
      <c r="D256" s="33">
        <v>0</v>
      </c>
      <c r="E256" s="33">
        <v>3</v>
      </c>
      <c r="F256" s="33">
        <v>0</v>
      </c>
      <c r="G256" s="33">
        <v>0</v>
      </c>
      <c r="H256" s="34">
        <v>0</v>
      </c>
      <c r="I256">
        <v>0</v>
      </c>
      <c r="J256" s="35">
        <v>0</v>
      </c>
      <c r="K256" s="35">
        <v>0</v>
      </c>
      <c r="L256" s="35">
        <v>0</v>
      </c>
      <c r="M256">
        <v>0</v>
      </c>
      <c r="N256">
        <v>0</v>
      </c>
      <c r="O256">
        <v>0</v>
      </c>
      <c r="P256">
        <v>0</v>
      </c>
      <c r="Q256">
        <v>616</v>
      </c>
      <c r="R256">
        <v>4605</v>
      </c>
      <c r="S256">
        <v>2426</v>
      </c>
      <c r="T256">
        <v>0</v>
      </c>
      <c r="U256">
        <v>1</v>
      </c>
      <c r="V256">
        <v>6</v>
      </c>
      <c r="W256">
        <v>6</v>
      </c>
      <c r="X256" s="23" t="s">
        <v>54</v>
      </c>
      <c r="Y256" s="23">
        <v>0.00162337662337662</v>
      </c>
      <c r="Z256" s="23">
        <v>0.00130293159609121</v>
      </c>
      <c r="AA256" s="23">
        <v>0.00247320692497939</v>
      </c>
      <c r="AB256">
        <v>0</v>
      </c>
      <c r="AC256">
        <v>0.34</v>
      </c>
      <c r="AD256">
        <v>1.84</v>
      </c>
      <c r="AE256">
        <v>1.53</v>
      </c>
      <c r="AF256" s="23" t="s">
        <v>54</v>
      </c>
      <c r="AG256" s="23" t="s">
        <v>660</v>
      </c>
      <c r="AH256" s="23" t="s">
        <v>661</v>
      </c>
      <c r="AI256" s="23" t="s">
        <v>662</v>
      </c>
      <c r="AJ256">
        <v>0</v>
      </c>
      <c r="AK256">
        <v>3</v>
      </c>
      <c r="AL256">
        <v>10</v>
      </c>
      <c r="AM256">
        <v>3</v>
      </c>
      <c r="AN256" s="23" t="s">
        <v>54</v>
      </c>
      <c r="AO256" s="23">
        <v>1</v>
      </c>
      <c r="AP256" s="23">
        <v>0</v>
      </c>
      <c r="AQ256" s="23">
        <v>0</v>
      </c>
      <c r="AR256" s="37">
        <v>0</v>
      </c>
      <c r="AS256" s="37">
        <v>0</v>
      </c>
      <c r="AT256" s="37">
        <v>0</v>
      </c>
      <c r="AU256" s="33" t="str">
        <f t="shared" si="7"/>
        <v>库存为0</v>
      </c>
      <c r="AV256" s="38" t="str">
        <f>IFERROR(时间!$B$4+AU256,"上周无销量")</f>
        <v>上周无销量</v>
      </c>
    </row>
    <row r="257" spans="1:48">
      <c r="A257" s="21" t="s">
        <v>663</v>
      </c>
      <c r="B257" t="s">
        <v>664</v>
      </c>
      <c r="C257" t="s">
        <v>645</v>
      </c>
      <c r="D257" s="33">
        <v>0</v>
      </c>
      <c r="E257" s="33">
        <v>3</v>
      </c>
      <c r="F257" s="33">
        <v>0</v>
      </c>
      <c r="G257" s="33">
        <v>0</v>
      </c>
      <c r="H257" s="34">
        <v>0</v>
      </c>
      <c r="I257">
        <v>0</v>
      </c>
      <c r="J257" s="35">
        <v>0</v>
      </c>
      <c r="K257" s="35">
        <v>0</v>
      </c>
      <c r="L257" s="35">
        <v>0</v>
      </c>
      <c r="M257">
        <v>0</v>
      </c>
      <c r="N257">
        <v>0</v>
      </c>
      <c r="O257">
        <v>0</v>
      </c>
      <c r="P257">
        <v>0</v>
      </c>
      <c r="Q257">
        <v>48</v>
      </c>
      <c r="R257">
        <v>249</v>
      </c>
      <c r="S257">
        <v>479</v>
      </c>
      <c r="T257">
        <v>0</v>
      </c>
      <c r="U257">
        <v>0</v>
      </c>
      <c r="V257">
        <v>2</v>
      </c>
      <c r="W257">
        <v>3</v>
      </c>
      <c r="X257" s="23" t="s">
        <v>54</v>
      </c>
      <c r="Y257" s="23">
        <v>0</v>
      </c>
      <c r="Z257" s="23">
        <v>0.00803212851405622</v>
      </c>
      <c r="AA257" s="23">
        <v>0.00626304801670146</v>
      </c>
      <c r="AB257">
        <v>0</v>
      </c>
      <c r="AC257">
        <v>0</v>
      </c>
      <c r="AD257">
        <v>0.3</v>
      </c>
      <c r="AE257">
        <v>0.7</v>
      </c>
      <c r="AF257" s="23" t="s">
        <v>54</v>
      </c>
      <c r="AG257" s="23" t="s">
        <v>54</v>
      </c>
      <c r="AH257" s="23" t="s">
        <v>665</v>
      </c>
      <c r="AI257" s="23" t="s">
        <v>666</v>
      </c>
      <c r="AJ257">
        <v>0</v>
      </c>
      <c r="AK257">
        <v>3</v>
      </c>
      <c r="AL257">
        <v>6</v>
      </c>
      <c r="AM257">
        <v>3</v>
      </c>
      <c r="AN257" s="23" t="s">
        <v>54</v>
      </c>
      <c r="AO257" s="23">
        <v>1</v>
      </c>
      <c r="AP257" s="23">
        <v>0</v>
      </c>
      <c r="AQ257" s="23">
        <v>0</v>
      </c>
      <c r="AR257" s="37">
        <v>0</v>
      </c>
      <c r="AS257" s="37">
        <v>0</v>
      </c>
      <c r="AT257" s="37">
        <v>0</v>
      </c>
      <c r="AU257" s="33" t="str">
        <f t="shared" si="7"/>
        <v>库存为0</v>
      </c>
      <c r="AV257" s="38" t="str">
        <f>IFERROR(时间!$B$4+AU257,"上周无销量")</f>
        <v>上周无销量</v>
      </c>
    </row>
    <row r="258" spans="1:48">
      <c r="A258" s="21" t="s">
        <v>667</v>
      </c>
      <c r="B258" t="s">
        <v>668</v>
      </c>
      <c r="C258" t="s">
        <v>645</v>
      </c>
      <c r="D258" s="33">
        <v>0</v>
      </c>
      <c r="E258" s="33">
        <v>3</v>
      </c>
      <c r="F258" s="33">
        <v>0</v>
      </c>
      <c r="G258" s="33">
        <v>0</v>
      </c>
      <c r="H258" s="34">
        <v>0</v>
      </c>
      <c r="I258">
        <v>0</v>
      </c>
      <c r="J258" s="35">
        <v>0</v>
      </c>
      <c r="K258" s="35">
        <v>0</v>
      </c>
      <c r="L258" s="35">
        <v>0</v>
      </c>
      <c r="M258">
        <v>0</v>
      </c>
      <c r="N258">
        <v>0</v>
      </c>
      <c r="O258">
        <v>0</v>
      </c>
      <c r="P258">
        <v>0</v>
      </c>
      <c r="Q258">
        <v>200</v>
      </c>
      <c r="R258">
        <v>1796</v>
      </c>
      <c r="S258">
        <v>3159</v>
      </c>
      <c r="T258">
        <v>0</v>
      </c>
      <c r="U258">
        <v>0</v>
      </c>
      <c r="V258">
        <v>5</v>
      </c>
      <c r="W258">
        <v>3</v>
      </c>
      <c r="X258" s="23" t="s">
        <v>54</v>
      </c>
      <c r="Y258" s="23">
        <v>0</v>
      </c>
      <c r="Z258" s="23">
        <v>0.00278396436525612</v>
      </c>
      <c r="AA258" s="23">
        <v>0.000949667616334283</v>
      </c>
      <c r="AB258">
        <v>0</v>
      </c>
      <c r="AC258">
        <v>0</v>
      </c>
      <c r="AD258">
        <v>1.82</v>
      </c>
      <c r="AE258">
        <v>1.24</v>
      </c>
      <c r="AF258" s="23" t="s">
        <v>54</v>
      </c>
      <c r="AG258" s="23" t="s">
        <v>54</v>
      </c>
      <c r="AH258" s="23" t="s">
        <v>261</v>
      </c>
      <c r="AI258" s="23" t="s">
        <v>240</v>
      </c>
      <c r="AJ258">
        <v>0</v>
      </c>
      <c r="AK258">
        <v>1</v>
      </c>
      <c r="AL258">
        <v>5</v>
      </c>
      <c r="AM258">
        <v>3</v>
      </c>
      <c r="AN258" s="23" t="s">
        <v>54</v>
      </c>
      <c r="AO258" s="23">
        <v>3</v>
      </c>
      <c r="AP258" s="23">
        <v>0</v>
      </c>
      <c r="AQ258" s="23">
        <v>0</v>
      </c>
      <c r="AR258" s="37">
        <v>0</v>
      </c>
      <c r="AS258" s="37">
        <v>0</v>
      </c>
      <c r="AT258" s="37">
        <v>0</v>
      </c>
      <c r="AU258" s="33" t="str">
        <f t="shared" si="7"/>
        <v>库存为0</v>
      </c>
      <c r="AV258" s="38" t="str">
        <f>IFERROR(时间!$B$4+AU258,"上周无销量")</f>
        <v>上周无销量</v>
      </c>
    </row>
    <row r="259" spans="1:48">
      <c r="A259" s="21" t="s">
        <v>669</v>
      </c>
      <c r="B259" t="s">
        <v>670</v>
      </c>
      <c r="C259" t="s">
        <v>645</v>
      </c>
      <c r="D259" s="33">
        <v>0</v>
      </c>
      <c r="E259" s="33">
        <v>3</v>
      </c>
      <c r="F259" s="33">
        <v>0</v>
      </c>
      <c r="G259" s="33">
        <v>0</v>
      </c>
      <c r="H259" s="34">
        <v>0</v>
      </c>
      <c r="I259">
        <v>0</v>
      </c>
      <c r="J259" s="35">
        <v>0</v>
      </c>
      <c r="K259" s="35">
        <v>0</v>
      </c>
      <c r="L259" s="35">
        <v>0</v>
      </c>
      <c r="M259">
        <v>0</v>
      </c>
      <c r="N259">
        <v>0</v>
      </c>
      <c r="O259">
        <v>0</v>
      </c>
      <c r="P259">
        <v>0</v>
      </c>
      <c r="Q259">
        <v>67</v>
      </c>
      <c r="R259">
        <v>239</v>
      </c>
      <c r="S259">
        <v>206</v>
      </c>
      <c r="T259">
        <v>0</v>
      </c>
      <c r="U259">
        <v>0</v>
      </c>
      <c r="V259">
        <v>0</v>
      </c>
      <c r="W259">
        <v>2</v>
      </c>
      <c r="X259" s="23" t="s">
        <v>54</v>
      </c>
      <c r="Y259" s="23">
        <v>0</v>
      </c>
      <c r="Z259" s="23">
        <v>0</v>
      </c>
      <c r="AA259" s="23">
        <v>0.00970873786407767</v>
      </c>
      <c r="AB259">
        <v>0</v>
      </c>
      <c r="AC259">
        <v>0</v>
      </c>
      <c r="AD259">
        <v>0</v>
      </c>
      <c r="AE259">
        <v>0.94</v>
      </c>
      <c r="AF259" s="23" t="s">
        <v>54</v>
      </c>
      <c r="AG259" s="23" t="s">
        <v>54</v>
      </c>
      <c r="AH259" s="23" t="s">
        <v>54</v>
      </c>
      <c r="AI259" s="23" t="s">
        <v>671</v>
      </c>
      <c r="AJ259">
        <v>0</v>
      </c>
      <c r="AK259">
        <v>1</v>
      </c>
      <c r="AL259">
        <v>2</v>
      </c>
      <c r="AM259">
        <v>1</v>
      </c>
      <c r="AN259" s="23" t="s">
        <v>54</v>
      </c>
      <c r="AO259" s="23">
        <v>3</v>
      </c>
      <c r="AP259" s="23">
        <v>0</v>
      </c>
      <c r="AQ259" s="23">
        <v>0</v>
      </c>
      <c r="AR259" s="37">
        <v>0</v>
      </c>
      <c r="AS259" s="37">
        <v>0</v>
      </c>
      <c r="AT259" s="37">
        <v>0</v>
      </c>
      <c r="AU259" s="33" t="str">
        <f t="shared" si="7"/>
        <v>库存为0</v>
      </c>
      <c r="AV259" s="38" t="str">
        <f>IFERROR(时间!$B$4+AU259,"上周无销量")</f>
        <v>上周无销量</v>
      </c>
    </row>
    <row r="260" spans="1:48">
      <c r="A260" s="21" t="s">
        <v>672</v>
      </c>
      <c r="B260" t="s">
        <v>673</v>
      </c>
      <c r="C260" t="s">
        <v>645</v>
      </c>
      <c r="D260" s="33">
        <v>0</v>
      </c>
      <c r="E260" s="33">
        <v>0</v>
      </c>
      <c r="F260" s="33">
        <v>1</v>
      </c>
      <c r="G260" s="33">
        <v>1</v>
      </c>
      <c r="H260" s="34">
        <v>12.9</v>
      </c>
      <c r="I260">
        <v>0</v>
      </c>
      <c r="J260" s="35">
        <v>0</v>
      </c>
      <c r="K260" s="35">
        <v>0</v>
      </c>
      <c r="L260" s="35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243</v>
      </c>
      <c r="S260">
        <v>188</v>
      </c>
      <c r="T260">
        <v>0</v>
      </c>
      <c r="U260">
        <v>0</v>
      </c>
      <c r="V260">
        <v>1</v>
      </c>
      <c r="W260">
        <v>0</v>
      </c>
      <c r="X260" s="23" t="s">
        <v>54</v>
      </c>
      <c r="Y260" s="23" t="s">
        <v>54</v>
      </c>
      <c r="Z260" s="23">
        <v>0.00411522633744856</v>
      </c>
      <c r="AA260" s="23">
        <v>0</v>
      </c>
      <c r="AB260">
        <v>0</v>
      </c>
      <c r="AC260">
        <v>0</v>
      </c>
      <c r="AD260">
        <v>0.38</v>
      </c>
      <c r="AE260">
        <v>0</v>
      </c>
      <c r="AF260" s="23" t="s">
        <v>54</v>
      </c>
      <c r="AG260" s="23" t="s">
        <v>54</v>
      </c>
      <c r="AH260" s="23">
        <v>0.0294573643410853</v>
      </c>
      <c r="AI260" s="23" t="s">
        <v>54</v>
      </c>
      <c r="AJ260">
        <v>0</v>
      </c>
      <c r="AK260">
        <v>0</v>
      </c>
      <c r="AL260">
        <v>4</v>
      </c>
      <c r="AM260">
        <v>4</v>
      </c>
      <c r="AN260" s="23" t="s">
        <v>54</v>
      </c>
      <c r="AO260" s="23" t="s">
        <v>54</v>
      </c>
      <c r="AP260" s="23">
        <v>0.25</v>
      </c>
      <c r="AQ260" s="23">
        <v>0.25</v>
      </c>
      <c r="AR260" s="37">
        <v>0</v>
      </c>
      <c r="AS260" s="37">
        <v>0</v>
      </c>
      <c r="AT260" s="37">
        <v>0</v>
      </c>
      <c r="AU260" s="33" t="str">
        <f t="shared" si="7"/>
        <v>库存为0</v>
      </c>
      <c r="AV260" s="38" t="str">
        <f>IFERROR(时间!$B$4+AU260,"上周无销量")</f>
        <v>上周无销量</v>
      </c>
    </row>
    <row r="261" spans="1:48">
      <c r="A261" s="21" t="s">
        <v>674</v>
      </c>
      <c r="B261" t="s">
        <v>675</v>
      </c>
      <c r="C261" t="s">
        <v>676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1</v>
      </c>
      <c r="J261" s="35">
        <v>0</v>
      </c>
      <c r="K261" s="35">
        <v>0</v>
      </c>
      <c r="L261" s="35">
        <v>0</v>
      </c>
      <c r="M261">
        <v>1</v>
      </c>
      <c r="N261">
        <v>0</v>
      </c>
      <c r="O261">
        <v>1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5</v>
      </c>
      <c r="AK261">
        <v>5</v>
      </c>
      <c r="AL261">
        <v>3</v>
      </c>
      <c r="AM261">
        <v>0</v>
      </c>
      <c r="AN261" s="23">
        <v>0</v>
      </c>
      <c r="AO261" s="23">
        <v>0</v>
      </c>
      <c r="AP261" s="23">
        <v>0</v>
      </c>
      <c r="AQ261" s="23" t="s">
        <v>54</v>
      </c>
      <c r="AR261" s="37">
        <v>0</v>
      </c>
      <c r="AS261" s="37">
        <v>0</v>
      </c>
      <c r="AT261" s="37">
        <v>1</v>
      </c>
      <c r="AU261" s="33" t="str">
        <f t="shared" ref="AU261:AU324" si="8">IF(AR261="","库存为"&amp;M261,IF(AS261=0,"库存为"&amp;M261,INT(M261/AR261)))</f>
        <v>库存为1</v>
      </c>
      <c r="AV261" s="38" t="str">
        <f>IFERROR(时间!$B$4+AU261,"上周无销量")</f>
        <v>上周无销量</v>
      </c>
    </row>
    <row r="262" spans="1:48">
      <c r="A262" s="21" t="s">
        <v>677</v>
      </c>
      <c r="B262" t="s">
        <v>678</v>
      </c>
      <c r="C262" t="s">
        <v>679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1</v>
      </c>
      <c r="J262" s="35">
        <v>0</v>
      </c>
      <c r="K262" s="35">
        <v>0</v>
      </c>
      <c r="L262" s="35">
        <v>0</v>
      </c>
      <c r="M262">
        <v>1</v>
      </c>
      <c r="N262">
        <v>0</v>
      </c>
      <c r="O262">
        <v>1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5</v>
      </c>
      <c r="AK262">
        <v>2</v>
      </c>
      <c r="AL262">
        <v>5</v>
      </c>
      <c r="AM262">
        <v>1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1</v>
      </c>
      <c r="AU262" s="33" t="str">
        <f t="shared" si="8"/>
        <v>库存为1</v>
      </c>
      <c r="AV262" s="38" t="str">
        <f>IFERROR(时间!$B$4+AU262,"上周无销量")</f>
        <v>上周无销量</v>
      </c>
    </row>
    <row r="263" spans="1:48">
      <c r="A263" s="21" t="s">
        <v>680</v>
      </c>
      <c r="B263" t="s">
        <v>681</v>
      </c>
      <c r="C263" t="s">
        <v>679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</v>
      </c>
      <c r="J263" s="35">
        <v>0</v>
      </c>
      <c r="K263" s="35">
        <v>0</v>
      </c>
      <c r="L263" s="35">
        <v>0</v>
      </c>
      <c r="M263">
        <v>1</v>
      </c>
      <c r="N263">
        <v>0</v>
      </c>
      <c r="O263">
        <v>1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5</v>
      </c>
      <c r="AK263">
        <v>3</v>
      </c>
      <c r="AL263">
        <v>3</v>
      </c>
      <c r="AM263">
        <v>1</v>
      </c>
      <c r="AN263" s="23">
        <v>0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1</v>
      </c>
      <c r="AU263" s="33" t="str">
        <f t="shared" si="8"/>
        <v>库存为1</v>
      </c>
      <c r="AV263" s="38" t="str">
        <f>IFERROR(时间!$B$4+AU263,"上周无销量")</f>
        <v>上周无销量</v>
      </c>
    </row>
    <row r="264" spans="1:48">
      <c r="A264" s="21" t="s">
        <v>682</v>
      </c>
      <c r="B264" t="s">
        <v>683</v>
      </c>
      <c r="C264" t="s">
        <v>679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1</v>
      </c>
      <c r="J264" s="35">
        <v>0</v>
      </c>
      <c r="K264" s="35">
        <v>0</v>
      </c>
      <c r="L264" s="35">
        <v>0</v>
      </c>
      <c r="M264">
        <v>1</v>
      </c>
      <c r="N264">
        <v>0</v>
      </c>
      <c r="O264">
        <v>1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5</v>
      </c>
      <c r="AK264">
        <v>2</v>
      </c>
      <c r="AL264">
        <v>1</v>
      </c>
      <c r="AM264">
        <v>1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1</v>
      </c>
      <c r="AU264" s="33" t="str">
        <f t="shared" si="8"/>
        <v>库存为1</v>
      </c>
      <c r="AV264" s="38" t="str">
        <f>IFERROR(时间!$B$4+AU264,"上周无销量")</f>
        <v>上周无销量</v>
      </c>
    </row>
    <row r="265" spans="1:48">
      <c r="A265" s="21" t="s">
        <v>684</v>
      </c>
      <c r="B265" t="s">
        <v>685</v>
      </c>
      <c r="C265" t="s">
        <v>679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1</v>
      </c>
      <c r="J265" s="35">
        <v>0</v>
      </c>
      <c r="K265" s="35">
        <v>0</v>
      </c>
      <c r="L265" s="35">
        <v>0</v>
      </c>
      <c r="M265">
        <v>1</v>
      </c>
      <c r="N265">
        <v>0</v>
      </c>
      <c r="O265">
        <v>1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6</v>
      </c>
      <c r="AK265">
        <v>3</v>
      </c>
      <c r="AL265">
        <v>5</v>
      </c>
      <c r="AM265">
        <v>2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1</v>
      </c>
      <c r="AU265" s="33" t="str">
        <f t="shared" si="8"/>
        <v>库存为1</v>
      </c>
      <c r="AV265" s="38" t="str">
        <f>IFERROR(时间!$B$4+AU265,"上周无销量")</f>
        <v>上周无销量</v>
      </c>
    </row>
    <row r="266" spans="1:48">
      <c r="A266" s="21" t="s">
        <v>686</v>
      </c>
      <c r="B266" t="s">
        <v>687</v>
      </c>
      <c r="C266" t="s">
        <v>679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1</v>
      </c>
      <c r="J266" s="35">
        <v>0</v>
      </c>
      <c r="K266" s="35">
        <v>0</v>
      </c>
      <c r="L266" s="35">
        <v>0</v>
      </c>
      <c r="M266">
        <v>1</v>
      </c>
      <c r="N266">
        <v>0</v>
      </c>
      <c r="O266">
        <v>1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3</v>
      </c>
      <c r="AK266">
        <v>3</v>
      </c>
      <c r="AL266">
        <v>2</v>
      </c>
      <c r="AM266">
        <v>3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1</v>
      </c>
      <c r="AU266" s="33" t="str">
        <f t="shared" si="8"/>
        <v>库存为1</v>
      </c>
      <c r="AV266" s="38" t="str">
        <f>IFERROR(时间!$B$4+AU266,"上周无销量")</f>
        <v>上周无销量</v>
      </c>
    </row>
    <row r="267" spans="1:48">
      <c r="A267" s="21" t="s">
        <v>688</v>
      </c>
      <c r="B267" t="s">
        <v>689</v>
      </c>
      <c r="C267" t="s">
        <v>679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1</v>
      </c>
      <c r="J267" s="35">
        <v>0</v>
      </c>
      <c r="K267" s="35">
        <v>0</v>
      </c>
      <c r="L267" s="35">
        <v>0</v>
      </c>
      <c r="M267">
        <v>1</v>
      </c>
      <c r="N267">
        <v>0</v>
      </c>
      <c r="O267">
        <v>1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4</v>
      </c>
      <c r="AK267">
        <v>2</v>
      </c>
      <c r="AL267">
        <v>2</v>
      </c>
      <c r="AM267">
        <v>0</v>
      </c>
      <c r="AN267" s="23">
        <v>0</v>
      </c>
      <c r="AO267" s="23">
        <v>0</v>
      </c>
      <c r="AP267" s="23">
        <v>0</v>
      </c>
      <c r="AQ267" s="23" t="s">
        <v>54</v>
      </c>
      <c r="AR267" s="37">
        <v>0</v>
      </c>
      <c r="AS267" s="37">
        <v>0</v>
      </c>
      <c r="AT267" s="37">
        <v>1</v>
      </c>
      <c r="AU267" s="33" t="str">
        <f t="shared" si="8"/>
        <v>库存为1</v>
      </c>
      <c r="AV267" s="38" t="str">
        <f>IFERROR(时间!$B$4+AU267,"上周无销量")</f>
        <v>上周无销量</v>
      </c>
    </row>
    <row r="268" spans="1:48">
      <c r="A268" s="21" t="s">
        <v>690</v>
      </c>
      <c r="B268" t="s">
        <v>691</v>
      </c>
      <c r="C268" t="s">
        <v>679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1</v>
      </c>
      <c r="J268" s="35">
        <v>0</v>
      </c>
      <c r="K268" s="35">
        <v>0</v>
      </c>
      <c r="L268" s="35">
        <v>0</v>
      </c>
      <c r="M268">
        <v>1</v>
      </c>
      <c r="N268">
        <v>0</v>
      </c>
      <c r="O268">
        <v>1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4</v>
      </c>
      <c r="AK268">
        <v>4</v>
      </c>
      <c r="AL268">
        <v>5</v>
      </c>
      <c r="AM268">
        <v>4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1</v>
      </c>
      <c r="AU268" s="33" t="str">
        <f t="shared" si="8"/>
        <v>库存为1</v>
      </c>
      <c r="AV268" s="38" t="str">
        <f>IFERROR(时间!$B$4+AU268,"上周无销量")</f>
        <v>上周无销量</v>
      </c>
    </row>
    <row r="269" spans="1:48">
      <c r="A269" s="21" t="s">
        <v>692</v>
      </c>
      <c r="B269" t="s">
        <v>693</v>
      </c>
      <c r="C269" t="s">
        <v>679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1</v>
      </c>
      <c r="J269" s="35">
        <v>0</v>
      </c>
      <c r="K269" s="35">
        <v>0</v>
      </c>
      <c r="L269" s="35">
        <v>0</v>
      </c>
      <c r="M269">
        <v>1</v>
      </c>
      <c r="N269">
        <v>0</v>
      </c>
      <c r="O269">
        <v>1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5</v>
      </c>
      <c r="AK269">
        <v>3</v>
      </c>
      <c r="AL269">
        <v>2</v>
      </c>
      <c r="AM269">
        <v>2</v>
      </c>
      <c r="AN269" s="23">
        <v>0</v>
      </c>
      <c r="AO269" s="23">
        <v>0</v>
      </c>
      <c r="AP269" s="23">
        <v>0</v>
      </c>
      <c r="AQ269" s="23">
        <v>0</v>
      </c>
      <c r="AR269" s="37">
        <v>0</v>
      </c>
      <c r="AS269" s="37">
        <v>0</v>
      </c>
      <c r="AT269" s="37">
        <v>1</v>
      </c>
      <c r="AU269" s="33" t="str">
        <f t="shared" si="8"/>
        <v>库存为1</v>
      </c>
      <c r="AV269" s="38" t="str">
        <f>IFERROR(时间!$B$4+AU269,"上周无销量")</f>
        <v>上周无销量</v>
      </c>
    </row>
    <row r="270" spans="1:48">
      <c r="A270" s="21" t="s">
        <v>694</v>
      </c>
      <c r="B270" t="s">
        <v>695</v>
      </c>
      <c r="C270" t="s">
        <v>696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2</v>
      </c>
      <c r="J270" s="35">
        <v>0</v>
      </c>
      <c r="K270" s="35">
        <v>0</v>
      </c>
      <c r="L270" s="35">
        <v>0</v>
      </c>
      <c r="M270">
        <v>2</v>
      </c>
      <c r="N270">
        <v>0</v>
      </c>
      <c r="O270">
        <v>2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3</v>
      </c>
      <c r="AK270">
        <v>3</v>
      </c>
      <c r="AL270">
        <v>2</v>
      </c>
      <c r="AM270">
        <v>2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2</v>
      </c>
      <c r="AU270" s="33" t="str">
        <f t="shared" si="8"/>
        <v>库存为2</v>
      </c>
      <c r="AV270" s="38" t="str">
        <f>IFERROR(时间!$B$4+AU270,"上周无销量")</f>
        <v>上周无销量</v>
      </c>
    </row>
    <row r="271" spans="1:48">
      <c r="A271" s="21" t="s">
        <v>697</v>
      </c>
      <c r="B271" t="s">
        <v>698</v>
      </c>
      <c r="C271" t="s">
        <v>696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2</v>
      </c>
      <c r="J271" s="35">
        <v>0</v>
      </c>
      <c r="K271" s="35">
        <v>0</v>
      </c>
      <c r="L271" s="35">
        <v>0</v>
      </c>
      <c r="M271">
        <v>2</v>
      </c>
      <c r="N271">
        <v>0</v>
      </c>
      <c r="O271">
        <v>2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4</v>
      </c>
      <c r="AK271">
        <v>2</v>
      </c>
      <c r="AL271">
        <v>2</v>
      </c>
      <c r="AM271">
        <v>0</v>
      </c>
      <c r="AN271" s="23">
        <v>0</v>
      </c>
      <c r="AO271" s="23">
        <v>0</v>
      </c>
      <c r="AP271" s="23">
        <v>0</v>
      </c>
      <c r="AQ271" s="23" t="s">
        <v>54</v>
      </c>
      <c r="AR271" s="37">
        <v>0</v>
      </c>
      <c r="AS271" s="37">
        <v>0</v>
      </c>
      <c r="AT271" s="37">
        <v>2</v>
      </c>
      <c r="AU271" s="33" t="str">
        <f t="shared" si="8"/>
        <v>库存为2</v>
      </c>
      <c r="AV271" s="38" t="str">
        <f>IFERROR(时间!$B$4+AU271,"上周无销量")</f>
        <v>上周无销量</v>
      </c>
    </row>
    <row r="272" spans="1:48">
      <c r="A272" s="21" t="s">
        <v>699</v>
      </c>
      <c r="B272" t="s">
        <v>700</v>
      </c>
      <c r="C272" t="s">
        <v>696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2</v>
      </c>
      <c r="J272" s="35">
        <v>0</v>
      </c>
      <c r="K272" s="35">
        <v>0</v>
      </c>
      <c r="L272" s="35">
        <v>0</v>
      </c>
      <c r="M272">
        <v>2</v>
      </c>
      <c r="N272">
        <v>0</v>
      </c>
      <c r="O272">
        <v>2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3</v>
      </c>
      <c r="AK272">
        <v>4</v>
      </c>
      <c r="AL272">
        <v>4</v>
      </c>
      <c r="AM272">
        <v>2</v>
      </c>
      <c r="AN272" s="23">
        <v>0</v>
      </c>
      <c r="AO272" s="23">
        <v>0</v>
      </c>
      <c r="AP272" s="23">
        <v>0</v>
      </c>
      <c r="AQ272" s="23">
        <v>0</v>
      </c>
      <c r="AR272" s="37">
        <v>0</v>
      </c>
      <c r="AS272" s="37">
        <v>0</v>
      </c>
      <c r="AT272" s="37">
        <v>2</v>
      </c>
      <c r="AU272" s="33" t="str">
        <f t="shared" si="8"/>
        <v>库存为2</v>
      </c>
      <c r="AV272" s="38" t="str">
        <f>IFERROR(时间!$B$4+AU272,"上周无销量")</f>
        <v>上周无销量</v>
      </c>
    </row>
    <row r="273" spans="1:48">
      <c r="A273" s="21" t="s">
        <v>701</v>
      </c>
      <c r="B273" t="s">
        <v>702</v>
      </c>
      <c r="C273" t="s">
        <v>696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2</v>
      </c>
      <c r="J273" s="35">
        <v>0</v>
      </c>
      <c r="K273" s="35">
        <v>0</v>
      </c>
      <c r="L273" s="35">
        <v>0</v>
      </c>
      <c r="M273">
        <v>2</v>
      </c>
      <c r="N273">
        <v>0</v>
      </c>
      <c r="O273">
        <v>2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4</v>
      </c>
      <c r="AK273">
        <v>3</v>
      </c>
      <c r="AL273">
        <v>2</v>
      </c>
      <c r="AM273">
        <v>3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2</v>
      </c>
      <c r="AU273" s="33" t="str">
        <f t="shared" si="8"/>
        <v>库存为2</v>
      </c>
      <c r="AV273" s="38" t="str">
        <f>IFERROR(时间!$B$4+AU273,"上周无销量")</f>
        <v>上周无销量</v>
      </c>
    </row>
    <row r="274" spans="1:48">
      <c r="A274" s="21" t="s">
        <v>703</v>
      </c>
      <c r="B274" t="s">
        <v>704</v>
      </c>
      <c r="C274" t="s">
        <v>696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2</v>
      </c>
      <c r="J274" s="35">
        <v>0</v>
      </c>
      <c r="K274" s="35">
        <v>0</v>
      </c>
      <c r="L274" s="35">
        <v>0</v>
      </c>
      <c r="M274">
        <v>2</v>
      </c>
      <c r="N274">
        <v>0</v>
      </c>
      <c r="O274">
        <v>2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4</v>
      </c>
      <c r="AK274">
        <v>3</v>
      </c>
      <c r="AL274">
        <v>3</v>
      </c>
      <c r="AM274">
        <v>4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2</v>
      </c>
      <c r="AU274" s="33" t="str">
        <f t="shared" si="8"/>
        <v>库存为2</v>
      </c>
      <c r="AV274" s="38" t="str">
        <f>IFERROR(时间!$B$4+AU274,"上周无销量")</f>
        <v>上周无销量</v>
      </c>
    </row>
    <row r="275" spans="1:48">
      <c r="A275" s="21" t="s">
        <v>705</v>
      </c>
      <c r="B275" t="s">
        <v>706</v>
      </c>
      <c r="C275" t="s">
        <v>696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2</v>
      </c>
      <c r="J275" s="35">
        <v>0</v>
      </c>
      <c r="K275" s="35">
        <v>0</v>
      </c>
      <c r="L275" s="35">
        <v>0</v>
      </c>
      <c r="M275">
        <v>2</v>
      </c>
      <c r="N275">
        <v>0</v>
      </c>
      <c r="O275">
        <v>2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4</v>
      </c>
      <c r="AK275">
        <v>2</v>
      </c>
      <c r="AL275">
        <v>2</v>
      </c>
      <c r="AM275">
        <v>1</v>
      </c>
      <c r="AN275" s="23">
        <v>0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2</v>
      </c>
      <c r="AU275" s="33" t="str">
        <f t="shared" si="8"/>
        <v>库存为2</v>
      </c>
      <c r="AV275" s="38" t="str">
        <f>IFERROR(时间!$B$4+AU275,"上周无销量")</f>
        <v>上周无销量</v>
      </c>
    </row>
    <row r="276" spans="1:48">
      <c r="A276" s="21" t="s">
        <v>707</v>
      </c>
      <c r="B276" t="s">
        <v>708</v>
      </c>
      <c r="C276" t="s">
        <v>696</v>
      </c>
      <c r="D276" s="33">
        <v>0</v>
      </c>
      <c r="E276" s="33">
        <v>0</v>
      </c>
      <c r="F276" s="33">
        <v>1</v>
      </c>
      <c r="G276" s="33">
        <v>0</v>
      </c>
      <c r="H276" s="34">
        <v>0</v>
      </c>
      <c r="I276">
        <v>0</v>
      </c>
      <c r="J276" s="35">
        <v>0</v>
      </c>
      <c r="K276" s="35">
        <v>0</v>
      </c>
      <c r="L276" s="35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s">
        <v>54</v>
      </c>
      <c r="AO276" s="23" t="s">
        <v>54</v>
      </c>
      <c r="AP276" s="23" t="s">
        <v>54</v>
      </c>
      <c r="AQ276" s="23" t="s">
        <v>54</v>
      </c>
      <c r="AR276" s="37">
        <v>0</v>
      </c>
      <c r="AS276" s="37">
        <v>0</v>
      </c>
      <c r="AT276" s="37">
        <v>0</v>
      </c>
      <c r="AU276" s="33" t="str">
        <f t="shared" si="8"/>
        <v>库存为0</v>
      </c>
      <c r="AV276" s="38" t="str">
        <f>IFERROR(时间!$B$4+AU276,"上周无销量")</f>
        <v>上周无销量</v>
      </c>
    </row>
    <row r="277" spans="1:48">
      <c r="A277" s="21" t="s">
        <v>709</v>
      </c>
      <c r="B277" t="s">
        <v>710</v>
      </c>
      <c r="C277" t="s">
        <v>696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1</v>
      </c>
      <c r="J277" s="35">
        <v>0</v>
      </c>
      <c r="K277" s="35">
        <v>0</v>
      </c>
      <c r="L277" s="35">
        <v>0</v>
      </c>
      <c r="M277">
        <v>1</v>
      </c>
      <c r="N277">
        <v>0</v>
      </c>
      <c r="O277">
        <v>1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6</v>
      </c>
      <c r="AK277">
        <v>3</v>
      </c>
      <c r="AL277">
        <v>3</v>
      </c>
      <c r="AM277">
        <v>0</v>
      </c>
      <c r="AN277" s="23">
        <v>0</v>
      </c>
      <c r="AO277" s="23">
        <v>0</v>
      </c>
      <c r="AP277" s="23">
        <v>0</v>
      </c>
      <c r="AQ277" s="23" t="s">
        <v>54</v>
      </c>
      <c r="AR277" s="37">
        <v>0</v>
      </c>
      <c r="AS277" s="37">
        <v>0</v>
      </c>
      <c r="AT277" s="37">
        <v>1</v>
      </c>
      <c r="AU277" s="33" t="str">
        <f t="shared" si="8"/>
        <v>库存为1</v>
      </c>
      <c r="AV277" s="38" t="str">
        <f>IFERROR(时间!$B$4+AU277,"上周无销量")</f>
        <v>上周无销量</v>
      </c>
    </row>
    <row r="278" spans="1:48">
      <c r="A278" s="21" t="s">
        <v>711</v>
      </c>
      <c r="B278" t="s">
        <v>712</v>
      </c>
      <c r="C278" t="s">
        <v>696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2</v>
      </c>
      <c r="J278" s="35">
        <v>0</v>
      </c>
      <c r="K278" s="35">
        <v>0</v>
      </c>
      <c r="L278" s="35">
        <v>0</v>
      </c>
      <c r="M278">
        <v>2</v>
      </c>
      <c r="N278">
        <v>0</v>
      </c>
      <c r="O278">
        <v>2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3</v>
      </c>
      <c r="AK278">
        <v>2</v>
      </c>
      <c r="AL278">
        <v>6</v>
      </c>
      <c r="AM278">
        <v>0</v>
      </c>
      <c r="AN278" s="23">
        <v>0</v>
      </c>
      <c r="AO278" s="23">
        <v>0</v>
      </c>
      <c r="AP278" s="23">
        <v>0</v>
      </c>
      <c r="AQ278" s="23" t="s">
        <v>54</v>
      </c>
      <c r="AR278" s="37">
        <v>0</v>
      </c>
      <c r="AS278" s="37">
        <v>0</v>
      </c>
      <c r="AT278" s="37">
        <v>2</v>
      </c>
      <c r="AU278" s="33" t="str">
        <f t="shared" si="8"/>
        <v>库存为2</v>
      </c>
      <c r="AV278" s="38" t="str">
        <f>IFERROR(时间!$B$4+AU278,"上周无销量")</f>
        <v>上周无销量</v>
      </c>
    </row>
    <row r="279" spans="1:48">
      <c r="A279" s="21" t="s">
        <v>713</v>
      </c>
      <c r="B279" t="s">
        <v>714</v>
      </c>
      <c r="C279" t="s">
        <v>696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2</v>
      </c>
      <c r="J279" s="35">
        <v>0</v>
      </c>
      <c r="K279" s="35">
        <v>0</v>
      </c>
      <c r="L279" s="35">
        <v>0</v>
      </c>
      <c r="M279">
        <v>2</v>
      </c>
      <c r="N279">
        <v>0</v>
      </c>
      <c r="O279">
        <v>2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3</v>
      </c>
      <c r="AK279">
        <v>4</v>
      </c>
      <c r="AL279">
        <v>2</v>
      </c>
      <c r="AM279">
        <v>2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2</v>
      </c>
      <c r="AU279" s="33" t="str">
        <f t="shared" si="8"/>
        <v>库存为2</v>
      </c>
      <c r="AV279" s="38" t="str">
        <f>IFERROR(时间!$B$4+AU279,"上周无销量")</f>
        <v>上周无销量</v>
      </c>
    </row>
    <row r="280" spans="1:48">
      <c r="A280" s="21" t="s">
        <v>715</v>
      </c>
      <c r="B280" t="s">
        <v>716</v>
      </c>
      <c r="C280" t="s">
        <v>696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2</v>
      </c>
      <c r="J280" s="35">
        <v>0</v>
      </c>
      <c r="K280" s="35">
        <v>0</v>
      </c>
      <c r="L280" s="35">
        <v>0</v>
      </c>
      <c r="M280">
        <v>2</v>
      </c>
      <c r="N280">
        <v>0</v>
      </c>
      <c r="O280">
        <v>2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5</v>
      </c>
      <c r="AK280">
        <v>2</v>
      </c>
      <c r="AL280">
        <v>0</v>
      </c>
      <c r="AM280">
        <v>2</v>
      </c>
      <c r="AN280" s="23">
        <v>0</v>
      </c>
      <c r="AO280" s="23">
        <v>0</v>
      </c>
      <c r="AP280" s="23" t="s">
        <v>54</v>
      </c>
      <c r="AQ280" s="23">
        <v>0</v>
      </c>
      <c r="AR280" s="37">
        <v>0</v>
      </c>
      <c r="AS280" s="37">
        <v>0</v>
      </c>
      <c r="AT280" s="37">
        <v>2</v>
      </c>
      <c r="AU280" s="33" t="str">
        <f t="shared" si="8"/>
        <v>库存为2</v>
      </c>
      <c r="AV280" s="38" t="str">
        <f>IFERROR(时间!$B$4+AU280,"上周无销量")</f>
        <v>上周无销量</v>
      </c>
    </row>
    <row r="281" spans="1:48">
      <c r="A281" s="21" t="s">
        <v>717</v>
      </c>
      <c r="B281" t="s">
        <v>718</v>
      </c>
      <c r="C281" t="s">
        <v>696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2</v>
      </c>
      <c r="J281" s="35">
        <v>0</v>
      </c>
      <c r="K281" s="35">
        <v>0</v>
      </c>
      <c r="L281" s="35">
        <v>0</v>
      </c>
      <c r="M281">
        <v>2</v>
      </c>
      <c r="N281">
        <v>0</v>
      </c>
      <c r="O281">
        <v>2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3</v>
      </c>
      <c r="AK281">
        <v>3</v>
      </c>
      <c r="AL281">
        <v>4</v>
      </c>
      <c r="AM281">
        <v>3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2</v>
      </c>
      <c r="AU281" s="33" t="str">
        <f t="shared" si="8"/>
        <v>库存为2</v>
      </c>
      <c r="AV281" s="38" t="str">
        <f>IFERROR(时间!$B$4+AU281,"上周无销量")</f>
        <v>上周无销量</v>
      </c>
    </row>
    <row r="282" spans="1:48">
      <c r="A282" s="21" t="s">
        <v>719</v>
      </c>
      <c r="B282" t="s">
        <v>720</v>
      </c>
      <c r="C282" t="s">
        <v>696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2</v>
      </c>
      <c r="J282" s="35">
        <v>0</v>
      </c>
      <c r="K282" s="35">
        <v>0</v>
      </c>
      <c r="L282" s="35">
        <v>0</v>
      </c>
      <c r="M282">
        <v>2</v>
      </c>
      <c r="N282">
        <v>0</v>
      </c>
      <c r="O282">
        <v>2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4</v>
      </c>
      <c r="AK282">
        <v>3</v>
      </c>
      <c r="AL282">
        <v>3</v>
      </c>
      <c r="AM282">
        <v>1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2</v>
      </c>
      <c r="AU282" s="33" t="str">
        <f t="shared" si="8"/>
        <v>库存为2</v>
      </c>
      <c r="AV282" s="38" t="str">
        <f>IFERROR(时间!$B$4+AU282,"上周无销量")</f>
        <v>上周无销量</v>
      </c>
    </row>
    <row r="283" spans="1:48">
      <c r="A283" s="21" t="s">
        <v>721</v>
      </c>
      <c r="B283" t="s">
        <v>722</v>
      </c>
      <c r="C283" t="s">
        <v>696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2</v>
      </c>
      <c r="J283" s="35">
        <v>0</v>
      </c>
      <c r="K283" s="35">
        <v>0</v>
      </c>
      <c r="L283" s="35">
        <v>0</v>
      </c>
      <c r="M283">
        <v>2</v>
      </c>
      <c r="N283">
        <v>0</v>
      </c>
      <c r="O283">
        <v>2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6</v>
      </c>
      <c r="AK283">
        <v>3</v>
      </c>
      <c r="AL283">
        <v>2</v>
      </c>
      <c r="AM283">
        <v>2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2</v>
      </c>
      <c r="AU283" s="33" t="str">
        <f t="shared" si="8"/>
        <v>库存为2</v>
      </c>
      <c r="AV283" s="38" t="str">
        <f>IFERROR(时间!$B$4+AU283,"上周无销量")</f>
        <v>上周无销量</v>
      </c>
    </row>
    <row r="284" spans="1:48">
      <c r="A284" s="21" t="s">
        <v>723</v>
      </c>
      <c r="B284" t="s">
        <v>724</v>
      </c>
      <c r="C284" t="s">
        <v>696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2</v>
      </c>
      <c r="J284" s="35">
        <v>0</v>
      </c>
      <c r="K284" s="35">
        <v>0</v>
      </c>
      <c r="L284" s="35">
        <v>0</v>
      </c>
      <c r="M284">
        <v>2</v>
      </c>
      <c r="N284">
        <v>0</v>
      </c>
      <c r="O284">
        <v>2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5</v>
      </c>
      <c r="AK284">
        <v>3</v>
      </c>
      <c r="AL284">
        <v>2</v>
      </c>
      <c r="AM284">
        <v>1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2</v>
      </c>
      <c r="AU284" s="33" t="str">
        <f t="shared" si="8"/>
        <v>库存为2</v>
      </c>
      <c r="AV284" s="38" t="str">
        <f>IFERROR(时间!$B$4+AU284,"上周无销量")</f>
        <v>上周无销量</v>
      </c>
    </row>
    <row r="285" spans="1:48">
      <c r="A285" s="21" t="s">
        <v>725</v>
      </c>
      <c r="B285" t="s">
        <v>726</v>
      </c>
      <c r="C285" t="s">
        <v>727</v>
      </c>
      <c r="D285" s="33">
        <v>0</v>
      </c>
      <c r="E285" s="33">
        <v>13</v>
      </c>
      <c r="F285" s="33">
        <v>0</v>
      </c>
      <c r="G285" s="33">
        <v>0</v>
      </c>
      <c r="H285" s="34">
        <v>0</v>
      </c>
      <c r="I285">
        <v>0</v>
      </c>
      <c r="J285" s="35">
        <v>0</v>
      </c>
      <c r="K285" s="35">
        <v>0</v>
      </c>
      <c r="L285" s="35">
        <v>0</v>
      </c>
      <c r="M285">
        <v>0</v>
      </c>
      <c r="N285">
        <v>0</v>
      </c>
      <c r="O285">
        <v>0</v>
      </c>
      <c r="P285">
        <v>0</v>
      </c>
      <c r="Q285">
        <v>4</v>
      </c>
      <c r="R285">
        <v>16</v>
      </c>
      <c r="S285">
        <v>25</v>
      </c>
      <c r="T285">
        <v>0</v>
      </c>
      <c r="U285">
        <v>0</v>
      </c>
      <c r="V285">
        <v>1</v>
      </c>
      <c r="W285">
        <v>0</v>
      </c>
      <c r="X285" s="23" t="s">
        <v>54</v>
      </c>
      <c r="Y285" s="23">
        <v>0</v>
      </c>
      <c r="Z285" s="23">
        <v>0.0625</v>
      </c>
      <c r="AA285" s="23">
        <v>0</v>
      </c>
      <c r="AB285">
        <v>0</v>
      </c>
      <c r="AC285">
        <v>0</v>
      </c>
      <c r="AD285">
        <v>0.04</v>
      </c>
      <c r="AE285">
        <v>0</v>
      </c>
      <c r="AF285" s="23" t="s">
        <v>54</v>
      </c>
      <c r="AG285" s="23" t="s">
        <v>54</v>
      </c>
      <c r="AH285" s="23" t="s">
        <v>391</v>
      </c>
      <c r="AI285" s="23" t="s">
        <v>54</v>
      </c>
      <c r="AJ285">
        <v>0</v>
      </c>
      <c r="AK285">
        <v>0</v>
      </c>
      <c r="AL285">
        <v>4</v>
      </c>
      <c r="AM285">
        <v>3</v>
      </c>
      <c r="AN285" s="23" t="s">
        <v>54</v>
      </c>
      <c r="AO285" s="23" t="s">
        <v>54</v>
      </c>
      <c r="AP285" s="23">
        <v>0</v>
      </c>
      <c r="AQ285" s="23">
        <v>0</v>
      </c>
      <c r="AR285" s="37">
        <v>0</v>
      </c>
      <c r="AS285" s="37">
        <v>0</v>
      </c>
      <c r="AT285" s="37">
        <v>0</v>
      </c>
      <c r="AU285" s="33" t="str">
        <f t="shared" si="8"/>
        <v>库存为0</v>
      </c>
      <c r="AV285" s="38" t="str">
        <f>IFERROR(时间!$B$4+AU285,"上周无销量")</f>
        <v>上周无销量</v>
      </c>
    </row>
    <row r="286" spans="1:48">
      <c r="A286" s="21" t="s">
        <v>728</v>
      </c>
      <c r="B286" t="s">
        <v>729</v>
      </c>
      <c r="C286" t="s">
        <v>727</v>
      </c>
      <c r="D286" s="33">
        <v>0</v>
      </c>
      <c r="E286" s="33">
        <v>0</v>
      </c>
      <c r="F286" s="33">
        <v>0</v>
      </c>
      <c r="G286" s="33">
        <v>2</v>
      </c>
      <c r="H286" s="34">
        <v>13.9</v>
      </c>
      <c r="I286">
        <v>3</v>
      </c>
      <c r="J286" s="35">
        <v>0</v>
      </c>
      <c r="K286" s="35">
        <v>0</v>
      </c>
      <c r="L286" s="35">
        <v>0</v>
      </c>
      <c r="M286">
        <v>3</v>
      </c>
      <c r="N286">
        <v>0</v>
      </c>
      <c r="O286">
        <v>2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 s="23" t="s">
        <v>54</v>
      </c>
      <c r="Y286" s="23" t="s">
        <v>54</v>
      </c>
      <c r="Z286" s="23" t="s">
        <v>54</v>
      </c>
      <c r="AA286" s="23" t="s">
        <v>54</v>
      </c>
      <c r="AB286">
        <v>0</v>
      </c>
      <c r="AC286">
        <v>0</v>
      </c>
      <c r="AD286">
        <v>0</v>
      </c>
      <c r="AE286">
        <v>0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2</v>
      </c>
      <c r="AK286">
        <v>5</v>
      </c>
      <c r="AL286">
        <v>2</v>
      </c>
      <c r="AM286">
        <v>2</v>
      </c>
      <c r="AN286" s="23">
        <v>0</v>
      </c>
      <c r="AO286" s="23">
        <v>0</v>
      </c>
      <c r="AP286" s="23">
        <v>0</v>
      </c>
      <c r="AQ286" s="23">
        <v>1</v>
      </c>
      <c r="AR286" s="37">
        <v>0</v>
      </c>
      <c r="AS286" s="37">
        <v>0</v>
      </c>
      <c r="AT286" s="37">
        <v>3</v>
      </c>
      <c r="AU286" s="33" t="str">
        <f t="shared" si="8"/>
        <v>库存为3</v>
      </c>
      <c r="AV286" s="38" t="str">
        <f>IFERROR(时间!$B$4+AU286,"上周无销量")</f>
        <v>上周无销量</v>
      </c>
    </row>
    <row r="287" spans="1:48">
      <c r="A287" s="21" t="s">
        <v>730</v>
      </c>
      <c r="B287" t="s">
        <v>731</v>
      </c>
      <c r="C287" t="s">
        <v>727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21</v>
      </c>
      <c r="J287" s="35">
        <v>0</v>
      </c>
      <c r="K287" s="35">
        <v>0</v>
      </c>
      <c r="L287" s="35">
        <v>0</v>
      </c>
      <c r="M287">
        <v>21</v>
      </c>
      <c r="N287">
        <v>0</v>
      </c>
      <c r="O287">
        <v>21</v>
      </c>
      <c r="P287">
        <v>0</v>
      </c>
      <c r="Q287">
        <v>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 s="23" t="s">
        <v>54</v>
      </c>
      <c r="Y287" s="23">
        <v>0</v>
      </c>
      <c r="Z287" s="23" t="s">
        <v>54</v>
      </c>
      <c r="AA287" s="23" t="s">
        <v>54</v>
      </c>
      <c r="AB287">
        <v>0</v>
      </c>
      <c r="AC287">
        <v>0</v>
      </c>
      <c r="AD287">
        <v>0</v>
      </c>
      <c r="AE287">
        <v>0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2</v>
      </c>
      <c r="AK287">
        <v>4</v>
      </c>
      <c r="AL287">
        <v>2</v>
      </c>
      <c r="AM287">
        <v>3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21</v>
      </c>
      <c r="AU287" s="33" t="str">
        <f t="shared" si="8"/>
        <v>库存为21</v>
      </c>
      <c r="AV287" s="38" t="str">
        <f>IFERROR(时间!$B$4+AU287,"上周无销量")</f>
        <v>上周无销量</v>
      </c>
    </row>
    <row r="288" spans="1:48">
      <c r="A288" s="21" t="s">
        <v>732</v>
      </c>
      <c r="B288" t="s">
        <v>733</v>
      </c>
      <c r="C288" t="s">
        <v>727</v>
      </c>
      <c r="D288" s="33">
        <v>0</v>
      </c>
      <c r="E288" s="33">
        <v>10</v>
      </c>
      <c r="F288" s="33">
        <v>0</v>
      </c>
      <c r="G288" s="33">
        <v>0</v>
      </c>
      <c r="H288" s="34">
        <v>0</v>
      </c>
      <c r="I288">
        <v>0</v>
      </c>
      <c r="J288" s="35">
        <v>0</v>
      </c>
      <c r="K288" s="35">
        <v>0</v>
      </c>
      <c r="L288" s="35">
        <v>0</v>
      </c>
      <c r="M288">
        <v>0</v>
      </c>
      <c r="N288">
        <v>0</v>
      </c>
      <c r="O288">
        <v>0</v>
      </c>
      <c r="P288">
        <v>0</v>
      </c>
      <c r="Q288">
        <v>14</v>
      </c>
      <c r="R288">
        <v>51</v>
      </c>
      <c r="S288">
        <v>51</v>
      </c>
      <c r="T288">
        <v>0</v>
      </c>
      <c r="U288">
        <v>0</v>
      </c>
      <c r="V288">
        <v>0</v>
      </c>
      <c r="W288">
        <v>0</v>
      </c>
      <c r="X288" s="23" t="s">
        <v>54</v>
      </c>
      <c r="Y288" s="23">
        <v>0</v>
      </c>
      <c r="Z288" s="23">
        <v>0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7</v>
      </c>
      <c r="AM288">
        <v>3</v>
      </c>
      <c r="AN288" s="23" t="s">
        <v>54</v>
      </c>
      <c r="AO288" s="23" t="s">
        <v>54</v>
      </c>
      <c r="AP288" s="23">
        <v>0</v>
      </c>
      <c r="AQ288" s="23">
        <v>0</v>
      </c>
      <c r="AR288" s="37">
        <v>0</v>
      </c>
      <c r="AS288" s="37">
        <v>0</v>
      </c>
      <c r="AT288" s="37">
        <v>0</v>
      </c>
      <c r="AU288" s="33" t="str">
        <f t="shared" si="8"/>
        <v>库存为0</v>
      </c>
      <c r="AV288" s="38" t="str">
        <f>IFERROR(时间!$B$4+AU288,"上周无销量")</f>
        <v>上周无销量</v>
      </c>
    </row>
    <row r="289" spans="1:48">
      <c r="A289" s="21" t="s">
        <v>734</v>
      </c>
      <c r="B289" t="s">
        <v>735</v>
      </c>
      <c r="C289" t="s">
        <v>727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7</v>
      </c>
      <c r="J289" s="35">
        <v>0</v>
      </c>
      <c r="K289" s="35">
        <v>0</v>
      </c>
      <c r="L289" s="35">
        <v>0</v>
      </c>
      <c r="M289">
        <v>7</v>
      </c>
      <c r="N289">
        <v>0</v>
      </c>
      <c r="O289">
        <v>7</v>
      </c>
      <c r="P289">
        <v>7</v>
      </c>
      <c r="Q289">
        <v>12</v>
      </c>
      <c r="R289">
        <v>0</v>
      </c>
      <c r="S289">
        <v>8</v>
      </c>
      <c r="T289">
        <v>0</v>
      </c>
      <c r="U289">
        <v>0</v>
      </c>
      <c r="V289">
        <v>0</v>
      </c>
      <c r="W289">
        <v>0</v>
      </c>
      <c r="X289" s="23">
        <v>0</v>
      </c>
      <c r="Y289" s="23">
        <v>0</v>
      </c>
      <c r="Z289" s="23" t="s">
        <v>54</v>
      </c>
      <c r="AA289" s="23">
        <v>0</v>
      </c>
      <c r="AB289">
        <v>0</v>
      </c>
      <c r="AC289">
        <v>0</v>
      </c>
      <c r="AD289">
        <v>0</v>
      </c>
      <c r="AE289">
        <v>0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3</v>
      </c>
      <c r="AK289">
        <v>2</v>
      </c>
      <c r="AL289">
        <v>3</v>
      </c>
      <c r="AM289">
        <v>4</v>
      </c>
      <c r="AN289" s="23">
        <v>0</v>
      </c>
      <c r="AO289" s="23">
        <v>0</v>
      </c>
      <c r="AP289" s="23">
        <v>0</v>
      </c>
      <c r="AQ289" s="23">
        <v>0</v>
      </c>
      <c r="AR289" s="37">
        <v>0</v>
      </c>
      <c r="AS289" s="37">
        <v>0</v>
      </c>
      <c r="AT289" s="37">
        <v>7</v>
      </c>
      <c r="AU289" s="33" t="str">
        <f t="shared" si="8"/>
        <v>库存为7</v>
      </c>
      <c r="AV289" s="38" t="str">
        <f>IFERROR(时间!$B$4+AU289,"上周无销量")</f>
        <v>上周无销量</v>
      </c>
    </row>
    <row r="290" spans="1:48">
      <c r="A290" s="21" t="s">
        <v>736</v>
      </c>
      <c r="B290" t="s">
        <v>737</v>
      </c>
      <c r="C290" t="s">
        <v>727</v>
      </c>
      <c r="D290" s="33">
        <v>0</v>
      </c>
      <c r="E290" s="33">
        <v>0</v>
      </c>
      <c r="F290" s="33">
        <v>0</v>
      </c>
      <c r="G290" s="33">
        <v>1</v>
      </c>
      <c r="H290" s="34">
        <v>13.9</v>
      </c>
      <c r="I290">
        <v>1</v>
      </c>
      <c r="J290" s="35">
        <v>0</v>
      </c>
      <c r="K290" s="35">
        <v>0</v>
      </c>
      <c r="L290" s="35">
        <v>0</v>
      </c>
      <c r="M290">
        <v>1</v>
      </c>
      <c r="N290">
        <v>0</v>
      </c>
      <c r="O290">
        <v>1</v>
      </c>
      <c r="P290">
        <v>4</v>
      </c>
      <c r="Q290">
        <v>1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 s="23">
        <v>0</v>
      </c>
      <c r="Y290" s="23">
        <v>0</v>
      </c>
      <c r="Z290" s="23">
        <v>0</v>
      </c>
      <c r="AA290" s="23" t="s">
        <v>54</v>
      </c>
      <c r="AB290">
        <v>0</v>
      </c>
      <c r="AC290">
        <v>0</v>
      </c>
      <c r="AD290">
        <v>0</v>
      </c>
      <c r="AE290">
        <v>0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3</v>
      </c>
      <c r="AK290">
        <v>9</v>
      </c>
      <c r="AL290">
        <v>3</v>
      </c>
      <c r="AM290">
        <v>0</v>
      </c>
      <c r="AN290" s="23">
        <v>0</v>
      </c>
      <c r="AO290" s="23">
        <v>0</v>
      </c>
      <c r="AP290" s="23">
        <v>0</v>
      </c>
      <c r="AQ290" s="23" t="s">
        <v>54</v>
      </c>
      <c r="AR290" s="37">
        <v>0</v>
      </c>
      <c r="AS290" s="37">
        <v>0</v>
      </c>
      <c r="AT290" s="37">
        <v>1</v>
      </c>
      <c r="AU290" s="33" t="str">
        <f t="shared" si="8"/>
        <v>库存为1</v>
      </c>
      <c r="AV290" s="38" t="str">
        <f>IFERROR(时间!$B$4+AU290,"上周无销量")</f>
        <v>上周无销量</v>
      </c>
    </row>
    <row r="291" spans="1:48">
      <c r="A291" s="21" t="s">
        <v>738</v>
      </c>
      <c r="B291" t="s">
        <v>739</v>
      </c>
      <c r="C291" t="s">
        <v>727</v>
      </c>
      <c r="D291" s="33">
        <v>0</v>
      </c>
      <c r="E291" s="33">
        <v>3</v>
      </c>
      <c r="F291" s="33">
        <v>0</v>
      </c>
      <c r="G291" s="33">
        <v>0</v>
      </c>
      <c r="H291" s="34">
        <v>0</v>
      </c>
      <c r="I291">
        <v>1</v>
      </c>
      <c r="J291" s="35">
        <v>0</v>
      </c>
      <c r="K291" s="35">
        <v>0</v>
      </c>
      <c r="L291" s="35">
        <v>0</v>
      </c>
      <c r="M291">
        <v>1</v>
      </c>
      <c r="N291">
        <v>0</v>
      </c>
      <c r="O291">
        <v>1</v>
      </c>
      <c r="P291">
        <v>1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 s="23">
        <v>0</v>
      </c>
      <c r="Y291" s="23">
        <v>0</v>
      </c>
      <c r="Z291" s="23" t="s">
        <v>54</v>
      </c>
      <c r="AA291" s="23" t="s">
        <v>54</v>
      </c>
      <c r="AB291">
        <v>0</v>
      </c>
      <c r="AC291">
        <v>0</v>
      </c>
      <c r="AD291">
        <v>0</v>
      </c>
      <c r="AE291">
        <v>0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3</v>
      </c>
      <c r="AK291">
        <v>3</v>
      </c>
      <c r="AL291">
        <v>2</v>
      </c>
      <c r="AM291">
        <v>1</v>
      </c>
      <c r="AN291" s="23">
        <v>0</v>
      </c>
      <c r="AO291" s="23">
        <v>1</v>
      </c>
      <c r="AP291" s="23">
        <v>0</v>
      </c>
      <c r="AQ291" s="23">
        <v>0</v>
      </c>
      <c r="AR291" s="37">
        <v>0</v>
      </c>
      <c r="AS291" s="37">
        <v>0</v>
      </c>
      <c r="AT291" s="37">
        <v>1</v>
      </c>
      <c r="AU291" s="33" t="str">
        <f t="shared" si="8"/>
        <v>库存为1</v>
      </c>
      <c r="AV291" s="38" t="str">
        <f>IFERROR(时间!$B$4+AU291,"上周无销量")</f>
        <v>上周无销量</v>
      </c>
    </row>
    <row r="292" spans="1:48">
      <c r="A292" s="21" t="s">
        <v>740</v>
      </c>
      <c r="B292" t="s">
        <v>741</v>
      </c>
      <c r="C292" t="s">
        <v>727</v>
      </c>
      <c r="D292" s="33">
        <v>0</v>
      </c>
      <c r="E292" s="33">
        <v>10</v>
      </c>
      <c r="F292" s="33">
        <v>0</v>
      </c>
      <c r="G292" s="33">
        <v>0</v>
      </c>
      <c r="H292" s="34">
        <v>0</v>
      </c>
      <c r="I292">
        <v>0</v>
      </c>
      <c r="J292" s="35">
        <v>0</v>
      </c>
      <c r="K292" s="35">
        <v>0</v>
      </c>
      <c r="L292" s="35">
        <v>0</v>
      </c>
      <c r="M292">
        <v>0</v>
      </c>
      <c r="N292">
        <v>0</v>
      </c>
      <c r="O292">
        <v>0</v>
      </c>
      <c r="P292">
        <v>0</v>
      </c>
      <c r="Q292">
        <v>158</v>
      </c>
      <c r="R292">
        <v>1486</v>
      </c>
      <c r="S292">
        <v>1858</v>
      </c>
      <c r="T292">
        <v>0</v>
      </c>
      <c r="U292">
        <v>2</v>
      </c>
      <c r="V292">
        <v>14</v>
      </c>
      <c r="W292">
        <v>16</v>
      </c>
      <c r="X292" s="23" t="s">
        <v>54</v>
      </c>
      <c r="Y292" s="23">
        <v>0.0126582278481013</v>
      </c>
      <c r="Z292" s="23">
        <v>0.00942126514131898</v>
      </c>
      <c r="AA292" s="23">
        <v>0.00861141011840689</v>
      </c>
      <c r="AB292">
        <v>0</v>
      </c>
      <c r="AC292">
        <v>0.48</v>
      </c>
      <c r="AD292">
        <v>5.6</v>
      </c>
      <c r="AE292">
        <v>6.8</v>
      </c>
      <c r="AF292" s="23" t="s">
        <v>54</v>
      </c>
      <c r="AG292" s="23" t="s">
        <v>742</v>
      </c>
      <c r="AH292" s="23" t="s">
        <v>743</v>
      </c>
      <c r="AI292" s="23" t="s">
        <v>744</v>
      </c>
      <c r="AJ292">
        <v>0</v>
      </c>
      <c r="AK292">
        <v>0</v>
      </c>
      <c r="AL292">
        <v>12</v>
      </c>
      <c r="AM292">
        <v>5</v>
      </c>
      <c r="AN292" s="23" t="s">
        <v>54</v>
      </c>
      <c r="AO292" s="23" t="s">
        <v>54</v>
      </c>
      <c r="AP292" s="23">
        <v>0</v>
      </c>
      <c r="AQ292" s="23">
        <v>0</v>
      </c>
      <c r="AR292" s="37">
        <v>0</v>
      </c>
      <c r="AS292" s="37">
        <v>0</v>
      </c>
      <c r="AT292" s="37">
        <v>0</v>
      </c>
      <c r="AU292" s="33" t="str">
        <f t="shared" si="8"/>
        <v>库存为0</v>
      </c>
      <c r="AV292" s="38" t="str">
        <f>IFERROR(时间!$B$4+AU292,"上周无销量")</f>
        <v>上周无销量</v>
      </c>
    </row>
    <row r="293" spans="1:48">
      <c r="A293" s="21" t="s">
        <v>745</v>
      </c>
      <c r="B293" t="s">
        <v>746</v>
      </c>
      <c r="C293" t="s">
        <v>727</v>
      </c>
      <c r="D293" s="33">
        <v>0</v>
      </c>
      <c r="E293" s="33">
        <v>2</v>
      </c>
      <c r="F293" s="33">
        <v>1</v>
      </c>
      <c r="G293" s="33">
        <v>0</v>
      </c>
      <c r="H293" s="34">
        <v>4.63333333333333</v>
      </c>
      <c r="I293">
        <v>0</v>
      </c>
      <c r="J293" s="35">
        <v>0</v>
      </c>
      <c r="K293" s="35">
        <v>0</v>
      </c>
      <c r="L293" s="35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2</v>
      </c>
      <c r="T293">
        <v>0</v>
      </c>
      <c r="U293">
        <v>0</v>
      </c>
      <c r="V293">
        <v>0</v>
      </c>
      <c r="W293">
        <v>1</v>
      </c>
      <c r="X293" s="23" t="s">
        <v>54</v>
      </c>
      <c r="Y293" s="23" t="s">
        <v>54</v>
      </c>
      <c r="Z293" s="23">
        <v>0</v>
      </c>
      <c r="AA293" s="23">
        <v>0.5</v>
      </c>
      <c r="AB293">
        <v>0</v>
      </c>
      <c r="AC293">
        <v>0</v>
      </c>
      <c r="AD293">
        <v>0</v>
      </c>
      <c r="AE293">
        <v>0.1</v>
      </c>
      <c r="AF293" s="23" t="s">
        <v>54</v>
      </c>
      <c r="AG293" s="23" t="s">
        <v>54</v>
      </c>
      <c r="AH293" s="23" t="s">
        <v>54</v>
      </c>
      <c r="AI293" s="23" t="s">
        <v>747</v>
      </c>
      <c r="AJ293">
        <v>0</v>
      </c>
      <c r="AK293">
        <v>0</v>
      </c>
      <c r="AL293">
        <v>10</v>
      </c>
      <c r="AM293">
        <v>4</v>
      </c>
      <c r="AN293" s="23" t="s">
        <v>54</v>
      </c>
      <c r="AO293" s="23" t="s">
        <v>54</v>
      </c>
      <c r="AP293" s="23">
        <v>0.1</v>
      </c>
      <c r="AQ293" s="23">
        <v>0</v>
      </c>
      <c r="AR293" s="37">
        <v>0</v>
      </c>
      <c r="AS293" s="37">
        <v>0</v>
      </c>
      <c r="AT293" s="37">
        <v>0</v>
      </c>
      <c r="AU293" s="33" t="str">
        <f t="shared" si="8"/>
        <v>库存为0</v>
      </c>
      <c r="AV293" s="38" t="str">
        <f>IFERROR(时间!$B$4+AU293,"上周无销量")</f>
        <v>上周无销量</v>
      </c>
    </row>
    <row r="294" spans="1:48">
      <c r="A294" s="21" t="s">
        <v>748</v>
      </c>
      <c r="B294" t="s">
        <v>749</v>
      </c>
      <c r="C294" t="s">
        <v>727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16</v>
      </c>
      <c r="J294" s="35">
        <v>0</v>
      </c>
      <c r="K294" s="35">
        <v>0</v>
      </c>
      <c r="L294" s="35">
        <v>0</v>
      </c>
      <c r="M294">
        <v>16</v>
      </c>
      <c r="N294">
        <v>0</v>
      </c>
      <c r="O294">
        <v>16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 s="23" t="s">
        <v>54</v>
      </c>
      <c r="Y294" s="23" t="s">
        <v>54</v>
      </c>
      <c r="Z294" s="23">
        <v>0</v>
      </c>
      <c r="AA294" s="23" t="s">
        <v>54</v>
      </c>
      <c r="AB294">
        <v>0</v>
      </c>
      <c r="AC294">
        <v>0</v>
      </c>
      <c r="AD294">
        <v>0</v>
      </c>
      <c r="AE294">
        <v>0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2</v>
      </c>
      <c r="AK294">
        <v>3</v>
      </c>
      <c r="AL294">
        <v>3</v>
      </c>
      <c r="AM294">
        <v>3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16</v>
      </c>
      <c r="AU294" s="33" t="str">
        <f t="shared" si="8"/>
        <v>库存为16</v>
      </c>
      <c r="AV294" s="38" t="str">
        <f>IFERROR(时间!$B$4+AU294,"上周无销量")</f>
        <v>上周无销量</v>
      </c>
    </row>
    <row r="295" spans="1:48">
      <c r="A295" s="21" t="s">
        <v>750</v>
      </c>
      <c r="B295" t="s">
        <v>751</v>
      </c>
      <c r="C295" t="s">
        <v>727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11</v>
      </c>
      <c r="J295" s="35">
        <v>0</v>
      </c>
      <c r="K295" s="35">
        <v>0</v>
      </c>
      <c r="L295" s="35">
        <v>0</v>
      </c>
      <c r="M295">
        <v>11</v>
      </c>
      <c r="N295">
        <v>0</v>
      </c>
      <c r="O295">
        <v>11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2</v>
      </c>
      <c r="AK295">
        <v>2</v>
      </c>
      <c r="AL295">
        <v>2</v>
      </c>
      <c r="AM295">
        <v>1</v>
      </c>
      <c r="AN295" s="23">
        <v>0</v>
      </c>
      <c r="AO295" s="23">
        <v>0</v>
      </c>
      <c r="AP295" s="23">
        <v>0</v>
      </c>
      <c r="AQ295" s="23">
        <v>0</v>
      </c>
      <c r="AR295" s="37">
        <v>0</v>
      </c>
      <c r="AS295" s="37">
        <v>0</v>
      </c>
      <c r="AT295" s="37">
        <v>11</v>
      </c>
      <c r="AU295" s="33" t="str">
        <f t="shared" si="8"/>
        <v>库存为11</v>
      </c>
      <c r="AV295" s="38" t="str">
        <f>IFERROR(时间!$B$4+AU295,"上周无销量")</f>
        <v>上周无销量</v>
      </c>
    </row>
    <row r="296" spans="1:48">
      <c r="A296" s="21" t="s">
        <v>752</v>
      </c>
      <c r="B296" t="s">
        <v>753</v>
      </c>
      <c r="C296" t="s">
        <v>727</v>
      </c>
      <c r="D296" s="33">
        <v>0</v>
      </c>
      <c r="E296" s="33">
        <v>6</v>
      </c>
      <c r="F296" s="33">
        <v>0</v>
      </c>
      <c r="G296" s="33">
        <v>0</v>
      </c>
      <c r="H296" s="34">
        <v>0</v>
      </c>
      <c r="I296">
        <v>0</v>
      </c>
      <c r="J296" s="35">
        <v>0</v>
      </c>
      <c r="K296" s="35">
        <v>0</v>
      </c>
      <c r="L296" s="35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4</v>
      </c>
      <c r="AM296">
        <v>3</v>
      </c>
      <c r="AN296" s="23" t="s">
        <v>54</v>
      </c>
      <c r="AO296" s="23" t="s">
        <v>54</v>
      </c>
      <c r="AP296" s="23">
        <v>0</v>
      </c>
      <c r="AQ296" s="23">
        <v>0</v>
      </c>
      <c r="AR296" s="37">
        <v>0</v>
      </c>
      <c r="AS296" s="37">
        <v>0</v>
      </c>
      <c r="AT296" s="37">
        <v>0</v>
      </c>
      <c r="AU296" s="33" t="str">
        <f t="shared" si="8"/>
        <v>库存为0</v>
      </c>
      <c r="AV296" s="38" t="str">
        <f>IFERROR(时间!$B$4+AU296,"上周无销量")</f>
        <v>上周无销量</v>
      </c>
    </row>
    <row r="297" spans="1:48">
      <c r="A297" s="21" t="s">
        <v>754</v>
      </c>
      <c r="B297" t="s">
        <v>755</v>
      </c>
      <c r="C297" t="s">
        <v>727</v>
      </c>
      <c r="D297" s="33">
        <v>1</v>
      </c>
      <c r="E297" s="33">
        <v>0</v>
      </c>
      <c r="F297" s="33">
        <v>0</v>
      </c>
      <c r="G297" s="33">
        <v>0</v>
      </c>
      <c r="H297" s="34">
        <v>13.9</v>
      </c>
      <c r="I297">
        <v>3</v>
      </c>
      <c r="J297" s="35">
        <v>0</v>
      </c>
      <c r="K297" s="35">
        <v>0</v>
      </c>
      <c r="L297" s="35">
        <v>0</v>
      </c>
      <c r="M297">
        <v>3</v>
      </c>
      <c r="N297">
        <v>0</v>
      </c>
      <c r="O297">
        <v>3</v>
      </c>
      <c r="P297">
        <v>0</v>
      </c>
      <c r="Q297">
        <v>0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 s="23" t="s">
        <v>54</v>
      </c>
      <c r="Y297" s="23" t="s">
        <v>54</v>
      </c>
      <c r="Z297" s="23">
        <v>0</v>
      </c>
      <c r="AA297" s="23" t="s">
        <v>54</v>
      </c>
      <c r="AB297">
        <v>0</v>
      </c>
      <c r="AC297">
        <v>0</v>
      </c>
      <c r="AD297">
        <v>0</v>
      </c>
      <c r="AE297">
        <v>0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5</v>
      </c>
      <c r="AK297">
        <v>3</v>
      </c>
      <c r="AL297">
        <v>4</v>
      </c>
      <c r="AM297">
        <v>2</v>
      </c>
      <c r="AN297" s="23">
        <v>0.2</v>
      </c>
      <c r="AO297" s="23">
        <v>0</v>
      </c>
      <c r="AP297" s="23">
        <v>0</v>
      </c>
      <c r="AQ297" s="23">
        <v>0</v>
      </c>
      <c r="AR297" s="37">
        <v>0.142857142857143</v>
      </c>
      <c r="AS297" s="37">
        <v>8.57142857142857</v>
      </c>
      <c r="AT297" s="37">
        <v>-5.57142857142857</v>
      </c>
      <c r="AU297" s="33">
        <f t="shared" si="8"/>
        <v>21</v>
      </c>
      <c r="AV297" s="38">
        <f>IFERROR(时间!$B$4+AU297,"上周无销量")</f>
        <v>43360</v>
      </c>
    </row>
    <row r="298" spans="1:48">
      <c r="A298" s="21" t="s">
        <v>756</v>
      </c>
      <c r="B298" t="s">
        <v>757</v>
      </c>
      <c r="C298" t="s">
        <v>727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22</v>
      </c>
      <c r="J298" s="35">
        <v>0</v>
      </c>
      <c r="K298" s="35">
        <v>0</v>
      </c>
      <c r="L298" s="35">
        <v>0</v>
      </c>
      <c r="M298">
        <v>22</v>
      </c>
      <c r="N298">
        <v>0</v>
      </c>
      <c r="O298">
        <v>22</v>
      </c>
      <c r="P298">
        <v>2</v>
      </c>
      <c r="Q298">
        <v>1</v>
      </c>
      <c r="R298">
        <v>2</v>
      </c>
      <c r="S298">
        <v>0</v>
      </c>
      <c r="T298">
        <v>0</v>
      </c>
      <c r="U298">
        <v>0</v>
      </c>
      <c r="V298">
        <v>0</v>
      </c>
      <c r="W298">
        <v>0</v>
      </c>
      <c r="X298" s="23">
        <v>0</v>
      </c>
      <c r="Y298" s="23">
        <v>0</v>
      </c>
      <c r="Z298" s="23">
        <v>0</v>
      </c>
      <c r="AA298" s="23" t="s">
        <v>54</v>
      </c>
      <c r="AB298">
        <v>0</v>
      </c>
      <c r="AC298">
        <v>0</v>
      </c>
      <c r="AD298">
        <v>0</v>
      </c>
      <c r="AE298">
        <v>0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5</v>
      </c>
      <c r="AK298">
        <v>7</v>
      </c>
      <c r="AL298">
        <v>7</v>
      </c>
      <c r="AM298">
        <v>3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22</v>
      </c>
      <c r="AU298" s="33" t="str">
        <f t="shared" si="8"/>
        <v>库存为22</v>
      </c>
      <c r="AV298" s="38" t="str">
        <f>IFERROR(时间!$B$4+AU298,"上周无销量")</f>
        <v>上周无销量</v>
      </c>
    </row>
    <row r="299" spans="1:48">
      <c r="A299" s="21" t="s">
        <v>758</v>
      </c>
      <c r="B299" t="s">
        <v>759</v>
      </c>
      <c r="C299" t="s">
        <v>727</v>
      </c>
      <c r="D299" s="33">
        <v>0</v>
      </c>
      <c r="E299" s="33">
        <v>0</v>
      </c>
      <c r="F299" s="33">
        <v>1</v>
      </c>
      <c r="G299" s="33">
        <v>0</v>
      </c>
      <c r="H299" s="34">
        <v>13.9</v>
      </c>
      <c r="I299">
        <v>11</v>
      </c>
      <c r="J299" s="35">
        <v>0</v>
      </c>
      <c r="K299" s="35">
        <v>0</v>
      </c>
      <c r="L299" s="35">
        <v>0</v>
      </c>
      <c r="M299">
        <v>11</v>
      </c>
      <c r="N299">
        <v>0</v>
      </c>
      <c r="O299">
        <v>11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2</v>
      </c>
      <c r="AK299">
        <v>3</v>
      </c>
      <c r="AL299">
        <v>3</v>
      </c>
      <c r="AM299">
        <v>3</v>
      </c>
      <c r="AN299" s="23">
        <v>0</v>
      </c>
      <c r="AO299" s="23">
        <v>0</v>
      </c>
      <c r="AP299" s="23">
        <v>0.333333333333333</v>
      </c>
      <c r="AQ299" s="23">
        <v>0</v>
      </c>
      <c r="AR299" s="37">
        <v>0</v>
      </c>
      <c r="AS299" s="37">
        <v>0</v>
      </c>
      <c r="AT299" s="37">
        <v>11</v>
      </c>
      <c r="AU299" s="33" t="str">
        <f t="shared" si="8"/>
        <v>库存为11</v>
      </c>
      <c r="AV299" s="38" t="str">
        <f>IFERROR(时间!$B$4+AU299,"上周无销量")</f>
        <v>上周无销量</v>
      </c>
    </row>
    <row r="300" spans="1:48">
      <c r="A300" s="21" t="s">
        <v>760</v>
      </c>
      <c r="B300" t="s">
        <v>761</v>
      </c>
      <c r="C300" t="s">
        <v>727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7">
        <v>0</v>
      </c>
      <c r="AS300" s="37">
        <v>0</v>
      </c>
      <c r="AT300" s="37">
        <v>0</v>
      </c>
      <c r="AU300" s="33" t="str">
        <f t="shared" si="8"/>
        <v>库存为0</v>
      </c>
      <c r="AV300" s="38" t="str">
        <f>IFERROR(时间!$B$4+AU300,"上周无销量")</f>
        <v>上周无销量</v>
      </c>
    </row>
    <row r="301" spans="1:48">
      <c r="A301" s="21" t="s">
        <v>762</v>
      </c>
      <c r="B301" t="s">
        <v>763</v>
      </c>
      <c r="C301" t="s">
        <v>727</v>
      </c>
      <c r="D301" s="33">
        <v>0</v>
      </c>
      <c r="E301" s="33">
        <v>17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0</v>
      </c>
      <c r="W301">
        <v>0</v>
      </c>
      <c r="X301" s="23" t="s">
        <v>54</v>
      </c>
      <c r="Y301" s="23" t="s">
        <v>54</v>
      </c>
      <c r="Z301" s="23">
        <v>0</v>
      </c>
      <c r="AA301" s="23" t="s">
        <v>54</v>
      </c>
      <c r="AB301">
        <v>0</v>
      </c>
      <c r="AC301">
        <v>0</v>
      </c>
      <c r="AD301">
        <v>0</v>
      </c>
      <c r="AE301">
        <v>0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4</v>
      </c>
      <c r="AM301">
        <v>1</v>
      </c>
      <c r="AN301" s="23" t="s">
        <v>54</v>
      </c>
      <c r="AO301" s="23" t="s">
        <v>54</v>
      </c>
      <c r="AP301" s="23">
        <v>0</v>
      </c>
      <c r="AQ301" s="23">
        <v>0</v>
      </c>
      <c r="AR301" s="37">
        <v>0</v>
      </c>
      <c r="AS301" s="37">
        <v>0</v>
      </c>
      <c r="AT301" s="37">
        <v>0</v>
      </c>
      <c r="AU301" s="33" t="str">
        <f t="shared" si="8"/>
        <v>库存为0</v>
      </c>
      <c r="AV301" s="38" t="str">
        <f>IFERROR(时间!$B$4+AU301,"上周无销量")</f>
        <v>上周无销量</v>
      </c>
    </row>
    <row r="302" spans="1:48">
      <c r="A302" s="21" t="s">
        <v>764</v>
      </c>
      <c r="B302" t="s">
        <v>765</v>
      </c>
      <c r="C302" t="s">
        <v>727</v>
      </c>
      <c r="D302" s="33">
        <v>0</v>
      </c>
      <c r="E302" s="33">
        <v>5</v>
      </c>
      <c r="F302" s="33">
        <v>0</v>
      </c>
      <c r="G302" s="33">
        <v>0</v>
      </c>
      <c r="H302" s="34">
        <v>0</v>
      </c>
      <c r="I302">
        <v>1</v>
      </c>
      <c r="J302" s="35">
        <v>0</v>
      </c>
      <c r="K302" s="35">
        <v>0</v>
      </c>
      <c r="L302" s="35">
        <v>0</v>
      </c>
      <c r="M302">
        <v>1</v>
      </c>
      <c r="N302">
        <v>0</v>
      </c>
      <c r="O302">
        <v>0</v>
      </c>
      <c r="P302">
        <v>2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 s="23">
        <v>0</v>
      </c>
      <c r="Y302" s="23" t="s">
        <v>54</v>
      </c>
      <c r="Z302" s="23" t="s">
        <v>54</v>
      </c>
      <c r="AA302" s="23" t="s">
        <v>54</v>
      </c>
      <c r="AB302">
        <v>0</v>
      </c>
      <c r="AC302">
        <v>0</v>
      </c>
      <c r="AD302">
        <v>0</v>
      </c>
      <c r="AE302">
        <v>0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1</v>
      </c>
      <c r="AK302">
        <v>0</v>
      </c>
      <c r="AL302">
        <v>2</v>
      </c>
      <c r="AM302">
        <v>1</v>
      </c>
      <c r="AN302" s="23">
        <v>0</v>
      </c>
      <c r="AO302" s="23" t="s">
        <v>54</v>
      </c>
      <c r="AP302" s="23">
        <v>0</v>
      </c>
      <c r="AQ302" s="23">
        <v>0</v>
      </c>
      <c r="AR302" s="37">
        <v>0</v>
      </c>
      <c r="AS302" s="37">
        <v>0</v>
      </c>
      <c r="AT302" s="37">
        <v>1</v>
      </c>
      <c r="AU302" s="33" t="str">
        <f t="shared" si="8"/>
        <v>库存为1</v>
      </c>
      <c r="AV302" s="38" t="str">
        <f>IFERROR(时间!$B$4+AU302,"上周无销量")</f>
        <v>上周无销量</v>
      </c>
    </row>
    <row r="303" spans="1:48">
      <c r="A303" s="21" t="s">
        <v>766</v>
      </c>
      <c r="B303" t="s">
        <v>767</v>
      </c>
      <c r="C303" t="s">
        <v>727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9</v>
      </c>
      <c r="J303" s="35">
        <v>0</v>
      </c>
      <c r="K303" s="35">
        <v>0</v>
      </c>
      <c r="L303" s="35">
        <v>0</v>
      </c>
      <c r="M303">
        <v>9</v>
      </c>
      <c r="N303">
        <v>0</v>
      </c>
      <c r="O303">
        <v>9</v>
      </c>
      <c r="P303">
        <v>0</v>
      </c>
      <c r="Q303">
        <v>0</v>
      </c>
      <c r="R303">
        <v>0</v>
      </c>
      <c r="S303">
        <v>1</v>
      </c>
      <c r="T303">
        <v>0</v>
      </c>
      <c r="U303">
        <v>0</v>
      </c>
      <c r="V303">
        <v>0</v>
      </c>
      <c r="W303">
        <v>0</v>
      </c>
      <c r="X303" s="23" t="s">
        <v>54</v>
      </c>
      <c r="Y303" s="23" t="s">
        <v>54</v>
      </c>
      <c r="Z303" s="23" t="s">
        <v>54</v>
      </c>
      <c r="AA303" s="23">
        <v>0</v>
      </c>
      <c r="AB303">
        <v>0</v>
      </c>
      <c r="AC303">
        <v>0</v>
      </c>
      <c r="AD303">
        <v>0</v>
      </c>
      <c r="AE303">
        <v>0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2</v>
      </c>
      <c r="AK303">
        <v>4</v>
      </c>
      <c r="AL303">
        <v>1</v>
      </c>
      <c r="AM303">
        <v>1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9</v>
      </c>
      <c r="AU303" s="33" t="str">
        <f t="shared" si="8"/>
        <v>库存为9</v>
      </c>
      <c r="AV303" s="38" t="str">
        <f>IFERROR(时间!$B$4+AU303,"上周无销量")</f>
        <v>上周无销量</v>
      </c>
    </row>
    <row r="304" spans="1:48">
      <c r="A304" s="21" t="s">
        <v>768</v>
      </c>
      <c r="B304" t="s">
        <v>769</v>
      </c>
      <c r="C304" t="s">
        <v>727</v>
      </c>
      <c r="D304" s="33">
        <v>0</v>
      </c>
      <c r="E304" s="33">
        <v>1</v>
      </c>
      <c r="F304" s="33">
        <v>0</v>
      </c>
      <c r="G304" s="33">
        <v>0</v>
      </c>
      <c r="H304" s="34">
        <v>13.9</v>
      </c>
      <c r="I304">
        <v>8</v>
      </c>
      <c r="J304" s="35">
        <v>0</v>
      </c>
      <c r="K304" s="35">
        <v>0</v>
      </c>
      <c r="L304" s="35">
        <v>0</v>
      </c>
      <c r="M304">
        <v>8</v>
      </c>
      <c r="N304">
        <v>0</v>
      </c>
      <c r="O304">
        <v>8</v>
      </c>
      <c r="P304">
        <v>8</v>
      </c>
      <c r="Q304">
        <v>1</v>
      </c>
      <c r="R304">
        <v>4</v>
      </c>
      <c r="S304">
        <v>1</v>
      </c>
      <c r="T304">
        <v>0</v>
      </c>
      <c r="U304">
        <v>0</v>
      </c>
      <c r="V304">
        <v>1</v>
      </c>
      <c r="W304">
        <v>0</v>
      </c>
      <c r="X304" s="23">
        <v>0</v>
      </c>
      <c r="Y304" s="23">
        <v>0</v>
      </c>
      <c r="Z304" s="23">
        <v>0.25</v>
      </c>
      <c r="AA304" s="23">
        <v>0</v>
      </c>
      <c r="AB304">
        <v>0</v>
      </c>
      <c r="AC304">
        <v>0</v>
      </c>
      <c r="AD304">
        <v>0.05</v>
      </c>
      <c r="AE304">
        <v>0</v>
      </c>
      <c r="AF304" s="23" t="s">
        <v>54</v>
      </c>
      <c r="AG304" s="23" t="s">
        <v>54</v>
      </c>
      <c r="AH304" s="23" t="s">
        <v>770</v>
      </c>
      <c r="AI304" s="23" t="s">
        <v>54</v>
      </c>
      <c r="AJ304">
        <v>2</v>
      </c>
      <c r="AK304">
        <v>5</v>
      </c>
      <c r="AL304">
        <v>3</v>
      </c>
      <c r="AM304">
        <v>3</v>
      </c>
      <c r="AN304" s="23">
        <v>0</v>
      </c>
      <c r="AO304" s="23">
        <v>0.2</v>
      </c>
      <c r="AP304" s="23">
        <v>0</v>
      </c>
      <c r="AQ304" s="23">
        <v>0</v>
      </c>
      <c r="AR304" s="37">
        <v>0</v>
      </c>
      <c r="AS304" s="37">
        <v>0</v>
      </c>
      <c r="AT304" s="37">
        <v>8</v>
      </c>
      <c r="AU304" s="33" t="str">
        <f t="shared" si="8"/>
        <v>库存为8</v>
      </c>
      <c r="AV304" s="38" t="str">
        <f>IFERROR(时间!$B$4+AU304,"上周无销量")</f>
        <v>上周无销量</v>
      </c>
    </row>
    <row r="305" spans="1:48">
      <c r="A305" s="21" t="s">
        <v>771</v>
      </c>
      <c r="B305" t="s">
        <v>772</v>
      </c>
      <c r="C305" t="s">
        <v>727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11</v>
      </c>
      <c r="J305" s="35">
        <v>0</v>
      </c>
      <c r="K305" s="35">
        <v>0</v>
      </c>
      <c r="L305" s="35">
        <v>0</v>
      </c>
      <c r="M305">
        <v>11</v>
      </c>
      <c r="N305">
        <v>0</v>
      </c>
      <c r="O305">
        <v>11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 s="23" t="s">
        <v>54</v>
      </c>
      <c r="Y305" s="23" t="s">
        <v>54</v>
      </c>
      <c r="Z305" s="23" t="s">
        <v>54</v>
      </c>
      <c r="AA305" s="23" t="s">
        <v>54</v>
      </c>
      <c r="AB305">
        <v>0</v>
      </c>
      <c r="AC305">
        <v>0</v>
      </c>
      <c r="AD305">
        <v>0</v>
      </c>
      <c r="AE305">
        <v>0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7</v>
      </c>
      <c r="AK305">
        <v>5</v>
      </c>
      <c r="AL305">
        <v>2</v>
      </c>
      <c r="AM305">
        <v>2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11</v>
      </c>
      <c r="AU305" s="33" t="str">
        <f t="shared" si="8"/>
        <v>库存为11</v>
      </c>
      <c r="AV305" s="38" t="str">
        <f>IFERROR(时间!$B$4+AU305,"上周无销量")</f>
        <v>上周无销量</v>
      </c>
    </row>
    <row r="306" spans="1:48">
      <c r="A306" s="21" t="s">
        <v>773</v>
      </c>
      <c r="B306" t="s">
        <v>774</v>
      </c>
      <c r="C306" t="s">
        <v>727</v>
      </c>
      <c r="D306" s="33">
        <v>0</v>
      </c>
      <c r="E306" s="33">
        <v>8</v>
      </c>
      <c r="F306" s="33">
        <v>0</v>
      </c>
      <c r="G306" s="33">
        <v>0</v>
      </c>
      <c r="H306" s="34">
        <v>0</v>
      </c>
      <c r="I306">
        <v>1</v>
      </c>
      <c r="J306" s="35">
        <v>0</v>
      </c>
      <c r="K306" s="35">
        <v>0</v>
      </c>
      <c r="L306" s="35">
        <v>0</v>
      </c>
      <c r="M306">
        <v>1</v>
      </c>
      <c r="N306">
        <v>0</v>
      </c>
      <c r="O306">
        <v>1</v>
      </c>
      <c r="P306">
        <v>0</v>
      </c>
      <c r="Q306">
        <v>0</v>
      </c>
      <c r="R306">
        <v>2</v>
      </c>
      <c r="S306">
        <v>0</v>
      </c>
      <c r="T306">
        <v>0</v>
      </c>
      <c r="U306">
        <v>0</v>
      </c>
      <c r="V306">
        <v>0</v>
      </c>
      <c r="W306">
        <v>0</v>
      </c>
      <c r="X306" s="23" t="s">
        <v>54</v>
      </c>
      <c r="Y306" s="23" t="s">
        <v>54</v>
      </c>
      <c r="Z306" s="23">
        <v>0</v>
      </c>
      <c r="AA306" s="23" t="s">
        <v>54</v>
      </c>
      <c r="AB306">
        <v>0</v>
      </c>
      <c r="AC306">
        <v>0</v>
      </c>
      <c r="AD306">
        <v>0</v>
      </c>
      <c r="AE306">
        <v>0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3</v>
      </c>
      <c r="AK306">
        <v>4</v>
      </c>
      <c r="AL306">
        <v>8</v>
      </c>
      <c r="AM306">
        <v>4</v>
      </c>
      <c r="AN306" s="23">
        <v>0</v>
      </c>
      <c r="AO306" s="23">
        <v>2</v>
      </c>
      <c r="AP306" s="23">
        <v>0</v>
      </c>
      <c r="AQ306" s="23">
        <v>0</v>
      </c>
      <c r="AR306" s="37">
        <v>0</v>
      </c>
      <c r="AS306" s="37">
        <v>0</v>
      </c>
      <c r="AT306" s="37">
        <v>1</v>
      </c>
      <c r="AU306" s="33" t="str">
        <f t="shared" si="8"/>
        <v>库存为1</v>
      </c>
      <c r="AV306" s="38" t="str">
        <f>IFERROR(时间!$B$4+AU306,"上周无销量")</f>
        <v>上周无销量</v>
      </c>
    </row>
    <row r="307" spans="1:48">
      <c r="A307" s="21" t="s">
        <v>775</v>
      </c>
      <c r="B307" t="s">
        <v>776</v>
      </c>
      <c r="C307" t="s">
        <v>727</v>
      </c>
      <c r="D307" s="33">
        <v>0</v>
      </c>
      <c r="E307" s="33">
        <v>22</v>
      </c>
      <c r="F307" s="33">
        <v>0</v>
      </c>
      <c r="G307" s="33">
        <v>0</v>
      </c>
      <c r="H307" s="34">
        <v>0</v>
      </c>
      <c r="I307">
        <v>1</v>
      </c>
      <c r="J307" s="35">
        <v>0</v>
      </c>
      <c r="K307" s="35">
        <v>0</v>
      </c>
      <c r="L307" s="35">
        <v>0</v>
      </c>
      <c r="M307">
        <v>1</v>
      </c>
      <c r="N307">
        <v>0</v>
      </c>
      <c r="O307">
        <v>0</v>
      </c>
      <c r="P307">
        <v>0</v>
      </c>
      <c r="Q307">
        <v>134</v>
      </c>
      <c r="R307">
        <v>951</v>
      </c>
      <c r="S307">
        <v>1044</v>
      </c>
      <c r="T307">
        <v>0</v>
      </c>
      <c r="U307">
        <v>0</v>
      </c>
      <c r="V307">
        <v>5</v>
      </c>
      <c r="W307">
        <v>8</v>
      </c>
      <c r="X307" s="23" t="s">
        <v>54</v>
      </c>
      <c r="Y307" s="23">
        <v>0</v>
      </c>
      <c r="Z307" s="23">
        <v>0.00525762355415352</v>
      </c>
      <c r="AA307" s="23">
        <v>0.00766283524904215</v>
      </c>
      <c r="AB307">
        <v>0</v>
      </c>
      <c r="AC307">
        <v>0</v>
      </c>
      <c r="AD307">
        <v>1.59</v>
      </c>
      <c r="AE307">
        <v>3.4</v>
      </c>
      <c r="AF307" s="23" t="s">
        <v>54</v>
      </c>
      <c r="AG307" s="23" t="s">
        <v>54</v>
      </c>
      <c r="AH307" s="23" t="s">
        <v>777</v>
      </c>
      <c r="AI307" s="23" t="s">
        <v>778</v>
      </c>
      <c r="AJ307">
        <v>0</v>
      </c>
      <c r="AK307">
        <v>0</v>
      </c>
      <c r="AL307">
        <v>7</v>
      </c>
      <c r="AM307">
        <v>4</v>
      </c>
      <c r="AN307" s="23" t="s">
        <v>54</v>
      </c>
      <c r="AO307" s="23" t="s">
        <v>54</v>
      </c>
      <c r="AP307" s="23">
        <v>0</v>
      </c>
      <c r="AQ307" s="23">
        <v>0</v>
      </c>
      <c r="AR307" s="37">
        <v>0</v>
      </c>
      <c r="AS307" s="37">
        <v>0</v>
      </c>
      <c r="AT307" s="37">
        <v>1</v>
      </c>
      <c r="AU307" s="33" t="str">
        <f t="shared" si="8"/>
        <v>库存为1</v>
      </c>
      <c r="AV307" s="38" t="str">
        <f>IFERROR(时间!$B$4+AU307,"上周无销量")</f>
        <v>上周无销量</v>
      </c>
    </row>
    <row r="308" spans="1:48">
      <c r="A308" s="21" t="s">
        <v>779</v>
      </c>
      <c r="B308" t="s">
        <v>780</v>
      </c>
      <c r="C308" t="s">
        <v>727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8</v>
      </c>
      <c r="J308" s="35">
        <v>0</v>
      </c>
      <c r="K308" s="35">
        <v>0</v>
      </c>
      <c r="L308" s="35">
        <v>0</v>
      </c>
      <c r="M308">
        <v>8</v>
      </c>
      <c r="N308">
        <v>0</v>
      </c>
      <c r="O308">
        <v>8</v>
      </c>
      <c r="P308">
        <v>0</v>
      </c>
      <c r="Q308">
        <v>0</v>
      </c>
      <c r="R308">
        <v>3</v>
      </c>
      <c r="S308">
        <v>0</v>
      </c>
      <c r="T308">
        <v>0</v>
      </c>
      <c r="U308">
        <v>0</v>
      </c>
      <c r="V308">
        <v>0</v>
      </c>
      <c r="W308">
        <v>0</v>
      </c>
      <c r="X308" s="23" t="s">
        <v>54</v>
      </c>
      <c r="Y308" s="23" t="s">
        <v>54</v>
      </c>
      <c r="Z308" s="23">
        <v>0</v>
      </c>
      <c r="AA308" s="23" t="s">
        <v>54</v>
      </c>
      <c r="AB308">
        <v>0</v>
      </c>
      <c r="AC308">
        <v>0</v>
      </c>
      <c r="AD308">
        <v>0</v>
      </c>
      <c r="AE308">
        <v>0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2</v>
      </c>
      <c r="AK308">
        <v>5</v>
      </c>
      <c r="AL308">
        <v>2</v>
      </c>
      <c r="AM308">
        <v>1</v>
      </c>
      <c r="AN308" s="23">
        <v>0</v>
      </c>
      <c r="AO308" s="23">
        <v>0</v>
      </c>
      <c r="AP308" s="23">
        <v>0</v>
      </c>
      <c r="AQ308" s="23">
        <v>0</v>
      </c>
      <c r="AR308" s="37">
        <v>0</v>
      </c>
      <c r="AS308" s="37">
        <v>0</v>
      </c>
      <c r="AT308" s="37">
        <v>8</v>
      </c>
      <c r="AU308" s="33" t="str">
        <f t="shared" si="8"/>
        <v>库存为8</v>
      </c>
      <c r="AV308" s="38" t="str">
        <f>IFERROR(时间!$B$4+AU308,"上周无销量")</f>
        <v>上周无销量</v>
      </c>
    </row>
    <row r="309" spans="1:48">
      <c r="A309" s="21" t="s">
        <v>781</v>
      </c>
      <c r="B309" t="s">
        <v>782</v>
      </c>
      <c r="C309" t="s">
        <v>727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4</v>
      </c>
      <c r="J309" s="35">
        <v>0</v>
      </c>
      <c r="K309" s="35">
        <v>0</v>
      </c>
      <c r="L309" s="35">
        <v>0</v>
      </c>
      <c r="M309">
        <v>4</v>
      </c>
      <c r="N309">
        <v>0</v>
      </c>
      <c r="O309">
        <v>4</v>
      </c>
      <c r="P309">
        <v>0</v>
      </c>
      <c r="Q309">
        <v>1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 s="23" t="s">
        <v>54</v>
      </c>
      <c r="Y309" s="23">
        <v>0</v>
      </c>
      <c r="Z309" s="23">
        <v>0</v>
      </c>
      <c r="AA309" s="23" t="s">
        <v>54</v>
      </c>
      <c r="AB309">
        <v>0</v>
      </c>
      <c r="AC309">
        <v>0</v>
      </c>
      <c r="AD309">
        <v>0</v>
      </c>
      <c r="AE309">
        <v>0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2</v>
      </c>
      <c r="AK309">
        <v>4</v>
      </c>
      <c r="AL309">
        <v>1</v>
      </c>
      <c r="AM309">
        <v>0</v>
      </c>
      <c r="AN309" s="23">
        <v>0</v>
      </c>
      <c r="AO309" s="23">
        <v>0</v>
      </c>
      <c r="AP309" s="23">
        <v>0</v>
      </c>
      <c r="AQ309" s="23" t="s">
        <v>54</v>
      </c>
      <c r="AR309" s="37">
        <v>0</v>
      </c>
      <c r="AS309" s="37">
        <v>0</v>
      </c>
      <c r="AT309" s="37">
        <v>4</v>
      </c>
      <c r="AU309" s="33" t="str">
        <f t="shared" si="8"/>
        <v>库存为4</v>
      </c>
      <c r="AV309" s="38" t="str">
        <f>IFERROR(时间!$B$4+AU309,"上周无销量")</f>
        <v>上周无销量</v>
      </c>
    </row>
    <row r="310" spans="1:48">
      <c r="A310" s="21" t="s">
        <v>783</v>
      </c>
      <c r="B310" t="s">
        <v>784</v>
      </c>
      <c r="C310" t="s">
        <v>727</v>
      </c>
      <c r="D310" s="33">
        <v>0</v>
      </c>
      <c r="E310" s="33">
        <v>21</v>
      </c>
      <c r="F310" s="33">
        <v>0</v>
      </c>
      <c r="G310" s="33">
        <v>0</v>
      </c>
      <c r="H310" s="34">
        <v>0</v>
      </c>
      <c r="I310">
        <v>1</v>
      </c>
      <c r="J310" s="35">
        <v>0</v>
      </c>
      <c r="K310" s="35">
        <v>0</v>
      </c>
      <c r="L310" s="35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 s="23" t="s">
        <v>54</v>
      </c>
      <c r="Y310" s="23" t="s">
        <v>54</v>
      </c>
      <c r="Z310" s="23" t="s">
        <v>54</v>
      </c>
      <c r="AA310" s="23" t="s">
        <v>54</v>
      </c>
      <c r="AB310">
        <v>0</v>
      </c>
      <c r="AC310">
        <v>0</v>
      </c>
      <c r="AD310">
        <v>0</v>
      </c>
      <c r="AE310">
        <v>0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2</v>
      </c>
      <c r="AL310">
        <v>9</v>
      </c>
      <c r="AM310">
        <v>6</v>
      </c>
      <c r="AN310" s="23" t="s">
        <v>54</v>
      </c>
      <c r="AO310" s="23">
        <v>10.5</v>
      </c>
      <c r="AP310" s="23">
        <v>0</v>
      </c>
      <c r="AQ310" s="23">
        <v>0</v>
      </c>
      <c r="AR310" s="37">
        <v>0</v>
      </c>
      <c r="AS310" s="37">
        <v>0</v>
      </c>
      <c r="AT310" s="37">
        <v>1</v>
      </c>
      <c r="AU310" s="33" t="str">
        <f t="shared" si="8"/>
        <v>库存为1</v>
      </c>
      <c r="AV310" s="38" t="str">
        <f>IFERROR(时间!$B$4+AU310,"上周无销量")</f>
        <v>上周无销量</v>
      </c>
    </row>
    <row r="311" spans="1:48">
      <c r="A311" s="21" t="s">
        <v>785</v>
      </c>
      <c r="B311" t="s">
        <v>786</v>
      </c>
      <c r="C311" t="s">
        <v>727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4</v>
      </c>
      <c r="J311" s="35">
        <v>0</v>
      </c>
      <c r="K311" s="35">
        <v>0</v>
      </c>
      <c r="L311" s="35">
        <v>0</v>
      </c>
      <c r="M311">
        <v>4</v>
      </c>
      <c r="N311">
        <v>0</v>
      </c>
      <c r="O311">
        <v>4</v>
      </c>
      <c r="P311">
        <v>3</v>
      </c>
      <c r="Q311">
        <v>2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 s="23">
        <v>0</v>
      </c>
      <c r="Y311" s="23">
        <v>0</v>
      </c>
      <c r="Z311" s="23" t="s">
        <v>54</v>
      </c>
      <c r="AA311" s="23" t="s">
        <v>54</v>
      </c>
      <c r="AB311">
        <v>0</v>
      </c>
      <c r="AC311">
        <v>0</v>
      </c>
      <c r="AD311">
        <v>0</v>
      </c>
      <c r="AE311">
        <v>0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3</v>
      </c>
      <c r="AK311">
        <v>5</v>
      </c>
      <c r="AL311">
        <v>3</v>
      </c>
      <c r="AM311">
        <v>3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4</v>
      </c>
      <c r="AU311" s="33" t="str">
        <f t="shared" si="8"/>
        <v>库存为4</v>
      </c>
      <c r="AV311" s="38" t="str">
        <f>IFERROR(时间!$B$4+AU311,"上周无销量")</f>
        <v>上周无销量</v>
      </c>
    </row>
    <row r="312" spans="1:48">
      <c r="A312" s="21" t="s">
        <v>787</v>
      </c>
      <c r="B312" t="s">
        <v>788</v>
      </c>
      <c r="C312" t="s">
        <v>727</v>
      </c>
      <c r="D312" s="33">
        <v>0</v>
      </c>
      <c r="E312" s="33">
        <v>10</v>
      </c>
      <c r="F312" s="33">
        <v>0</v>
      </c>
      <c r="G312" s="33">
        <v>1</v>
      </c>
      <c r="H312" s="34">
        <v>1.26363636363636</v>
      </c>
      <c r="I312">
        <v>1</v>
      </c>
      <c r="J312" s="35">
        <v>0</v>
      </c>
      <c r="K312" s="35">
        <v>0</v>
      </c>
      <c r="L312" s="35">
        <v>0</v>
      </c>
      <c r="M312">
        <v>1</v>
      </c>
      <c r="N312">
        <v>1</v>
      </c>
      <c r="O312">
        <v>1</v>
      </c>
      <c r="P312">
        <v>1</v>
      </c>
      <c r="Q312">
        <v>1</v>
      </c>
      <c r="R312">
        <v>9</v>
      </c>
      <c r="S312">
        <v>10</v>
      </c>
      <c r="T312">
        <v>0</v>
      </c>
      <c r="U312">
        <v>0</v>
      </c>
      <c r="V312">
        <v>0</v>
      </c>
      <c r="W312">
        <v>0</v>
      </c>
      <c r="X312" s="23">
        <v>0</v>
      </c>
      <c r="Y312" s="23">
        <v>0</v>
      </c>
      <c r="Z312" s="23">
        <v>0</v>
      </c>
      <c r="AA312" s="23">
        <v>0</v>
      </c>
      <c r="AB312">
        <v>0</v>
      </c>
      <c r="AC312">
        <v>0</v>
      </c>
      <c r="AD312">
        <v>0</v>
      </c>
      <c r="AE312">
        <v>0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4</v>
      </c>
      <c r="AK312">
        <v>3</v>
      </c>
      <c r="AL312">
        <v>6</v>
      </c>
      <c r="AM312">
        <v>4</v>
      </c>
      <c r="AN312" s="23">
        <v>0</v>
      </c>
      <c r="AO312" s="23">
        <v>3.33333333333333</v>
      </c>
      <c r="AP312" s="23">
        <v>0</v>
      </c>
      <c r="AQ312" s="23">
        <v>0.25</v>
      </c>
      <c r="AR312" s="37">
        <v>0</v>
      </c>
      <c r="AS312" s="37">
        <v>0</v>
      </c>
      <c r="AT312" s="37">
        <v>1</v>
      </c>
      <c r="AU312" s="33" t="str">
        <f t="shared" si="8"/>
        <v>库存为1</v>
      </c>
      <c r="AV312" s="38" t="str">
        <f>IFERROR(时间!$B$4+AU312,"上周无销量")</f>
        <v>上周无销量</v>
      </c>
    </row>
    <row r="313" spans="1:48">
      <c r="A313" s="21" t="s">
        <v>789</v>
      </c>
      <c r="B313" t="s">
        <v>790</v>
      </c>
      <c r="C313" t="s">
        <v>727</v>
      </c>
      <c r="D313" s="33">
        <v>0</v>
      </c>
      <c r="E313" s="33">
        <v>7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>
        <v>0</v>
      </c>
      <c r="Q313">
        <v>51</v>
      </c>
      <c r="R313">
        <v>1139</v>
      </c>
      <c r="S313">
        <v>1537</v>
      </c>
      <c r="T313">
        <v>0</v>
      </c>
      <c r="U313">
        <v>0</v>
      </c>
      <c r="V313">
        <v>1</v>
      </c>
      <c r="W313">
        <v>1</v>
      </c>
      <c r="X313" s="23" t="s">
        <v>54</v>
      </c>
      <c r="Y313" s="23">
        <v>0</v>
      </c>
      <c r="Z313" s="23">
        <v>0.000877963125548727</v>
      </c>
      <c r="AA313" s="23">
        <v>0.000650618087182824</v>
      </c>
      <c r="AB313">
        <v>0</v>
      </c>
      <c r="AC313">
        <v>0</v>
      </c>
      <c r="AD313">
        <v>0.45</v>
      </c>
      <c r="AE313">
        <v>0.49</v>
      </c>
      <c r="AF313" s="23" t="s">
        <v>54</v>
      </c>
      <c r="AG313" s="23" t="s">
        <v>54</v>
      </c>
      <c r="AH313" s="23" t="s">
        <v>310</v>
      </c>
      <c r="AI313" s="23" t="s">
        <v>277</v>
      </c>
      <c r="AJ313">
        <v>0</v>
      </c>
      <c r="AK313">
        <v>0</v>
      </c>
      <c r="AL313">
        <v>3</v>
      </c>
      <c r="AM313">
        <v>0</v>
      </c>
      <c r="AN313" s="23" t="s">
        <v>54</v>
      </c>
      <c r="AO313" s="23" t="s">
        <v>54</v>
      </c>
      <c r="AP313" s="23">
        <v>0</v>
      </c>
      <c r="AQ313" s="23" t="s">
        <v>54</v>
      </c>
      <c r="AR313" s="37">
        <v>0</v>
      </c>
      <c r="AS313" s="37">
        <v>0</v>
      </c>
      <c r="AT313" s="37">
        <v>0</v>
      </c>
      <c r="AU313" s="33" t="str">
        <f t="shared" si="8"/>
        <v>库存为0</v>
      </c>
      <c r="AV313" s="38" t="str">
        <f>IFERROR(时间!$B$4+AU313,"上周无销量")</f>
        <v>上周无销量</v>
      </c>
    </row>
    <row r="314" spans="1:48">
      <c r="A314" s="21" t="s">
        <v>791</v>
      </c>
      <c r="B314" t="s">
        <v>792</v>
      </c>
      <c r="C314" t="s">
        <v>727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9</v>
      </c>
      <c r="J314" s="35">
        <v>0</v>
      </c>
      <c r="K314" s="35">
        <v>0</v>
      </c>
      <c r="L314" s="35">
        <v>0</v>
      </c>
      <c r="M314">
        <v>9</v>
      </c>
      <c r="N314">
        <v>0</v>
      </c>
      <c r="O314">
        <v>9</v>
      </c>
      <c r="P314">
        <v>3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0</v>
      </c>
      <c r="W314">
        <v>0</v>
      </c>
      <c r="X314" s="23">
        <v>0</v>
      </c>
      <c r="Y314" s="23" t="s">
        <v>54</v>
      </c>
      <c r="Z314" s="23">
        <v>0</v>
      </c>
      <c r="AA314" s="23" t="s">
        <v>54</v>
      </c>
      <c r="AB314">
        <v>0</v>
      </c>
      <c r="AC314">
        <v>0</v>
      </c>
      <c r="AD314">
        <v>0</v>
      </c>
      <c r="AE314">
        <v>0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2</v>
      </c>
      <c r="AK314">
        <v>3</v>
      </c>
      <c r="AL314">
        <v>4</v>
      </c>
      <c r="AM314">
        <v>4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9</v>
      </c>
      <c r="AU314" s="33" t="str">
        <f t="shared" si="8"/>
        <v>库存为9</v>
      </c>
      <c r="AV314" s="38" t="str">
        <f>IFERROR(时间!$B$4+AU314,"上周无销量")</f>
        <v>上周无销量</v>
      </c>
    </row>
    <row r="315" spans="1:48">
      <c r="A315" s="21" t="s">
        <v>793</v>
      </c>
      <c r="B315" t="s">
        <v>794</v>
      </c>
      <c r="C315" t="s">
        <v>727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2</v>
      </c>
      <c r="J315" s="35">
        <v>0</v>
      </c>
      <c r="K315" s="35">
        <v>0</v>
      </c>
      <c r="L315" s="35">
        <v>0</v>
      </c>
      <c r="M315">
        <v>2</v>
      </c>
      <c r="N315">
        <v>0</v>
      </c>
      <c r="O315">
        <v>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 s="23" t="s">
        <v>54</v>
      </c>
      <c r="Y315" s="23" t="s">
        <v>54</v>
      </c>
      <c r="Z315" s="23" t="s">
        <v>54</v>
      </c>
      <c r="AA315" s="23" t="s">
        <v>54</v>
      </c>
      <c r="AB315">
        <v>0</v>
      </c>
      <c r="AC315">
        <v>0</v>
      </c>
      <c r="AD315">
        <v>0</v>
      </c>
      <c r="AE315">
        <v>0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4</v>
      </c>
      <c r="AK315">
        <v>3</v>
      </c>
      <c r="AL315">
        <v>5</v>
      </c>
      <c r="AM315">
        <v>2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2</v>
      </c>
      <c r="AU315" s="33" t="str">
        <f t="shared" si="8"/>
        <v>库存为2</v>
      </c>
      <c r="AV315" s="38" t="str">
        <f>IFERROR(时间!$B$4+AU315,"上周无销量")</f>
        <v>上周无销量</v>
      </c>
    </row>
    <row r="316" spans="1:48">
      <c r="A316" s="21" t="s">
        <v>795</v>
      </c>
      <c r="B316" t="s">
        <v>796</v>
      </c>
      <c r="C316" t="s">
        <v>797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3</v>
      </c>
      <c r="J316" s="35">
        <v>0</v>
      </c>
      <c r="K316" s="35">
        <v>0</v>
      </c>
      <c r="L316" s="35">
        <v>0</v>
      </c>
      <c r="M316">
        <v>3</v>
      </c>
      <c r="N316">
        <v>0</v>
      </c>
      <c r="O316">
        <v>3</v>
      </c>
      <c r="P316">
        <v>306</v>
      </c>
      <c r="Q316">
        <v>561</v>
      </c>
      <c r="R316">
        <v>73</v>
      </c>
      <c r="S316">
        <v>293</v>
      </c>
      <c r="T316">
        <v>0</v>
      </c>
      <c r="U316">
        <v>2</v>
      </c>
      <c r="V316">
        <v>0</v>
      </c>
      <c r="W316">
        <v>1</v>
      </c>
      <c r="X316" s="23">
        <v>0</v>
      </c>
      <c r="Y316" s="23">
        <v>0.0035650623885918</v>
      </c>
      <c r="Z316" s="23">
        <v>0</v>
      </c>
      <c r="AA316" s="23">
        <v>0.00341296928327645</v>
      </c>
      <c r="AB316">
        <v>0</v>
      </c>
      <c r="AC316">
        <v>0.29</v>
      </c>
      <c r="AD316">
        <v>0</v>
      </c>
      <c r="AE316">
        <v>0.29</v>
      </c>
      <c r="AF316" s="23" t="s">
        <v>54</v>
      </c>
      <c r="AG316" s="23" t="s">
        <v>232</v>
      </c>
      <c r="AH316" s="23" t="s">
        <v>54</v>
      </c>
      <c r="AI316" s="23" t="s">
        <v>232</v>
      </c>
      <c r="AJ316">
        <v>3</v>
      </c>
      <c r="AK316">
        <v>5</v>
      </c>
      <c r="AL316">
        <v>5</v>
      </c>
      <c r="AM316">
        <v>3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3</v>
      </c>
      <c r="AU316" s="33" t="str">
        <f t="shared" si="8"/>
        <v>库存为3</v>
      </c>
      <c r="AV316" s="38" t="str">
        <f>IFERROR(时间!$B$4+AU316,"上周无销量")</f>
        <v>上周无销量</v>
      </c>
    </row>
    <row r="317" spans="1:48">
      <c r="A317" s="21" t="s">
        <v>798</v>
      </c>
      <c r="B317" t="s">
        <v>799</v>
      </c>
      <c r="C317" t="s">
        <v>797</v>
      </c>
      <c r="D317" s="33">
        <v>0</v>
      </c>
      <c r="E317" s="33">
        <v>1</v>
      </c>
      <c r="F317" s="33">
        <v>0</v>
      </c>
      <c r="G317" s="33">
        <v>0</v>
      </c>
      <c r="H317" s="34">
        <v>12.9</v>
      </c>
      <c r="I317">
        <v>2</v>
      </c>
      <c r="J317" s="35">
        <v>0</v>
      </c>
      <c r="K317" s="35">
        <v>0</v>
      </c>
      <c r="L317" s="35">
        <v>0</v>
      </c>
      <c r="M317">
        <v>2</v>
      </c>
      <c r="N317">
        <v>0</v>
      </c>
      <c r="O317">
        <v>1</v>
      </c>
      <c r="P317">
        <v>36</v>
      </c>
      <c r="Q317">
        <v>1196</v>
      </c>
      <c r="R317">
        <v>616</v>
      </c>
      <c r="S317">
        <v>481</v>
      </c>
      <c r="T317">
        <v>0</v>
      </c>
      <c r="U317">
        <v>5</v>
      </c>
      <c r="V317">
        <v>0</v>
      </c>
      <c r="W317">
        <v>3</v>
      </c>
      <c r="X317" s="23">
        <v>0</v>
      </c>
      <c r="Y317" s="23">
        <v>0.00418060200668896</v>
      </c>
      <c r="Z317" s="23">
        <v>0</v>
      </c>
      <c r="AA317" s="23">
        <v>0.00623700623700624</v>
      </c>
      <c r="AB317">
        <v>0</v>
      </c>
      <c r="AC317">
        <v>1.07</v>
      </c>
      <c r="AD317">
        <v>0</v>
      </c>
      <c r="AE317">
        <v>0.69</v>
      </c>
      <c r="AF317" s="23" t="s">
        <v>54</v>
      </c>
      <c r="AG317" s="23">
        <v>0.0829457364341085</v>
      </c>
      <c r="AH317" s="23" t="s">
        <v>54</v>
      </c>
      <c r="AI317" s="23" t="s">
        <v>800</v>
      </c>
      <c r="AJ317">
        <v>5</v>
      </c>
      <c r="AK317">
        <v>10</v>
      </c>
      <c r="AL317">
        <v>0</v>
      </c>
      <c r="AM317">
        <v>2</v>
      </c>
      <c r="AN317" s="23">
        <v>0</v>
      </c>
      <c r="AO317" s="23">
        <v>0.1</v>
      </c>
      <c r="AP317" s="23" t="s">
        <v>54</v>
      </c>
      <c r="AQ317" s="23">
        <v>0</v>
      </c>
      <c r="AR317" s="37">
        <v>0</v>
      </c>
      <c r="AS317" s="37">
        <v>0</v>
      </c>
      <c r="AT317" s="37">
        <v>2</v>
      </c>
      <c r="AU317" s="33" t="str">
        <f t="shared" si="8"/>
        <v>库存为2</v>
      </c>
      <c r="AV317" s="38" t="str">
        <f>IFERROR(时间!$B$4+AU317,"上周无销量")</f>
        <v>上周无销量</v>
      </c>
    </row>
    <row r="318" spans="1:48">
      <c r="A318" s="21" t="s">
        <v>801</v>
      </c>
      <c r="B318" t="s">
        <v>802</v>
      </c>
      <c r="C318" t="s">
        <v>797</v>
      </c>
      <c r="D318" s="33">
        <v>0</v>
      </c>
      <c r="E318" s="33">
        <v>3</v>
      </c>
      <c r="F318" s="33">
        <v>0</v>
      </c>
      <c r="G318" s="33">
        <v>0</v>
      </c>
      <c r="H318" s="34">
        <v>0</v>
      </c>
      <c r="I318">
        <v>0</v>
      </c>
      <c r="J318" s="35">
        <v>0</v>
      </c>
      <c r="K318" s="35">
        <v>0</v>
      </c>
      <c r="L318" s="35">
        <v>0</v>
      </c>
      <c r="M318">
        <v>0</v>
      </c>
      <c r="N318">
        <v>0</v>
      </c>
      <c r="O318">
        <v>0</v>
      </c>
      <c r="P318">
        <v>0</v>
      </c>
      <c r="Q318">
        <v>140</v>
      </c>
      <c r="R318">
        <v>907</v>
      </c>
      <c r="S318">
        <v>1785</v>
      </c>
      <c r="T318">
        <v>0</v>
      </c>
      <c r="U318">
        <v>1</v>
      </c>
      <c r="V318">
        <v>1</v>
      </c>
      <c r="W318">
        <v>1</v>
      </c>
      <c r="X318" s="23" t="s">
        <v>54</v>
      </c>
      <c r="Y318" s="23">
        <v>0.00714285714285714</v>
      </c>
      <c r="Z318" s="23">
        <v>0.00110253583241455</v>
      </c>
      <c r="AA318" s="23">
        <v>0.000560224089635854</v>
      </c>
      <c r="AB318">
        <v>0</v>
      </c>
      <c r="AC318">
        <v>0.04</v>
      </c>
      <c r="AD318">
        <v>0.09</v>
      </c>
      <c r="AE318">
        <v>0.36</v>
      </c>
      <c r="AF318" s="23" t="s">
        <v>54</v>
      </c>
      <c r="AG318" s="23" t="s">
        <v>391</v>
      </c>
      <c r="AH318" s="23" t="s">
        <v>386</v>
      </c>
      <c r="AI318" s="23" t="s">
        <v>803</v>
      </c>
      <c r="AJ318">
        <v>0</v>
      </c>
      <c r="AK318">
        <v>1</v>
      </c>
      <c r="AL318">
        <v>2</v>
      </c>
      <c r="AM318">
        <v>2</v>
      </c>
      <c r="AN318" s="23" t="s">
        <v>54</v>
      </c>
      <c r="AO318" s="23">
        <v>3</v>
      </c>
      <c r="AP318" s="23">
        <v>0</v>
      </c>
      <c r="AQ318" s="23">
        <v>0</v>
      </c>
      <c r="AR318" s="37">
        <v>0</v>
      </c>
      <c r="AS318" s="37">
        <v>0</v>
      </c>
      <c r="AT318" s="37">
        <v>0</v>
      </c>
      <c r="AU318" s="33" t="str">
        <f t="shared" si="8"/>
        <v>库存为0</v>
      </c>
      <c r="AV318" s="38" t="str">
        <f>IFERROR(时间!$B$4+AU318,"上周无销量")</f>
        <v>上周无销量</v>
      </c>
    </row>
    <row r="319" spans="1:48">
      <c r="A319" s="21" t="s">
        <v>804</v>
      </c>
      <c r="B319" t="s">
        <v>805</v>
      </c>
      <c r="C319" t="s">
        <v>797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3</v>
      </c>
      <c r="J319" s="35">
        <v>0</v>
      </c>
      <c r="K319" s="35">
        <v>0</v>
      </c>
      <c r="L319" s="35">
        <v>0</v>
      </c>
      <c r="M319">
        <v>3</v>
      </c>
      <c r="N319">
        <v>0</v>
      </c>
      <c r="O319">
        <v>3</v>
      </c>
      <c r="P319">
        <v>15</v>
      </c>
      <c r="Q319">
        <v>263</v>
      </c>
      <c r="R319">
        <v>269</v>
      </c>
      <c r="S319">
        <v>376</v>
      </c>
      <c r="T319">
        <v>0</v>
      </c>
      <c r="U319">
        <v>0</v>
      </c>
      <c r="V319">
        <v>0</v>
      </c>
      <c r="W319">
        <v>1</v>
      </c>
      <c r="X319" s="23">
        <v>0</v>
      </c>
      <c r="Y319" s="23">
        <v>0</v>
      </c>
      <c r="Z319" s="23">
        <v>0</v>
      </c>
      <c r="AA319" s="23">
        <v>0.00265957446808511</v>
      </c>
      <c r="AB319">
        <v>0</v>
      </c>
      <c r="AC319">
        <v>0</v>
      </c>
      <c r="AD319">
        <v>0</v>
      </c>
      <c r="AE319">
        <v>0.21</v>
      </c>
      <c r="AF319" s="23" t="s">
        <v>54</v>
      </c>
      <c r="AG319" s="23" t="s">
        <v>54</v>
      </c>
      <c r="AH319" s="23" t="s">
        <v>54</v>
      </c>
      <c r="AI319" s="23" t="s">
        <v>366</v>
      </c>
      <c r="AJ319">
        <v>4</v>
      </c>
      <c r="AK319">
        <v>3</v>
      </c>
      <c r="AL319">
        <v>3</v>
      </c>
      <c r="AM319">
        <v>2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3</v>
      </c>
      <c r="AU319" s="33" t="str">
        <f t="shared" si="8"/>
        <v>库存为3</v>
      </c>
      <c r="AV319" s="38" t="str">
        <f>IFERROR(时间!$B$4+AU319,"上周无销量")</f>
        <v>上周无销量</v>
      </c>
    </row>
    <row r="320" spans="1:48">
      <c r="A320" s="21" t="s">
        <v>806</v>
      </c>
      <c r="B320" t="s">
        <v>807</v>
      </c>
      <c r="C320" t="s">
        <v>797</v>
      </c>
      <c r="D320" s="33">
        <v>0</v>
      </c>
      <c r="E320" s="33">
        <v>2</v>
      </c>
      <c r="F320" s="33">
        <v>1</v>
      </c>
      <c r="G320" s="33">
        <v>0</v>
      </c>
      <c r="H320" s="34">
        <v>4.3</v>
      </c>
      <c r="I320">
        <v>0</v>
      </c>
      <c r="J320" s="35">
        <v>0</v>
      </c>
      <c r="K320" s="35">
        <v>0</v>
      </c>
      <c r="L320" s="35">
        <v>0</v>
      </c>
      <c r="M320">
        <v>0</v>
      </c>
      <c r="N320">
        <v>0</v>
      </c>
      <c r="O320">
        <v>0</v>
      </c>
      <c r="P320">
        <v>0</v>
      </c>
      <c r="Q320">
        <v>29</v>
      </c>
      <c r="R320">
        <v>94</v>
      </c>
      <c r="S320">
        <v>122</v>
      </c>
      <c r="T320">
        <v>0</v>
      </c>
      <c r="U320">
        <v>0</v>
      </c>
      <c r="V320">
        <v>1</v>
      </c>
      <c r="W320">
        <v>1</v>
      </c>
      <c r="X320" s="23" t="s">
        <v>54</v>
      </c>
      <c r="Y320" s="23">
        <v>0</v>
      </c>
      <c r="Z320" s="23">
        <v>0.0106382978723404</v>
      </c>
      <c r="AA320" s="23">
        <v>0.00819672131147541</v>
      </c>
      <c r="AB320">
        <v>0</v>
      </c>
      <c r="AC320">
        <v>0</v>
      </c>
      <c r="AD320">
        <v>0.2</v>
      </c>
      <c r="AE320">
        <v>0.22</v>
      </c>
      <c r="AF320" s="23" t="s">
        <v>54</v>
      </c>
      <c r="AG320" s="23" t="s">
        <v>54</v>
      </c>
      <c r="AH320" s="23">
        <v>0.0465116279069768</v>
      </c>
      <c r="AI320" s="23" t="s">
        <v>533</v>
      </c>
      <c r="AJ320">
        <v>0</v>
      </c>
      <c r="AK320">
        <v>1</v>
      </c>
      <c r="AL320">
        <v>2</v>
      </c>
      <c r="AM320">
        <v>2</v>
      </c>
      <c r="AN320" s="23" t="s">
        <v>54</v>
      </c>
      <c r="AO320" s="23">
        <v>2</v>
      </c>
      <c r="AP320" s="23">
        <v>0.5</v>
      </c>
      <c r="AQ320" s="23">
        <v>0</v>
      </c>
      <c r="AR320" s="37">
        <v>0</v>
      </c>
      <c r="AS320" s="37">
        <v>0</v>
      </c>
      <c r="AT320" s="37">
        <v>0</v>
      </c>
      <c r="AU320" s="33" t="str">
        <f t="shared" si="8"/>
        <v>库存为0</v>
      </c>
      <c r="AV320" s="38" t="str">
        <f>IFERROR(时间!$B$4+AU320,"上周无销量")</f>
        <v>上周无销量</v>
      </c>
    </row>
    <row r="321" spans="1:48">
      <c r="A321" s="21" t="s">
        <v>808</v>
      </c>
      <c r="B321" t="s">
        <v>809</v>
      </c>
      <c r="C321" t="s">
        <v>797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3</v>
      </c>
      <c r="J321" s="35">
        <v>0</v>
      </c>
      <c r="K321" s="35">
        <v>0</v>
      </c>
      <c r="L321" s="35">
        <v>0</v>
      </c>
      <c r="M321">
        <v>3</v>
      </c>
      <c r="N321">
        <v>0</v>
      </c>
      <c r="O321">
        <v>3</v>
      </c>
      <c r="P321">
        <v>0</v>
      </c>
      <c r="Q321">
        <v>187</v>
      </c>
      <c r="R321">
        <v>61</v>
      </c>
      <c r="S321">
        <v>34</v>
      </c>
      <c r="T321">
        <v>0</v>
      </c>
      <c r="U321">
        <v>0</v>
      </c>
      <c r="V321">
        <v>1</v>
      </c>
      <c r="W321">
        <v>0</v>
      </c>
      <c r="X321" s="23" t="s">
        <v>54</v>
      </c>
      <c r="Y321" s="23">
        <v>0</v>
      </c>
      <c r="Z321" s="23">
        <v>0.0163934426229508</v>
      </c>
      <c r="AA321" s="23">
        <v>0</v>
      </c>
      <c r="AB321">
        <v>0</v>
      </c>
      <c r="AC321">
        <v>0</v>
      </c>
      <c r="AD321">
        <v>0.37</v>
      </c>
      <c r="AE321">
        <v>0</v>
      </c>
      <c r="AF321" s="23" t="s">
        <v>54</v>
      </c>
      <c r="AG321" s="23" t="s">
        <v>54</v>
      </c>
      <c r="AH321" s="23" t="s">
        <v>566</v>
      </c>
      <c r="AI321" s="23" t="s">
        <v>54</v>
      </c>
      <c r="AJ321">
        <v>4</v>
      </c>
      <c r="AK321">
        <v>2</v>
      </c>
      <c r="AL321">
        <v>6</v>
      </c>
      <c r="AM321">
        <v>4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3</v>
      </c>
      <c r="AU321" s="33" t="str">
        <f t="shared" si="8"/>
        <v>库存为3</v>
      </c>
      <c r="AV321" s="38" t="str">
        <f>IFERROR(时间!$B$4+AU321,"上周无销量")</f>
        <v>上周无销量</v>
      </c>
    </row>
    <row r="322" spans="1:48">
      <c r="A322" s="21" t="s">
        <v>810</v>
      </c>
      <c r="B322" t="s">
        <v>811</v>
      </c>
      <c r="C322" t="s">
        <v>797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3</v>
      </c>
      <c r="J322" s="35">
        <v>0</v>
      </c>
      <c r="K322" s="35">
        <v>0</v>
      </c>
      <c r="L322" s="35">
        <v>0</v>
      </c>
      <c r="M322">
        <v>3</v>
      </c>
      <c r="N322">
        <v>0</v>
      </c>
      <c r="O322">
        <v>3</v>
      </c>
      <c r="P322">
        <v>667</v>
      </c>
      <c r="Q322">
        <v>305</v>
      </c>
      <c r="R322">
        <v>214</v>
      </c>
      <c r="S322">
        <v>44</v>
      </c>
      <c r="T322">
        <v>0</v>
      </c>
      <c r="U322">
        <v>1</v>
      </c>
      <c r="V322">
        <v>1</v>
      </c>
      <c r="W322">
        <v>1</v>
      </c>
      <c r="X322" s="23">
        <v>0</v>
      </c>
      <c r="Y322" s="23">
        <v>0.00327868852459016</v>
      </c>
      <c r="Z322" s="23">
        <v>0.00467289719626168</v>
      </c>
      <c r="AA322" s="23">
        <v>0.0227272727272727</v>
      </c>
      <c r="AB322">
        <v>0</v>
      </c>
      <c r="AC322">
        <v>0.23</v>
      </c>
      <c r="AD322">
        <v>0.22</v>
      </c>
      <c r="AE322">
        <v>0.36</v>
      </c>
      <c r="AF322" s="23" t="s">
        <v>54</v>
      </c>
      <c r="AG322" s="23" t="s">
        <v>812</v>
      </c>
      <c r="AH322" s="23" t="s">
        <v>533</v>
      </c>
      <c r="AI322" s="23" t="s">
        <v>803</v>
      </c>
      <c r="AJ322">
        <v>4</v>
      </c>
      <c r="AK322">
        <v>3</v>
      </c>
      <c r="AL322">
        <v>1</v>
      </c>
      <c r="AM322">
        <v>3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3</v>
      </c>
      <c r="AU322" s="33" t="str">
        <f t="shared" si="8"/>
        <v>库存为3</v>
      </c>
      <c r="AV322" s="38" t="str">
        <f>IFERROR(时间!$B$4+AU322,"上周无销量")</f>
        <v>上周无销量</v>
      </c>
    </row>
    <row r="323" spans="1:48">
      <c r="A323" s="21" t="s">
        <v>813</v>
      </c>
      <c r="B323" t="s">
        <v>814</v>
      </c>
      <c r="C323" t="s">
        <v>797</v>
      </c>
      <c r="D323" s="33">
        <v>0</v>
      </c>
      <c r="E323" s="33">
        <v>3</v>
      </c>
      <c r="F323" s="33">
        <v>0</v>
      </c>
      <c r="G323" s="33">
        <v>0</v>
      </c>
      <c r="H323" s="34">
        <v>0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>
        <v>0</v>
      </c>
      <c r="Q323">
        <v>1</v>
      </c>
      <c r="R323">
        <v>453</v>
      </c>
      <c r="S323">
        <v>776</v>
      </c>
      <c r="T323">
        <v>0</v>
      </c>
      <c r="U323">
        <v>0</v>
      </c>
      <c r="V323">
        <v>0</v>
      </c>
      <c r="W323">
        <v>2</v>
      </c>
      <c r="X323" s="23" t="s">
        <v>54</v>
      </c>
      <c r="Y323" s="23">
        <v>0</v>
      </c>
      <c r="Z323" s="23">
        <v>0</v>
      </c>
      <c r="AA323" s="23">
        <v>0.00257731958762887</v>
      </c>
      <c r="AB323">
        <v>0</v>
      </c>
      <c r="AC323">
        <v>0</v>
      </c>
      <c r="AD323">
        <v>0</v>
      </c>
      <c r="AE323">
        <v>0.11</v>
      </c>
      <c r="AF323" s="23" t="s">
        <v>54</v>
      </c>
      <c r="AG323" s="23" t="s">
        <v>54</v>
      </c>
      <c r="AH323" s="23" t="s">
        <v>54</v>
      </c>
      <c r="AI323" s="23" t="s">
        <v>433</v>
      </c>
      <c r="AJ323">
        <v>0</v>
      </c>
      <c r="AK323">
        <v>1</v>
      </c>
      <c r="AL323">
        <v>1</v>
      </c>
      <c r="AM323">
        <v>3</v>
      </c>
      <c r="AN323" s="23" t="s">
        <v>54</v>
      </c>
      <c r="AO323" s="23">
        <v>3</v>
      </c>
      <c r="AP323" s="23">
        <v>0</v>
      </c>
      <c r="AQ323" s="23">
        <v>0</v>
      </c>
      <c r="AR323" s="37">
        <v>0</v>
      </c>
      <c r="AS323" s="37">
        <v>0</v>
      </c>
      <c r="AT323" s="37">
        <v>0</v>
      </c>
      <c r="AU323" s="33" t="str">
        <f t="shared" si="8"/>
        <v>库存为0</v>
      </c>
      <c r="AV323" s="38" t="str">
        <f>IFERROR(时间!$B$4+AU323,"上周无销量")</f>
        <v>上周无销量</v>
      </c>
    </row>
    <row r="324" spans="1:48">
      <c r="A324" s="21" t="s">
        <v>815</v>
      </c>
      <c r="B324" t="s">
        <v>816</v>
      </c>
      <c r="C324" t="s">
        <v>797</v>
      </c>
      <c r="D324" s="33">
        <v>0</v>
      </c>
      <c r="E324" s="33">
        <v>2</v>
      </c>
      <c r="F324" s="33">
        <v>0</v>
      </c>
      <c r="G324" s="33">
        <v>0</v>
      </c>
      <c r="H324" s="34">
        <v>0</v>
      </c>
      <c r="I324">
        <v>0</v>
      </c>
      <c r="J324" s="35">
        <v>0</v>
      </c>
      <c r="K324" s="35">
        <v>0</v>
      </c>
      <c r="L324" s="35">
        <v>0</v>
      </c>
      <c r="M324">
        <v>0</v>
      </c>
      <c r="N324">
        <v>0</v>
      </c>
      <c r="O324">
        <v>0</v>
      </c>
      <c r="P324">
        <v>0</v>
      </c>
      <c r="Q324">
        <v>199</v>
      </c>
      <c r="R324">
        <v>23481</v>
      </c>
      <c r="S324">
        <v>374</v>
      </c>
      <c r="T324">
        <v>0</v>
      </c>
      <c r="U324">
        <v>0</v>
      </c>
      <c r="V324">
        <v>52</v>
      </c>
      <c r="W324">
        <v>6</v>
      </c>
      <c r="X324" s="23" t="s">
        <v>54</v>
      </c>
      <c r="Y324" s="23">
        <v>0</v>
      </c>
      <c r="Z324" s="23">
        <v>0.00221455644989566</v>
      </c>
      <c r="AA324" s="23">
        <v>0.0160427807486631</v>
      </c>
      <c r="AB324">
        <v>0</v>
      </c>
      <c r="AC324">
        <v>0</v>
      </c>
      <c r="AD324">
        <v>15.8</v>
      </c>
      <c r="AE324">
        <v>1.74</v>
      </c>
      <c r="AF324" s="23" t="s">
        <v>54</v>
      </c>
      <c r="AG324" s="23" t="s">
        <v>54</v>
      </c>
      <c r="AH324" s="23" t="s">
        <v>817</v>
      </c>
      <c r="AI324" s="23" t="s">
        <v>818</v>
      </c>
      <c r="AJ324">
        <v>0</v>
      </c>
      <c r="AK324">
        <v>1</v>
      </c>
      <c r="AL324">
        <v>46</v>
      </c>
      <c r="AM324">
        <v>1</v>
      </c>
      <c r="AN324" s="23" t="s">
        <v>54</v>
      </c>
      <c r="AO324" s="23">
        <v>2</v>
      </c>
      <c r="AP324" s="23">
        <v>0</v>
      </c>
      <c r="AQ324" s="23">
        <v>0</v>
      </c>
      <c r="AR324" s="37">
        <v>0</v>
      </c>
      <c r="AS324" s="37">
        <v>0</v>
      </c>
      <c r="AT324" s="37">
        <v>0</v>
      </c>
      <c r="AU324" s="33" t="str">
        <f t="shared" si="8"/>
        <v>库存为0</v>
      </c>
      <c r="AV324" s="38" t="str">
        <f>IFERROR(时间!$B$4+AU324,"上周无销量")</f>
        <v>上周无销量</v>
      </c>
    </row>
    <row r="325" spans="1:48">
      <c r="A325" s="21" t="s">
        <v>819</v>
      </c>
      <c r="B325" t="s">
        <v>820</v>
      </c>
      <c r="C325" t="s">
        <v>797</v>
      </c>
      <c r="D325" s="33">
        <v>0</v>
      </c>
      <c r="E325" s="33">
        <v>0</v>
      </c>
      <c r="F325" s="33">
        <v>0</v>
      </c>
      <c r="G325" s="33">
        <v>1</v>
      </c>
      <c r="H325" s="34">
        <v>12.9</v>
      </c>
      <c r="I325">
        <v>1</v>
      </c>
      <c r="J325" s="35">
        <v>0</v>
      </c>
      <c r="K325" s="35">
        <v>0</v>
      </c>
      <c r="L325" s="35">
        <v>0</v>
      </c>
      <c r="M325">
        <v>1</v>
      </c>
      <c r="N325">
        <v>0</v>
      </c>
      <c r="O325">
        <v>1</v>
      </c>
      <c r="P325">
        <v>129</v>
      </c>
      <c r="Q325">
        <v>522</v>
      </c>
      <c r="R325">
        <v>697</v>
      </c>
      <c r="S325">
        <v>269</v>
      </c>
      <c r="T325">
        <v>0</v>
      </c>
      <c r="U325">
        <v>4</v>
      </c>
      <c r="V325">
        <v>3</v>
      </c>
      <c r="W325">
        <v>2</v>
      </c>
      <c r="X325" s="23">
        <v>0</v>
      </c>
      <c r="Y325" s="23">
        <v>0.00766283524904215</v>
      </c>
      <c r="Z325" s="23">
        <v>0.00430416068866571</v>
      </c>
      <c r="AA325" s="23">
        <v>0.00743494423791822</v>
      </c>
      <c r="AB325">
        <v>0</v>
      </c>
      <c r="AC325">
        <v>0.57</v>
      </c>
      <c r="AD325">
        <v>0.73</v>
      </c>
      <c r="AE325">
        <v>0.32</v>
      </c>
      <c r="AF325" s="23" t="s">
        <v>54</v>
      </c>
      <c r="AG325" s="23" t="s">
        <v>821</v>
      </c>
      <c r="AH325" s="23" t="s">
        <v>532</v>
      </c>
      <c r="AI325" s="23">
        <v>0.0248062015503876</v>
      </c>
      <c r="AJ325">
        <v>3</v>
      </c>
      <c r="AK325">
        <v>10</v>
      </c>
      <c r="AL325">
        <v>7</v>
      </c>
      <c r="AM325">
        <v>3</v>
      </c>
      <c r="AN325" s="23">
        <v>0</v>
      </c>
      <c r="AO325" s="23">
        <v>0</v>
      </c>
      <c r="AP325" s="23">
        <v>0</v>
      </c>
      <c r="AQ325" s="23">
        <v>0.333333333333333</v>
      </c>
      <c r="AR325" s="37">
        <v>0</v>
      </c>
      <c r="AS325" s="37">
        <v>0</v>
      </c>
      <c r="AT325" s="37">
        <v>1</v>
      </c>
      <c r="AU325" s="33" t="str">
        <f t="shared" ref="AU325:AU388" si="9">IF(AR325="","库存为"&amp;M325,IF(AS325=0,"库存为"&amp;M325,INT(M325/AR325)))</f>
        <v>库存为1</v>
      </c>
      <c r="AV325" s="38" t="str">
        <f>IFERROR(时间!$B$4+AU325,"上周无销量")</f>
        <v>上周无销量</v>
      </c>
    </row>
    <row r="326" spans="1:48">
      <c r="A326" s="21" t="s">
        <v>822</v>
      </c>
      <c r="B326" t="s">
        <v>823</v>
      </c>
      <c r="C326" t="s">
        <v>797</v>
      </c>
      <c r="D326" s="33">
        <v>0</v>
      </c>
      <c r="E326" s="33">
        <v>3</v>
      </c>
      <c r="F326" s="33">
        <v>0</v>
      </c>
      <c r="G326" s="33">
        <v>0</v>
      </c>
      <c r="H326" s="34">
        <v>0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0</v>
      </c>
      <c r="O326">
        <v>0</v>
      </c>
      <c r="P326">
        <v>0</v>
      </c>
      <c r="Q326">
        <v>5</v>
      </c>
      <c r="R326">
        <v>71</v>
      </c>
      <c r="S326">
        <v>44</v>
      </c>
      <c r="T326">
        <v>0</v>
      </c>
      <c r="U326">
        <v>0</v>
      </c>
      <c r="V326">
        <v>0</v>
      </c>
      <c r="W326">
        <v>0</v>
      </c>
      <c r="X326" s="23" t="s">
        <v>54</v>
      </c>
      <c r="Y326" s="23">
        <v>0</v>
      </c>
      <c r="Z326" s="23">
        <v>0</v>
      </c>
      <c r="AA326" s="23">
        <v>0</v>
      </c>
      <c r="AB326">
        <v>0</v>
      </c>
      <c r="AC326">
        <v>0</v>
      </c>
      <c r="AD326">
        <v>0</v>
      </c>
      <c r="AE326">
        <v>0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1</v>
      </c>
      <c r="AL326">
        <v>4</v>
      </c>
      <c r="AM326">
        <v>2</v>
      </c>
      <c r="AN326" s="23" t="s">
        <v>54</v>
      </c>
      <c r="AO326" s="23">
        <v>3</v>
      </c>
      <c r="AP326" s="23">
        <v>0</v>
      </c>
      <c r="AQ326" s="23">
        <v>0</v>
      </c>
      <c r="AR326" s="37">
        <v>0</v>
      </c>
      <c r="AS326" s="37">
        <v>0</v>
      </c>
      <c r="AT326" s="37">
        <v>0</v>
      </c>
      <c r="AU326" s="33" t="str">
        <f t="shared" si="9"/>
        <v>库存为0</v>
      </c>
      <c r="AV326" s="38" t="str">
        <f>IFERROR(时间!$B$4+AU326,"上周无销量")</f>
        <v>上周无销量</v>
      </c>
    </row>
    <row r="327" spans="1:48">
      <c r="A327" s="21" t="s">
        <v>824</v>
      </c>
      <c r="B327" t="s">
        <v>825</v>
      </c>
      <c r="C327" t="s">
        <v>826</v>
      </c>
      <c r="D327" s="33">
        <v>0</v>
      </c>
      <c r="E327" s="33">
        <v>71</v>
      </c>
      <c r="F327" s="33">
        <v>0</v>
      </c>
      <c r="G327" s="33">
        <v>0</v>
      </c>
      <c r="H327" s="34">
        <v>0</v>
      </c>
      <c r="I327">
        <v>19</v>
      </c>
      <c r="J327" s="35">
        <v>0</v>
      </c>
      <c r="K327" s="35">
        <v>0</v>
      </c>
      <c r="L327" s="35">
        <v>0</v>
      </c>
      <c r="M327">
        <v>19</v>
      </c>
      <c r="N327">
        <v>0</v>
      </c>
      <c r="O327">
        <v>1</v>
      </c>
      <c r="P327">
        <v>5</v>
      </c>
      <c r="Q327">
        <v>0</v>
      </c>
      <c r="R327">
        <v>2</v>
      </c>
      <c r="S327">
        <v>1</v>
      </c>
      <c r="T327">
        <v>0</v>
      </c>
      <c r="U327">
        <v>0</v>
      </c>
      <c r="V327">
        <v>0</v>
      </c>
      <c r="W327">
        <v>0</v>
      </c>
      <c r="X327" s="23">
        <v>0</v>
      </c>
      <c r="Y327" s="23" t="s">
        <v>54</v>
      </c>
      <c r="Z327" s="23">
        <v>0</v>
      </c>
      <c r="AA327" s="23">
        <v>0</v>
      </c>
      <c r="AB327">
        <v>0</v>
      </c>
      <c r="AC327">
        <v>0</v>
      </c>
      <c r="AD327">
        <v>0</v>
      </c>
      <c r="AE327">
        <v>0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4</v>
      </c>
      <c r="AM327">
        <v>2</v>
      </c>
      <c r="AN327" s="23" t="s">
        <v>54</v>
      </c>
      <c r="AO327" s="23" t="s">
        <v>54</v>
      </c>
      <c r="AP327" s="23">
        <v>0</v>
      </c>
      <c r="AQ327" s="23">
        <v>0</v>
      </c>
      <c r="AR327" s="37">
        <v>0</v>
      </c>
      <c r="AS327" s="37">
        <v>0</v>
      </c>
      <c r="AT327" s="37">
        <v>19</v>
      </c>
      <c r="AU327" s="33" t="str">
        <f t="shared" si="9"/>
        <v>库存为19</v>
      </c>
      <c r="AV327" s="38" t="str">
        <f>IFERROR(时间!$B$4+AU327,"上周无销量")</f>
        <v>上周无销量</v>
      </c>
    </row>
    <row r="328" spans="1:48">
      <c r="A328" s="21" t="s">
        <v>827</v>
      </c>
      <c r="B328" t="s">
        <v>828</v>
      </c>
      <c r="C328" t="s">
        <v>826</v>
      </c>
      <c r="D328" s="33">
        <v>0</v>
      </c>
      <c r="E328" s="33">
        <v>55</v>
      </c>
      <c r="F328" s="33">
        <v>0</v>
      </c>
      <c r="G328" s="33">
        <v>1</v>
      </c>
      <c r="H328" s="34">
        <v>0.124821428571429</v>
      </c>
      <c r="I328">
        <v>13</v>
      </c>
      <c r="J328" s="35">
        <v>0</v>
      </c>
      <c r="K328" s="35">
        <v>0</v>
      </c>
      <c r="L328" s="35">
        <v>0</v>
      </c>
      <c r="M328">
        <v>13</v>
      </c>
      <c r="N328">
        <v>0</v>
      </c>
      <c r="O328">
        <v>0</v>
      </c>
      <c r="P328">
        <v>7</v>
      </c>
      <c r="Q328">
        <v>4</v>
      </c>
      <c r="R328">
        <v>7</v>
      </c>
      <c r="S328">
        <v>3</v>
      </c>
      <c r="T328">
        <v>0</v>
      </c>
      <c r="U328">
        <v>0</v>
      </c>
      <c r="V328">
        <v>0</v>
      </c>
      <c r="W328">
        <v>0</v>
      </c>
      <c r="X328" s="23">
        <v>0</v>
      </c>
      <c r="Y328" s="23">
        <v>0</v>
      </c>
      <c r="Z328" s="23">
        <v>0</v>
      </c>
      <c r="AA328" s="23">
        <v>0</v>
      </c>
      <c r="AB328">
        <v>0</v>
      </c>
      <c r="AC328">
        <v>0</v>
      </c>
      <c r="AD328">
        <v>0</v>
      </c>
      <c r="AE328">
        <v>0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1</v>
      </c>
      <c r="AK328">
        <v>3</v>
      </c>
      <c r="AL328">
        <v>4</v>
      </c>
      <c r="AM328">
        <v>2</v>
      </c>
      <c r="AN328" s="23">
        <v>0</v>
      </c>
      <c r="AO328" s="23">
        <v>18.3333333333333</v>
      </c>
      <c r="AP328" s="23">
        <v>0</v>
      </c>
      <c r="AQ328" s="23">
        <v>0.5</v>
      </c>
      <c r="AR328" s="37">
        <v>0</v>
      </c>
      <c r="AS328" s="37">
        <v>0</v>
      </c>
      <c r="AT328" s="37">
        <v>13</v>
      </c>
      <c r="AU328" s="33" t="str">
        <f t="shared" si="9"/>
        <v>库存为13</v>
      </c>
      <c r="AV328" s="38" t="str">
        <f>IFERROR(时间!$B$4+AU328,"上周无销量")</f>
        <v>上周无销量</v>
      </c>
    </row>
    <row r="329" spans="1:48">
      <c r="A329" s="21" t="s">
        <v>829</v>
      </c>
      <c r="B329" t="s">
        <v>830</v>
      </c>
      <c r="C329" t="s">
        <v>831</v>
      </c>
      <c r="D329" s="33">
        <v>0</v>
      </c>
      <c r="E329" s="33">
        <v>33</v>
      </c>
      <c r="F329" s="33">
        <v>0</v>
      </c>
      <c r="G329" s="33">
        <v>0</v>
      </c>
      <c r="H329" s="34">
        <v>0</v>
      </c>
      <c r="I329">
        <v>0</v>
      </c>
      <c r="J329" s="35">
        <v>0</v>
      </c>
      <c r="K329" s="35">
        <v>0</v>
      </c>
      <c r="L329" s="35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1</v>
      </c>
      <c r="AL329">
        <v>4</v>
      </c>
      <c r="AM329">
        <v>2</v>
      </c>
      <c r="AN329" s="23" t="s">
        <v>54</v>
      </c>
      <c r="AO329" s="23">
        <v>33</v>
      </c>
      <c r="AP329" s="23">
        <v>0</v>
      </c>
      <c r="AQ329" s="23">
        <v>0</v>
      </c>
      <c r="AR329" s="37">
        <v>0</v>
      </c>
      <c r="AS329" s="37">
        <v>0</v>
      </c>
      <c r="AT329" s="37">
        <v>0</v>
      </c>
      <c r="AU329" s="33" t="str">
        <f t="shared" si="9"/>
        <v>库存为0</v>
      </c>
      <c r="AV329" s="38" t="str">
        <f>IFERROR(时间!$B$4+AU329,"上周无销量")</f>
        <v>上周无销量</v>
      </c>
    </row>
    <row r="330" spans="1:48">
      <c r="A330" s="21" t="s">
        <v>832</v>
      </c>
      <c r="B330" t="s">
        <v>833</v>
      </c>
      <c r="C330" t="s">
        <v>831</v>
      </c>
      <c r="D330" s="33">
        <v>0</v>
      </c>
      <c r="E330" s="33">
        <v>5</v>
      </c>
      <c r="F330" s="33">
        <v>2</v>
      </c>
      <c r="G330" s="33">
        <v>0</v>
      </c>
      <c r="H330" s="34">
        <v>1.99714285714286</v>
      </c>
      <c r="I330">
        <v>2</v>
      </c>
      <c r="J330" s="35">
        <v>0</v>
      </c>
      <c r="K330" s="35">
        <v>0</v>
      </c>
      <c r="L330" s="35">
        <v>0</v>
      </c>
      <c r="M330">
        <v>2</v>
      </c>
      <c r="N330">
        <v>0</v>
      </c>
      <c r="O330">
        <v>0</v>
      </c>
      <c r="P330">
        <v>928</v>
      </c>
      <c r="Q330">
        <v>4449</v>
      </c>
      <c r="R330">
        <v>25079</v>
      </c>
      <c r="S330">
        <v>18578</v>
      </c>
      <c r="T330">
        <v>7</v>
      </c>
      <c r="U330">
        <v>8</v>
      </c>
      <c r="V330">
        <v>59</v>
      </c>
      <c r="W330">
        <v>48</v>
      </c>
      <c r="X330" s="23">
        <v>0.00754310344827586</v>
      </c>
      <c r="Y330" s="23">
        <v>0.00179815688918858</v>
      </c>
      <c r="Z330" s="23">
        <v>0.00235256589178197</v>
      </c>
      <c r="AA330" s="23">
        <v>0.0025837011519001</v>
      </c>
      <c r="AB330">
        <v>0.66</v>
      </c>
      <c r="AC330">
        <v>3.11</v>
      </c>
      <c r="AD330">
        <v>31.98</v>
      </c>
      <c r="AE330">
        <v>24.5</v>
      </c>
      <c r="AF330" s="23" t="s">
        <v>834</v>
      </c>
      <c r="AG330" s="23">
        <v>0.311444921316165</v>
      </c>
      <c r="AH330" s="23">
        <v>8.00643776824033</v>
      </c>
      <c r="AI330" s="23" t="s">
        <v>835</v>
      </c>
      <c r="AJ330">
        <v>1</v>
      </c>
      <c r="AK330">
        <v>9</v>
      </c>
      <c r="AL330">
        <v>41</v>
      </c>
      <c r="AM330">
        <v>24</v>
      </c>
      <c r="AN330" s="23">
        <v>0</v>
      </c>
      <c r="AO330" s="23">
        <v>0.555555555555556</v>
      </c>
      <c r="AP330" s="23">
        <v>0.0487804878048781</v>
      </c>
      <c r="AQ330" s="23">
        <v>0</v>
      </c>
      <c r="AR330" s="37">
        <v>0</v>
      </c>
      <c r="AS330" s="37">
        <v>0</v>
      </c>
      <c r="AT330" s="37">
        <v>2</v>
      </c>
      <c r="AU330" s="33" t="str">
        <f t="shared" si="9"/>
        <v>库存为2</v>
      </c>
      <c r="AV330" s="38" t="str">
        <f>IFERROR(时间!$B$4+AU330,"上周无销量")</f>
        <v>上周无销量</v>
      </c>
    </row>
    <row r="331" spans="1:48">
      <c r="A331" s="21" t="s">
        <v>836</v>
      </c>
      <c r="B331" t="s">
        <v>837</v>
      </c>
      <c r="C331" t="s">
        <v>831</v>
      </c>
      <c r="D331" s="33">
        <v>0</v>
      </c>
      <c r="E331" s="33">
        <v>12</v>
      </c>
      <c r="F331" s="33">
        <v>0</v>
      </c>
      <c r="G331" s="33">
        <v>0</v>
      </c>
      <c r="H331" s="34">
        <v>0</v>
      </c>
      <c r="I331">
        <v>3</v>
      </c>
      <c r="J331" s="35">
        <v>0</v>
      </c>
      <c r="K331" s="35">
        <v>0</v>
      </c>
      <c r="L331" s="35">
        <v>0</v>
      </c>
      <c r="M331">
        <v>3</v>
      </c>
      <c r="N331">
        <v>0</v>
      </c>
      <c r="O331">
        <v>0</v>
      </c>
      <c r="P331">
        <v>3</v>
      </c>
      <c r="Q331">
        <v>2</v>
      </c>
      <c r="R331">
        <v>23</v>
      </c>
      <c r="S331">
        <v>17</v>
      </c>
      <c r="T331">
        <v>0</v>
      </c>
      <c r="U331">
        <v>0</v>
      </c>
      <c r="V331">
        <v>0</v>
      </c>
      <c r="W331">
        <v>0</v>
      </c>
      <c r="X331" s="23">
        <v>0</v>
      </c>
      <c r="Y331" s="23">
        <v>0</v>
      </c>
      <c r="Z331" s="23">
        <v>0</v>
      </c>
      <c r="AA331" s="23">
        <v>0</v>
      </c>
      <c r="AB331">
        <v>0</v>
      </c>
      <c r="AC331">
        <v>0</v>
      </c>
      <c r="AD331">
        <v>0</v>
      </c>
      <c r="AE331">
        <v>0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1</v>
      </c>
      <c r="AL331">
        <v>5</v>
      </c>
      <c r="AM331">
        <v>2</v>
      </c>
      <c r="AN331" s="23" t="s">
        <v>54</v>
      </c>
      <c r="AO331" s="23">
        <v>12</v>
      </c>
      <c r="AP331" s="23">
        <v>0</v>
      </c>
      <c r="AQ331" s="23">
        <v>0</v>
      </c>
      <c r="AR331" s="37">
        <v>0</v>
      </c>
      <c r="AS331" s="37">
        <v>0</v>
      </c>
      <c r="AT331" s="37">
        <v>3</v>
      </c>
      <c r="AU331" s="33" t="str">
        <f t="shared" si="9"/>
        <v>库存为3</v>
      </c>
      <c r="AV331" s="38" t="str">
        <f>IFERROR(时间!$B$4+AU331,"上周无销量")</f>
        <v>上周无销量</v>
      </c>
    </row>
    <row r="332" spans="1:48">
      <c r="A332" s="21" t="s">
        <v>838</v>
      </c>
      <c r="B332" t="s">
        <v>825</v>
      </c>
      <c r="C332" t="s">
        <v>831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0</v>
      </c>
      <c r="J332" s="35">
        <v>0</v>
      </c>
      <c r="K332" s="35">
        <v>0</v>
      </c>
      <c r="L332" s="35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4</v>
      </c>
      <c r="AM332">
        <v>2</v>
      </c>
      <c r="AN332" s="23" t="s">
        <v>54</v>
      </c>
      <c r="AO332" s="23" t="s">
        <v>54</v>
      </c>
      <c r="AP332" s="23">
        <v>0</v>
      </c>
      <c r="AQ332" s="23">
        <v>0</v>
      </c>
      <c r="AR332" s="37">
        <v>0</v>
      </c>
      <c r="AS332" s="37">
        <v>0</v>
      </c>
      <c r="AT332" s="37">
        <v>0</v>
      </c>
      <c r="AU332" s="33" t="str">
        <f t="shared" si="9"/>
        <v>库存为0</v>
      </c>
      <c r="AV332" s="38" t="str">
        <f>IFERROR(时间!$B$4+AU332,"上周无销量")</f>
        <v>上周无销量</v>
      </c>
    </row>
    <row r="333" spans="1:48">
      <c r="A333" s="21" t="s">
        <v>839</v>
      </c>
      <c r="B333" t="s">
        <v>828</v>
      </c>
      <c r="C333" t="s">
        <v>831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1</v>
      </c>
      <c r="AK333">
        <v>3</v>
      </c>
      <c r="AL333">
        <v>4</v>
      </c>
      <c r="AM333">
        <v>2</v>
      </c>
      <c r="AN333" s="23">
        <v>0</v>
      </c>
      <c r="AO333" s="23">
        <v>0</v>
      </c>
      <c r="AP333" s="23">
        <v>0</v>
      </c>
      <c r="AQ333" s="23">
        <v>0</v>
      </c>
      <c r="AR333" s="37">
        <v>0</v>
      </c>
      <c r="AS333" s="37">
        <v>0</v>
      </c>
      <c r="AT333" s="37">
        <v>0</v>
      </c>
      <c r="AU333" s="33" t="str">
        <f t="shared" si="9"/>
        <v>库存为0</v>
      </c>
      <c r="AV333" s="38" t="str">
        <f>IFERROR(时间!$B$4+AU333,"上周无销量")</f>
        <v>上周无销量</v>
      </c>
    </row>
    <row r="334" spans="1:48">
      <c r="A334" s="21" t="s">
        <v>840</v>
      </c>
      <c r="B334" t="s">
        <v>830</v>
      </c>
      <c r="C334" t="s">
        <v>841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0</v>
      </c>
      <c r="J334" s="35">
        <v>0</v>
      </c>
      <c r="K334" s="35">
        <v>0</v>
      </c>
      <c r="L334" s="35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1</v>
      </c>
      <c r="AL334">
        <v>4</v>
      </c>
      <c r="AM334">
        <v>2</v>
      </c>
      <c r="AN334" s="23" t="s">
        <v>54</v>
      </c>
      <c r="AO334" s="23">
        <v>0</v>
      </c>
      <c r="AP334" s="23">
        <v>0</v>
      </c>
      <c r="AQ334" s="23">
        <v>0</v>
      </c>
      <c r="AR334" s="37">
        <v>0</v>
      </c>
      <c r="AS334" s="37">
        <v>0</v>
      </c>
      <c r="AT334" s="37">
        <v>0</v>
      </c>
      <c r="AU334" s="33" t="str">
        <f t="shared" si="9"/>
        <v>库存为0</v>
      </c>
      <c r="AV334" s="38" t="str">
        <f>IFERROR(时间!$B$4+AU334,"上周无销量")</f>
        <v>上周无销量</v>
      </c>
    </row>
    <row r="335" spans="1:48">
      <c r="A335" s="21" t="s">
        <v>842</v>
      </c>
      <c r="B335" t="s">
        <v>833</v>
      </c>
      <c r="C335" t="s">
        <v>841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0</v>
      </c>
      <c r="J335" s="35">
        <v>0</v>
      </c>
      <c r="K335" s="35">
        <v>0</v>
      </c>
      <c r="L335" s="35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1</v>
      </c>
      <c r="AK335">
        <v>9</v>
      </c>
      <c r="AL335">
        <v>41</v>
      </c>
      <c r="AM335">
        <v>24</v>
      </c>
      <c r="AN335" s="23">
        <v>0</v>
      </c>
      <c r="AO335" s="23">
        <v>0</v>
      </c>
      <c r="AP335" s="23">
        <v>0</v>
      </c>
      <c r="AQ335" s="23">
        <v>0</v>
      </c>
      <c r="AR335" s="37">
        <v>0</v>
      </c>
      <c r="AS335" s="37">
        <v>0</v>
      </c>
      <c r="AT335" s="37">
        <v>0</v>
      </c>
      <c r="AU335" s="33" t="str">
        <f t="shared" si="9"/>
        <v>库存为0</v>
      </c>
      <c r="AV335" s="38" t="str">
        <f>IFERROR(时间!$B$4+AU335,"上周无销量")</f>
        <v>上周无销量</v>
      </c>
    </row>
    <row r="336" spans="1:48">
      <c r="A336" s="21" t="s">
        <v>843</v>
      </c>
      <c r="B336" t="s">
        <v>837</v>
      </c>
      <c r="C336" t="s">
        <v>844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1</v>
      </c>
      <c r="AL336">
        <v>5</v>
      </c>
      <c r="AM336">
        <v>2</v>
      </c>
      <c r="AN336" s="23" t="s">
        <v>54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0</v>
      </c>
      <c r="AU336" s="33" t="str">
        <f t="shared" si="9"/>
        <v>库存为0</v>
      </c>
      <c r="AV336" s="38" t="str">
        <f>IFERROR(时间!$B$4+AU336,"上周无销量")</f>
        <v>上周无销量</v>
      </c>
    </row>
    <row r="337" spans="1:48">
      <c r="A337" s="21" t="s">
        <v>845</v>
      </c>
      <c r="B337" t="s">
        <v>230</v>
      </c>
      <c r="C337" t="s">
        <v>846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11</v>
      </c>
      <c r="J337" s="35">
        <v>0</v>
      </c>
      <c r="K337" s="35">
        <v>0</v>
      </c>
      <c r="L337" s="35">
        <v>30</v>
      </c>
      <c r="M337">
        <v>41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5</v>
      </c>
      <c r="AK337">
        <v>6</v>
      </c>
      <c r="AL337">
        <v>9</v>
      </c>
      <c r="AM337">
        <v>5</v>
      </c>
      <c r="AN337" s="23">
        <v>0</v>
      </c>
      <c r="AO337" s="23">
        <v>0</v>
      </c>
      <c r="AP337" s="23">
        <v>0</v>
      </c>
      <c r="AQ337" s="23">
        <v>0</v>
      </c>
      <c r="AR337" s="37">
        <v>0</v>
      </c>
      <c r="AS337" s="37">
        <v>0</v>
      </c>
      <c r="AT337" s="37">
        <v>41</v>
      </c>
      <c r="AU337" s="33" t="str">
        <f t="shared" si="9"/>
        <v>库存为41</v>
      </c>
      <c r="AV337" s="38" t="str">
        <f>IFERROR(时间!$B$4+AU337,"上周无销量")</f>
        <v>上周无销量</v>
      </c>
    </row>
    <row r="338" spans="1:48">
      <c r="A338" s="21" t="s">
        <v>847</v>
      </c>
      <c r="B338" t="s">
        <v>237</v>
      </c>
      <c r="C338" t="s">
        <v>846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6</v>
      </c>
      <c r="AK338">
        <v>4</v>
      </c>
      <c r="AL338">
        <v>10</v>
      </c>
      <c r="AM338">
        <v>3</v>
      </c>
      <c r="AN338" s="23">
        <v>0</v>
      </c>
      <c r="AO338" s="23">
        <v>0</v>
      </c>
      <c r="AP338" s="23">
        <v>0</v>
      </c>
      <c r="AQ338" s="23">
        <v>0</v>
      </c>
      <c r="AR338" s="37">
        <v>0</v>
      </c>
      <c r="AS338" s="37">
        <v>0</v>
      </c>
      <c r="AT338" s="37">
        <v>0</v>
      </c>
      <c r="AU338" s="33" t="str">
        <f t="shared" si="9"/>
        <v>库存为0</v>
      </c>
      <c r="AV338" s="38" t="str">
        <f>IFERROR(时间!$B$4+AU338,"上周无销量")</f>
        <v>上周无销量</v>
      </c>
    </row>
    <row r="339" spans="1:48">
      <c r="A339" s="21" t="s">
        <v>848</v>
      </c>
      <c r="B339" t="s">
        <v>239</v>
      </c>
      <c r="C339" t="s">
        <v>846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0</v>
      </c>
      <c r="J339" s="35">
        <v>0</v>
      </c>
      <c r="K339" s="35">
        <v>13</v>
      </c>
      <c r="L339" s="35">
        <v>0</v>
      </c>
      <c r="M339">
        <v>13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5</v>
      </c>
      <c r="AL339">
        <v>24</v>
      </c>
      <c r="AM339">
        <v>5</v>
      </c>
      <c r="AN339" s="23" t="s">
        <v>54</v>
      </c>
      <c r="AO339" s="23">
        <v>0</v>
      </c>
      <c r="AP339" s="23">
        <v>0</v>
      </c>
      <c r="AQ339" s="23">
        <v>0</v>
      </c>
      <c r="AR339" s="37">
        <v>0</v>
      </c>
      <c r="AS339" s="37">
        <v>0</v>
      </c>
      <c r="AT339" s="37">
        <v>13</v>
      </c>
      <c r="AU339" s="33" t="str">
        <f t="shared" si="9"/>
        <v>库存为13</v>
      </c>
      <c r="AV339" s="38" t="str">
        <f>IFERROR(时间!$B$4+AU339,"上周无销量")</f>
        <v>上周无销量</v>
      </c>
    </row>
    <row r="340" spans="1:48">
      <c r="A340" s="21" t="s">
        <v>849</v>
      </c>
      <c r="B340" t="s">
        <v>242</v>
      </c>
      <c r="C340" t="s">
        <v>846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24</v>
      </c>
      <c r="J340" s="35">
        <v>0</v>
      </c>
      <c r="K340" s="35">
        <v>0</v>
      </c>
      <c r="L340" s="35">
        <v>0</v>
      </c>
      <c r="M340">
        <v>24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6</v>
      </c>
      <c r="AM340">
        <v>3</v>
      </c>
      <c r="AN340" s="23" t="s">
        <v>54</v>
      </c>
      <c r="AO340" s="23" t="s">
        <v>54</v>
      </c>
      <c r="AP340" s="23">
        <v>0</v>
      </c>
      <c r="AQ340" s="23">
        <v>0</v>
      </c>
      <c r="AR340" s="37">
        <v>0</v>
      </c>
      <c r="AS340" s="37">
        <v>0</v>
      </c>
      <c r="AT340" s="37">
        <v>24</v>
      </c>
      <c r="AU340" s="33" t="str">
        <f t="shared" si="9"/>
        <v>库存为24</v>
      </c>
      <c r="AV340" s="38" t="str">
        <f>IFERROR(时间!$B$4+AU340,"上周无销量")</f>
        <v>上周无销量</v>
      </c>
    </row>
    <row r="341" spans="1:48">
      <c r="A341" s="21" t="s">
        <v>850</v>
      </c>
      <c r="B341" t="s">
        <v>245</v>
      </c>
      <c r="C341" t="s">
        <v>846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0</v>
      </c>
      <c r="J341" s="35">
        <v>0</v>
      </c>
      <c r="K341" s="35">
        <v>0</v>
      </c>
      <c r="L341" s="35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1</v>
      </c>
      <c r="AL341">
        <v>5</v>
      </c>
      <c r="AM341">
        <v>7</v>
      </c>
      <c r="AN341" s="23" t="s">
        <v>54</v>
      </c>
      <c r="AO341" s="23">
        <v>0</v>
      </c>
      <c r="AP341" s="23">
        <v>0</v>
      </c>
      <c r="AQ341" s="23">
        <v>0</v>
      </c>
      <c r="AR341" s="37">
        <v>0</v>
      </c>
      <c r="AS341" s="37">
        <v>0</v>
      </c>
      <c r="AT341" s="37">
        <v>0</v>
      </c>
      <c r="AU341" s="33" t="str">
        <f t="shared" si="9"/>
        <v>库存为0</v>
      </c>
      <c r="AV341" s="38" t="str">
        <f>IFERROR(时间!$B$4+AU341,"上周无销量")</f>
        <v>上周无销量</v>
      </c>
    </row>
    <row r="342" spans="1:48">
      <c r="A342" s="21" t="s">
        <v>851</v>
      </c>
      <c r="B342" t="s">
        <v>247</v>
      </c>
      <c r="C342" t="s">
        <v>846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9</v>
      </c>
      <c r="L342" s="35">
        <v>15</v>
      </c>
      <c r="M342">
        <v>24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6</v>
      </c>
      <c r="AK342">
        <v>7</v>
      </c>
      <c r="AL342">
        <v>8</v>
      </c>
      <c r="AM342">
        <v>9</v>
      </c>
      <c r="AN342" s="23">
        <v>0</v>
      </c>
      <c r="AO342" s="23">
        <v>0</v>
      </c>
      <c r="AP342" s="23">
        <v>0</v>
      </c>
      <c r="AQ342" s="23">
        <v>0</v>
      </c>
      <c r="AR342" s="37">
        <v>0</v>
      </c>
      <c r="AS342" s="37">
        <v>0</v>
      </c>
      <c r="AT342" s="37">
        <v>24</v>
      </c>
      <c r="AU342" s="33" t="str">
        <f t="shared" si="9"/>
        <v>库存为24</v>
      </c>
      <c r="AV342" s="38" t="str">
        <f>IFERROR(时间!$B$4+AU342,"上周无销量")</f>
        <v>上周无销量</v>
      </c>
    </row>
    <row r="343" spans="1:48">
      <c r="A343" s="21" t="s">
        <v>852</v>
      </c>
      <c r="B343" t="s">
        <v>251</v>
      </c>
      <c r="C343" t="s">
        <v>853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0</v>
      </c>
      <c r="J343" s="35">
        <v>0</v>
      </c>
      <c r="K343" s="35">
        <v>0</v>
      </c>
      <c r="L343" s="35">
        <v>15</v>
      </c>
      <c r="M343">
        <v>15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1</v>
      </c>
      <c r="AM343">
        <v>1</v>
      </c>
      <c r="AN343" s="23" t="s">
        <v>54</v>
      </c>
      <c r="AO343" s="23" t="s">
        <v>54</v>
      </c>
      <c r="AP343" s="23">
        <v>0</v>
      </c>
      <c r="AQ343" s="23">
        <v>0</v>
      </c>
      <c r="AR343" s="37">
        <v>0</v>
      </c>
      <c r="AS343" s="37">
        <v>0</v>
      </c>
      <c r="AT343" s="37">
        <v>15</v>
      </c>
      <c r="AU343" s="33" t="str">
        <f t="shared" si="9"/>
        <v>库存为15</v>
      </c>
      <c r="AV343" s="38" t="str">
        <f>IFERROR(时间!$B$4+AU343,"上周无销量")</f>
        <v>上周无销量</v>
      </c>
    </row>
    <row r="344" spans="1:48">
      <c r="A344" s="21" t="s">
        <v>854</v>
      </c>
      <c r="B344" t="s">
        <v>253</v>
      </c>
      <c r="C344" t="s">
        <v>853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0</v>
      </c>
      <c r="J344" s="35">
        <v>0</v>
      </c>
      <c r="K344" s="35">
        <v>24</v>
      </c>
      <c r="L344" s="35">
        <v>0</v>
      </c>
      <c r="M344">
        <v>24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7</v>
      </c>
      <c r="AK344">
        <v>3</v>
      </c>
      <c r="AL344">
        <v>3</v>
      </c>
      <c r="AM344">
        <v>3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24</v>
      </c>
      <c r="AU344" s="33" t="str">
        <f t="shared" si="9"/>
        <v>库存为24</v>
      </c>
      <c r="AV344" s="38" t="str">
        <f>IFERROR(时间!$B$4+AU344,"上周无销量")</f>
        <v>上周无销量</v>
      </c>
    </row>
    <row r="345" spans="1:48">
      <c r="A345" s="21" t="s">
        <v>855</v>
      </c>
      <c r="B345" t="s">
        <v>256</v>
      </c>
      <c r="C345" t="s">
        <v>853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6</v>
      </c>
      <c r="AK345">
        <v>4</v>
      </c>
      <c r="AL345">
        <v>6</v>
      </c>
      <c r="AM345">
        <v>8</v>
      </c>
      <c r="AN345" s="23">
        <v>0</v>
      </c>
      <c r="AO345" s="23">
        <v>0</v>
      </c>
      <c r="AP345" s="23">
        <v>0</v>
      </c>
      <c r="AQ345" s="23">
        <v>0</v>
      </c>
      <c r="AR345" s="37">
        <v>0</v>
      </c>
      <c r="AS345" s="37">
        <v>0</v>
      </c>
      <c r="AT345" s="37">
        <v>0</v>
      </c>
      <c r="AU345" s="33" t="str">
        <f t="shared" si="9"/>
        <v>库存为0</v>
      </c>
      <c r="AV345" s="38" t="str">
        <f>IFERROR(时间!$B$4+AU345,"上周无销量")</f>
        <v>上周无销量</v>
      </c>
    </row>
    <row r="346" spans="1:48">
      <c r="A346" s="21" t="s">
        <v>856</v>
      </c>
      <c r="B346" t="s">
        <v>258</v>
      </c>
      <c r="C346" t="s">
        <v>853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20</v>
      </c>
      <c r="J346" s="35">
        <v>0</v>
      </c>
      <c r="K346" s="35">
        <v>10</v>
      </c>
      <c r="L346" s="35">
        <v>0</v>
      </c>
      <c r="M346">
        <v>30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3</v>
      </c>
      <c r="AL346">
        <v>4</v>
      </c>
      <c r="AM346">
        <v>6</v>
      </c>
      <c r="AN346" s="23" t="s">
        <v>54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30</v>
      </c>
      <c r="AU346" s="33" t="str">
        <f t="shared" si="9"/>
        <v>库存为30</v>
      </c>
      <c r="AV346" s="38" t="str">
        <f>IFERROR(时间!$B$4+AU346,"上周无销量")</f>
        <v>上周无销量</v>
      </c>
    </row>
    <row r="347" spans="1:48">
      <c r="A347" s="21" t="s">
        <v>857</v>
      </c>
      <c r="B347" t="s">
        <v>263</v>
      </c>
      <c r="C347" t="s">
        <v>853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0</v>
      </c>
      <c r="J347" s="35">
        <v>0</v>
      </c>
      <c r="K347" s="35">
        <v>0</v>
      </c>
      <c r="L347" s="35">
        <v>29</v>
      </c>
      <c r="M347">
        <v>29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1</v>
      </c>
      <c r="AL347">
        <v>5</v>
      </c>
      <c r="AM347">
        <v>1</v>
      </c>
      <c r="AN347" s="23" t="s">
        <v>54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29</v>
      </c>
      <c r="AU347" s="33" t="str">
        <f t="shared" si="9"/>
        <v>库存为29</v>
      </c>
      <c r="AV347" s="38" t="str">
        <f>IFERROR(时间!$B$4+AU347,"上周无销量")</f>
        <v>上周无销量</v>
      </c>
    </row>
    <row r="348" spans="1:48">
      <c r="A348" s="21" t="s">
        <v>858</v>
      </c>
      <c r="B348" t="s">
        <v>266</v>
      </c>
      <c r="C348" t="s">
        <v>853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0</v>
      </c>
      <c r="J348" s="35">
        <v>0</v>
      </c>
      <c r="K348" s="35">
        <v>0</v>
      </c>
      <c r="L348" s="35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1</v>
      </c>
      <c r="AK348">
        <v>3</v>
      </c>
      <c r="AL348">
        <v>4</v>
      </c>
      <c r="AM348">
        <v>1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0</v>
      </c>
      <c r="AU348" s="33" t="str">
        <f t="shared" si="9"/>
        <v>库存为0</v>
      </c>
      <c r="AV348" s="38" t="str">
        <f>IFERROR(时间!$B$4+AU348,"上周无销量")</f>
        <v>上周无销量</v>
      </c>
    </row>
    <row r="349" spans="1:48">
      <c r="A349" s="21" t="s">
        <v>859</v>
      </c>
      <c r="B349" t="s">
        <v>268</v>
      </c>
      <c r="C349" t="s">
        <v>853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20</v>
      </c>
      <c r="J349" s="35">
        <v>0</v>
      </c>
      <c r="K349" s="35">
        <v>5</v>
      </c>
      <c r="L349" s="35">
        <v>10</v>
      </c>
      <c r="M349">
        <v>35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1</v>
      </c>
      <c r="AM349">
        <v>1</v>
      </c>
      <c r="AN349" s="23" t="s">
        <v>54</v>
      </c>
      <c r="AO349" s="23" t="s">
        <v>54</v>
      </c>
      <c r="AP349" s="23">
        <v>0</v>
      </c>
      <c r="AQ349" s="23">
        <v>0</v>
      </c>
      <c r="AR349" s="37">
        <v>0</v>
      </c>
      <c r="AS349" s="37">
        <v>0</v>
      </c>
      <c r="AT349" s="37">
        <v>35</v>
      </c>
      <c r="AU349" s="33" t="str">
        <f t="shared" si="9"/>
        <v>库存为35</v>
      </c>
      <c r="AV349" s="38" t="str">
        <f>IFERROR(时间!$B$4+AU349,"上周无销量")</f>
        <v>上周无销量</v>
      </c>
    </row>
    <row r="350" spans="1:48">
      <c r="A350" s="21" t="s">
        <v>860</v>
      </c>
      <c r="B350" t="s">
        <v>271</v>
      </c>
      <c r="C350" t="s">
        <v>853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0</v>
      </c>
      <c r="J350" s="35">
        <v>0</v>
      </c>
      <c r="K350" s="35">
        <v>0</v>
      </c>
      <c r="L350" s="35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3</v>
      </c>
      <c r="AL350">
        <v>19</v>
      </c>
      <c r="AM350">
        <v>5</v>
      </c>
      <c r="AN350" s="23" t="s">
        <v>54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0</v>
      </c>
      <c r="AU350" s="33" t="str">
        <f t="shared" si="9"/>
        <v>库存为0</v>
      </c>
      <c r="AV350" s="38" t="str">
        <f>IFERROR(时间!$B$4+AU350,"上周无销量")</f>
        <v>上周无销量</v>
      </c>
    </row>
    <row r="351" spans="1:48">
      <c r="A351" s="21" t="s">
        <v>861</v>
      </c>
      <c r="B351" t="s">
        <v>276</v>
      </c>
      <c r="C351" t="s">
        <v>853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20</v>
      </c>
      <c r="J351" s="35">
        <v>0</v>
      </c>
      <c r="K351" s="35">
        <v>0</v>
      </c>
      <c r="L351" s="35">
        <v>0</v>
      </c>
      <c r="M351">
        <v>20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1</v>
      </c>
      <c r="AL351">
        <v>2</v>
      </c>
      <c r="AM351">
        <v>4</v>
      </c>
      <c r="AN351" s="23" t="s">
        <v>54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20</v>
      </c>
      <c r="AU351" s="33" t="str">
        <f t="shared" si="9"/>
        <v>库存为20</v>
      </c>
      <c r="AV351" s="38" t="str">
        <f>IFERROR(时间!$B$4+AU351,"上周无销量")</f>
        <v>上周无销量</v>
      </c>
    </row>
    <row r="352" spans="1:48">
      <c r="A352" s="21" t="s">
        <v>862</v>
      </c>
      <c r="B352" t="s">
        <v>280</v>
      </c>
      <c r="C352" t="s">
        <v>853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0</v>
      </c>
      <c r="J352" s="35">
        <v>0</v>
      </c>
      <c r="K352" s="35">
        <v>0</v>
      </c>
      <c r="L352" s="35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3</v>
      </c>
      <c r="AK352">
        <v>3</v>
      </c>
      <c r="AL352">
        <v>5</v>
      </c>
      <c r="AM352">
        <v>1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0</v>
      </c>
      <c r="AU352" s="33" t="str">
        <f t="shared" si="9"/>
        <v>库存为0</v>
      </c>
      <c r="AV352" s="38" t="str">
        <f>IFERROR(时间!$B$4+AU352,"上周无销量")</f>
        <v>上周无销量</v>
      </c>
    </row>
    <row r="353" spans="1:48">
      <c r="A353" s="21" t="s">
        <v>863</v>
      </c>
      <c r="B353" t="s">
        <v>284</v>
      </c>
      <c r="C353" t="s">
        <v>853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0</v>
      </c>
      <c r="J353" s="35">
        <v>0</v>
      </c>
      <c r="K353" s="35">
        <v>9</v>
      </c>
      <c r="L353" s="35">
        <v>0</v>
      </c>
      <c r="M353">
        <v>9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4</v>
      </c>
      <c r="AK353">
        <v>4</v>
      </c>
      <c r="AL353">
        <v>6</v>
      </c>
      <c r="AM353">
        <v>3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9</v>
      </c>
      <c r="AU353" s="33" t="str">
        <f t="shared" si="9"/>
        <v>库存为9</v>
      </c>
      <c r="AV353" s="38" t="str">
        <f>IFERROR(时间!$B$4+AU353,"上周无销量")</f>
        <v>上周无销量</v>
      </c>
    </row>
    <row r="354" spans="1:48">
      <c r="A354" s="21" t="s">
        <v>864</v>
      </c>
      <c r="B354" t="s">
        <v>288</v>
      </c>
      <c r="C354" t="s">
        <v>853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0</v>
      </c>
      <c r="J354" s="35">
        <v>0</v>
      </c>
      <c r="K354" s="35">
        <v>0</v>
      </c>
      <c r="L354" s="35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9</v>
      </c>
      <c r="AM354">
        <v>3</v>
      </c>
      <c r="AN354" s="23" t="s">
        <v>54</v>
      </c>
      <c r="AO354" s="23" t="s">
        <v>54</v>
      </c>
      <c r="AP354" s="23">
        <v>0</v>
      </c>
      <c r="AQ354" s="23">
        <v>0</v>
      </c>
      <c r="AR354" s="37">
        <v>0</v>
      </c>
      <c r="AS354" s="37">
        <v>0</v>
      </c>
      <c r="AT354" s="37">
        <v>0</v>
      </c>
      <c r="AU354" s="33" t="str">
        <f t="shared" si="9"/>
        <v>库存为0</v>
      </c>
      <c r="AV354" s="38" t="str">
        <f>IFERROR(时间!$B$4+AU354,"上周无销量")</f>
        <v>上周无销量</v>
      </c>
    </row>
    <row r="355" spans="1:48">
      <c r="A355" s="21" t="s">
        <v>865</v>
      </c>
      <c r="B355" t="s">
        <v>290</v>
      </c>
      <c r="C355" t="s">
        <v>853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0</v>
      </c>
      <c r="J355" s="35">
        <v>0</v>
      </c>
      <c r="K355" s="35">
        <v>7</v>
      </c>
      <c r="L355" s="35">
        <v>0</v>
      </c>
      <c r="M355">
        <v>7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3</v>
      </c>
      <c r="AK355">
        <v>1</v>
      </c>
      <c r="AL355">
        <v>3</v>
      </c>
      <c r="AM355">
        <v>5</v>
      </c>
      <c r="AN355" s="23">
        <v>0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7</v>
      </c>
      <c r="AU355" s="33" t="str">
        <f t="shared" si="9"/>
        <v>库存为7</v>
      </c>
      <c r="AV355" s="38" t="str">
        <f>IFERROR(时间!$B$4+AU355,"上周无销量")</f>
        <v>上周无销量</v>
      </c>
    </row>
    <row r="356" spans="1:48">
      <c r="A356" s="21" t="s">
        <v>866</v>
      </c>
      <c r="B356" t="s">
        <v>295</v>
      </c>
      <c r="C356" t="s">
        <v>853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0</v>
      </c>
      <c r="J356" s="35">
        <v>0</v>
      </c>
      <c r="K356" s="35">
        <v>0</v>
      </c>
      <c r="L356" s="35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5</v>
      </c>
      <c r="AK356">
        <v>4</v>
      </c>
      <c r="AL356">
        <v>2</v>
      </c>
      <c r="AM356">
        <v>2</v>
      </c>
      <c r="AN356" s="23">
        <v>0</v>
      </c>
      <c r="AO356" s="23">
        <v>0</v>
      </c>
      <c r="AP356" s="23">
        <v>0</v>
      </c>
      <c r="AQ356" s="23">
        <v>0</v>
      </c>
      <c r="AR356" s="37">
        <v>0</v>
      </c>
      <c r="AS356" s="37">
        <v>0</v>
      </c>
      <c r="AT356" s="37">
        <v>0</v>
      </c>
      <c r="AU356" s="33" t="str">
        <f t="shared" si="9"/>
        <v>库存为0</v>
      </c>
      <c r="AV356" s="38" t="str">
        <f>IFERROR(时间!$B$4+AU356,"上周无销量")</f>
        <v>上周无销量</v>
      </c>
    </row>
    <row r="357" spans="1:48">
      <c r="A357" s="21" t="s">
        <v>867</v>
      </c>
      <c r="B357" t="s">
        <v>298</v>
      </c>
      <c r="C357" t="s">
        <v>853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0</v>
      </c>
      <c r="J357" s="35">
        <v>0</v>
      </c>
      <c r="K357" s="35">
        <v>2</v>
      </c>
      <c r="L357" s="35">
        <v>20</v>
      </c>
      <c r="M357">
        <v>22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1</v>
      </c>
      <c r="AL357">
        <v>2</v>
      </c>
      <c r="AM357">
        <v>2</v>
      </c>
      <c r="AN357" s="23" t="s">
        <v>54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22</v>
      </c>
      <c r="AU357" s="33" t="str">
        <f t="shared" si="9"/>
        <v>库存为22</v>
      </c>
      <c r="AV357" s="38" t="str">
        <f>IFERROR(时间!$B$4+AU357,"上周无销量")</f>
        <v>上周无销量</v>
      </c>
    </row>
    <row r="358" spans="1:48">
      <c r="A358" s="21" t="s">
        <v>868</v>
      </c>
      <c r="B358" t="s">
        <v>301</v>
      </c>
      <c r="C358" t="s">
        <v>853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0</v>
      </c>
      <c r="J358" s="35">
        <v>0</v>
      </c>
      <c r="K358" s="35">
        <v>0</v>
      </c>
      <c r="L358" s="35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5</v>
      </c>
      <c r="AK358">
        <v>4</v>
      </c>
      <c r="AL358">
        <v>3</v>
      </c>
      <c r="AM358">
        <v>4</v>
      </c>
      <c r="AN358" s="23">
        <v>0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0</v>
      </c>
      <c r="AU358" s="33" t="str">
        <f t="shared" si="9"/>
        <v>库存为0</v>
      </c>
      <c r="AV358" s="38" t="str">
        <f>IFERROR(时间!$B$4+AU358,"上周无销量")</f>
        <v>上周无销量</v>
      </c>
    </row>
    <row r="359" spans="1:48">
      <c r="A359" s="21" t="s">
        <v>869</v>
      </c>
      <c r="B359" t="s">
        <v>305</v>
      </c>
      <c r="C359" t="s">
        <v>853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0</v>
      </c>
      <c r="J359" s="35">
        <v>0</v>
      </c>
      <c r="K359" s="35">
        <v>0</v>
      </c>
      <c r="L359" s="35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4</v>
      </c>
      <c r="AK359">
        <v>2</v>
      </c>
      <c r="AL359">
        <v>3</v>
      </c>
      <c r="AM359">
        <v>4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0</v>
      </c>
      <c r="AU359" s="33" t="str">
        <f t="shared" si="9"/>
        <v>库存为0</v>
      </c>
      <c r="AV359" s="38" t="str">
        <f>IFERROR(时间!$B$4+AU359,"上周无销量")</f>
        <v>上周无销量</v>
      </c>
    </row>
    <row r="360" spans="1:48">
      <c r="A360" s="21" t="s">
        <v>870</v>
      </c>
      <c r="B360" t="s">
        <v>307</v>
      </c>
      <c r="C360" t="s">
        <v>871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0</v>
      </c>
      <c r="J360" s="35">
        <v>0</v>
      </c>
      <c r="K360" s="35">
        <v>20</v>
      </c>
      <c r="L360" s="35">
        <v>0</v>
      </c>
      <c r="M360">
        <v>20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1</v>
      </c>
      <c r="AM360">
        <v>3</v>
      </c>
      <c r="AN360" s="23" t="s">
        <v>54</v>
      </c>
      <c r="AO360" s="23" t="s">
        <v>54</v>
      </c>
      <c r="AP360" s="23">
        <v>0</v>
      </c>
      <c r="AQ360" s="23">
        <v>0</v>
      </c>
      <c r="AR360" s="37">
        <v>0</v>
      </c>
      <c r="AS360" s="37">
        <v>0</v>
      </c>
      <c r="AT360" s="37">
        <v>20</v>
      </c>
      <c r="AU360" s="33" t="str">
        <f t="shared" si="9"/>
        <v>库存为20</v>
      </c>
      <c r="AV360" s="38" t="str">
        <f>IFERROR(时间!$B$4+AU360,"上周无销量")</f>
        <v>上周无销量</v>
      </c>
    </row>
    <row r="361" spans="1:48">
      <c r="A361" s="21" t="s">
        <v>872</v>
      </c>
      <c r="B361" t="s">
        <v>309</v>
      </c>
      <c r="C361" t="s">
        <v>871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0</v>
      </c>
      <c r="J361" s="35">
        <v>0</v>
      </c>
      <c r="K361" s="35">
        <v>0</v>
      </c>
      <c r="L361" s="35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1</v>
      </c>
      <c r="AL361">
        <v>5</v>
      </c>
      <c r="AM361">
        <v>2</v>
      </c>
      <c r="AN361" s="23" t="s">
        <v>54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0</v>
      </c>
      <c r="AU361" s="33" t="str">
        <f t="shared" si="9"/>
        <v>库存为0</v>
      </c>
      <c r="AV361" s="38" t="str">
        <f>IFERROR(时间!$B$4+AU361,"上周无销量")</f>
        <v>上周无销量</v>
      </c>
    </row>
    <row r="362" spans="1:48">
      <c r="A362" s="21" t="s">
        <v>873</v>
      </c>
      <c r="B362" t="s">
        <v>312</v>
      </c>
      <c r="C362" t="s">
        <v>871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0</v>
      </c>
      <c r="J362" s="35">
        <v>0</v>
      </c>
      <c r="K362" s="35">
        <v>0</v>
      </c>
      <c r="L362" s="35">
        <v>28</v>
      </c>
      <c r="M362">
        <v>28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5</v>
      </c>
      <c r="AM362">
        <v>1</v>
      </c>
      <c r="AN362" s="23" t="s">
        <v>54</v>
      </c>
      <c r="AO362" s="23" t="s">
        <v>54</v>
      </c>
      <c r="AP362" s="23">
        <v>0</v>
      </c>
      <c r="AQ362" s="23">
        <v>0</v>
      </c>
      <c r="AR362" s="37">
        <v>0</v>
      </c>
      <c r="AS362" s="37">
        <v>0</v>
      </c>
      <c r="AT362" s="37">
        <v>28</v>
      </c>
      <c r="AU362" s="33" t="str">
        <f t="shared" si="9"/>
        <v>库存为28</v>
      </c>
      <c r="AV362" s="38" t="str">
        <f>IFERROR(时间!$B$4+AU362,"上周无销量")</f>
        <v>上周无销量</v>
      </c>
    </row>
    <row r="363" spans="1:48">
      <c r="A363" s="21" t="s">
        <v>874</v>
      </c>
      <c r="B363" t="s">
        <v>314</v>
      </c>
      <c r="C363" t="s">
        <v>875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0</v>
      </c>
      <c r="J363" s="35">
        <v>0</v>
      </c>
      <c r="K363" s="35">
        <v>0</v>
      </c>
      <c r="L363" s="35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3</v>
      </c>
      <c r="AL363">
        <v>13</v>
      </c>
      <c r="AM363">
        <v>8</v>
      </c>
      <c r="AN363" s="23" t="s">
        <v>54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0</v>
      </c>
      <c r="AU363" s="33" t="str">
        <f t="shared" si="9"/>
        <v>库存为0</v>
      </c>
      <c r="AV363" s="38" t="str">
        <f>IFERROR(时间!$B$4+AU363,"上周无销量")</f>
        <v>上周无销量</v>
      </c>
    </row>
    <row r="364" spans="1:48">
      <c r="A364" s="21" t="s">
        <v>876</v>
      </c>
      <c r="B364" t="s">
        <v>319</v>
      </c>
      <c r="C364" t="s">
        <v>875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0</v>
      </c>
      <c r="J364" s="35">
        <v>0</v>
      </c>
      <c r="K364" s="35">
        <v>0</v>
      </c>
      <c r="L364" s="35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1</v>
      </c>
      <c r="AL364">
        <v>3</v>
      </c>
      <c r="AM364">
        <v>3</v>
      </c>
      <c r="AN364" s="23" t="s">
        <v>54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0</v>
      </c>
      <c r="AU364" s="33" t="str">
        <f t="shared" si="9"/>
        <v>库存为0</v>
      </c>
      <c r="AV364" s="38" t="str">
        <f>IFERROR(时间!$B$4+AU364,"上周无销量")</f>
        <v>上周无销量</v>
      </c>
    </row>
    <row r="365" spans="1:48">
      <c r="A365" s="21" t="s">
        <v>877</v>
      </c>
      <c r="B365" t="s">
        <v>321</v>
      </c>
      <c r="C365" t="s">
        <v>875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0</v>
      </c>
      <c r="J365" s="35">
        <v>0</v>
      </c>
      <c r="K365" s="35">
        <v>0</v>
      </c>
      <c r="L365" s="35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2</v>
      </c>
      <c r="AL365">
        <v>6</v>
      </c>
      <c r="AM365">
        <v>0</v>
      </c>
      <c r="AN365" s="23" t="s">
        <v>54</v>
      </c>
      <c r="AO365" s="23">
        <v>0</v>
      </c>
      <c r="AP365" s="23">
        <v>0</v>
      </c>
      <c r="AQ365" s="23" t="s">
        <v>54</v>
      </c>
      <c r="AR365" s="37">
        <v>0</v>
      </c>
      <c r="AS365" s="37">
        <v>0</v>
      </c>
      <c r="AT365" s="37">
        <v>0</v>
      </c>
      <c r="AU365" s="33" t="str">
        <f t="shared" si="9"/>
        <v>库存为0</v>
      </c>
      <c r="AV365" s="38" t="str">
        <f>IFERROR(时间!$B$4+AU365,"上周无销量")</f>
        <v>上周无销量</v>
      </c>
    </row>
    <row r="366" spans="1:48">
      <c r="A366" s="21" t="s">
        <v>878</v>
      </c>
      <c r="B366" t="s">
        <v>323</v>
      </c>
      <c r="C366" t="s">
        <v>875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0</v>
      </c>
      <c r="J366" s="35">
        <v>0</v>
      </c>
      <c r="K366" s="35">
        <v>0</v>
      </c>
      <c r="L366" s="35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2</v>
      </c>
      <c r="AL366">
        <v>7</v>
      </c>
      <c r="AM366">
        <v>10</v>
      </c>
      <c r="AN366" s="23" t="s">
        <v>54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0</v>
      </c>
      <c r="AU366" s="33" t="str">
        <f t="shared" si="9"/>
        <v>库存为0</v>
      </c>
      <c r="AV366" s="38" t="str">
        <f>IFERROR(时间!$B$4+AU366,"上周无销量")</f>
        <v>上周无销量</v>
      </c>
    </row>
    <row r="367" spans="1:48">
      <c r="A367" s="21" t="s">
        <v>879</v>
      </c>
      <c r="B367" t="s">
        <v>329</v>
      </c>
      <c r="C367" t="s">
        <v>875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1</v>
      </c>
      <c r="AK367">
        <v>0</v>
      </c>
      <c r="AL367">
        <v>8</v>
      </c>
      <c r="AM367">
        <v>1</v>
      </c>
      <c r="AN367" s="23">
        <v>0</v>
      </c>
      <c r="AO367" s="23" t="s">
        <v>54</v>
      </c>
      <c r="AP367" s="23">
        <v>0</v>
      </c>
      <c r="AQ367" s="23">
        <v>0</v>
      </c>
      <c r="AR367" s="37">
        <v>0</v>
      </c>
      <c r="AS367" s="37">
        <v>0</v>
      </c>
      <c r="AT367" s="37">
        <v>0</v>
      </c>
      <c r="AU367" s="33" t="str">
        <f t="shared" si="9"/>
        <v>库存为0</v>
      </c>
      <c r="AV367" s="38" t="str">
        <f>IFERROR(时间!$B$4+AU367,"上周无销量")</f>
        <v>上周无销量</v>
      </c>
    </row>
    <row r="368" spans="1:48">
      <c r="A368" s="21" t="s">
        <v>880</v>
      </c>
      <c r="B368" t="s">
        <v>331</v>
      </c>
      <c r="C368" t="s">
        <v>875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0</v>
      </c>
      <c r="J368" s="35">
        <v>0</v>
      </c>
      <c r="K368" s="35">
        <v>0</v>
      </c>
      <c r="L368" s="35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1</v>
      </c>
      <c r="AL368">
        <v>15</v>
      </c>
      <c r="AM368">
        <v>9</v>
      </c>
      <c r="AN368" s="23" t="s">
        <v>54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0</v>
      </c>
      <c r="AU368" s="33" t="str">
        <f t="shared" si="9"/>
        <v>库存为0</v>
      </c>
      <c r="AV368" s="38" t="str">
        <f>IFERROR(时间!$B$4+AU368,"上周无销量")</f>
        <v>上周无销量</v>
      </c>
    </row>
    <row r="369" spans="1:48">
      <c r="A369" s="21" t="s">
        <v>881</v>
      </c>
      <c r="B369" t="s">
        <v>338</v>
      </c>
      <c r="C369" t="s">
        <v>882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0</v>
      </c>
      <c r="J369" s="35">
        <v>0</v>
      </c>
      <c r="K369" s="35">
        <v>0</v>
      </c>
      <c r="L369" s="35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7</v>
      </c>
      <c r="AM369">
        <v>3</v>
      </c>
      <c r="AN369" s="23" t="s">
        <v>54</v>
      </c>
      <c r="AO369" s="23" t="s">
        <v>54</v>
      </c>
      <c r="AP369" s="23">
        <v>0</v>
      </c>
      <c r="AQ369" s="23">
        <v>0</v>
      </c>
      <c r="AR369" s="37">
        <v>0</v>
      </c>
      <c r="AS369" s="37">
        <v>0</v>
      </c>
      <c r="AT369" s="37">
        <v>0</v>
      </c>
      <c r="AU369" s="33" t="str">
        <f t="shared" si="9"/>
        <v>库存为0</v>
      </c>
      <c r="AV369" s="38" t="str">
        <f>IFERROR(时间!$B$4+AU369,"上周无销量")</f>
        <v>上周无销量</v>
      </c>
    </row>
    <row r="370" spans="1:48">
      <c r="A370" s="21" t="s">
        <v>883</v>
      </c>
      <c r="B370" t="s">
        <v>340</v>
      </c>
      <c r="C370" t="s">
        <v>884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9</v>
      </c>
      <c r="AM370">
        <v>4</v>
      </c>
      <c r="AN370" s="23" t="s">
        <v>54</v>
      </c>
      <c r="AO370" s="23" t="s">
        <v>54</v>
      </c>
      <c r="AP370" s="23">
        <v>0</v>
      </c>
      <c r="AQ370" s="23">
        <v>0</v>
      </c>
      <c r="AR370" s="37">
        <v>0</v>
      </c>
      <c r="AS370" s="37">
        <v>0</v>
      </c>
      <c r="AT370" s="37">
        <v>0</v>
      </c>
      <c r="AU370" s="33" t="str">
        <f t="shared" si="9"/>
        <v>库存为0</v>
      </c>
      <c r="AV370" s="38" t="str">
        <f>IFERROR(时间!$B$4+AU370,"上周无销量")</f>
        <v>上周无销量</v>
      </c>
    </row>
    <row r="371" spans="1:48">
      <c r="A371" s="21" t="s">
        <v>885</v>
      </c>
      <c r="B371" t="s">
        <v>345</v>
      </c>
      <c r="C371" t="s">
        <v>884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0</v>
      </c>
      <c r="J371" s="35">
        <v>0</v>
      </c>
      <c r="K371" s="35">
        <v>0</v>
      </c>
      <c r="L371" s="35">
        <v>3</v>
      </c>
      <c r="M371">
        <v>3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6</v>
      </c>
      <c r="AM371">
        <v>2</v>
      </c>
      <c r="AN371" s="23" t="s">
        <v>54</v>
      </c>
      <c r="AO371" s="23" t="s">
        <v>54</v>
      </c>
      <c r="AP371" s="23">
        <v>0</v>
      </c>
      <c r="AQ371" s="23">
        <v>0</v>
      </c>
      <c r="AR371" s="37">
        <v>0</v>
      </c>
      <c r="AS371" s="37">
        <v>0</v>
      </c>
      <c r="AT371" s="37">
        <v>3</v>
      </c>
      <c r="AU371" s="33" t="str">
        <f t="shared" si="9"/>
        <v>库存为3</v>
      </c>
      <c r="AV371" s="38" t="str">
        <f>IFERROR(时间!$B$4+AU371,"上周无销量")</f>
        <v>上周无销量</v>
      </c>
    </row>
    <row r="372" spans="1:48">
      <c r="A372" s="21" t="s">
        <v>886</v>
      </c>
      <c r="B372" t="s">
        <v>347</v>
      </c>
      <c r="C372" t="s">
        <v>887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0</v>
      </c>
      <c r="J372" s="35">
        <v>0</v>
      </c>
      <c r="K372" s="35">
        <v>2</v>
      </c>
      <c r="L372" s="35">
        <v>0</v>
      </c>
      <c r="M372">
        <v>2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3</v>
      </c>
      <c r="AM372">
        <v>2</v>
      </c>
      <c r="AN372" s="23" t="s">
        <v>54</v>
      </c>
      <c r="AO372" s="23" t="s">
        <v>54</v>
      </c>
      <c r="AP372" s="23">
        <v>0</v>
      </c>
      <c r="AQ372" s="23">
        <v>0</v>
      </c>
      <c r="AR372" s="37">
        <v>0</v>
      </c>
      <c r="AS372" s="37">
        <v>0</v>
      </c>
      <c r="AT372" s="37">
        <v>2</v>
      </c>
      <c r="AU372" s="33" t="str">
        <f t="shared" si="9"/>
        <v>库存为2</v>
      </c>
      <c r="AV372" s="38" t="str">
        <f>IFERROR(时间!$B$4+AU372,"上周无销量")</f>
        <v>上周无销量</v>
      </c>
    </row>
    <row r="373" spans="1:48">
      <c r="A373" s="21" t="s">
        <v>888</v>
      </c>
      <c r="B373" t="s">
        <v>374</v>
      </c>
      <c r="C373" t="s">
        <v>887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0</v>
      </c>
      <c r="J373" s="35">
        <v>0</v>
      </c>
      <c r="K373" s="35">
        <v>0</v>
      </c>
      <c r="L373" s="35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6</v>
      </c>
      <c r="AM373">
        <v>4</v>
      </c>
      <c r="AN373" s="23" t="s">
        <v>54</v>
      </c>
      <c r="AO373" s="23" t="s">
        <v>54</v>
      </c>
      <c r="AP373" s="23">
        <v>0</v>
      </c>
      <c r="AQ373" s="23">
        <v>0</v>
      </c>
      <c r="AR373" s="37">
        <v>0</v>
      </c>
      <c r="AS373" s="37">
        <v>0</v>
      </c>
      <c r="AT373" s="37">
        <v>0</v>
      </c>
      <c r="AU373" s="33" t="str">
        <f t="shared" si="9"/>
        <v>库存为0</v>
      </c>
      <c r="AV373" s="38" t="str">
        <f>IFERROR(时间!$B$4+AU373,"上周无销量")</f>
        <v>上周无销量</v>
      </c>
    </row>
    <row r="374" spans="1:48">
      <c r="A374" s="21" t="s">
        <v>889</v>
      </c>
      <c r="B374" t="s">
        <v>378</v>
      </c>
      <c r="C374" t="s">
        <v>887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0</v>
      </c>
      <c r="J374" s="35">
        <v>0</v>
      </c>
      <c r="K374" s="35">
        <v>0</v>
      </c>
      <c r="L374" s="35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5</v>
      </c>
      <c r="AM374">
        <v>4</v>
      </c>
      <c r="AN374" s="23" t="s">
        <v>54</v>
      </c>
      <c r="AO374" s="23" t="s">
        <v>54</v>
      </c>
      <c r="AP374" s="23">
        <v>0</v>
      </c>
      <c r="AQ374" s="23">
        <v>0</v>
      </c>
      <c r="AR374" s="37">
        <v>0</v>
      </c>
      <c r="AS374" s="37">
        <v>0</v>
      </c>
      <c r="AT374" s="37">
        <v>0</v>
      </c>
      <c r="AU374" s="33" t="str">
        <f t="shared" si="9"/>
        <v>库存为0</v>
      </c>
      <c r="AV374" s="38" t="str">
        <f>IFERROR(时间!$B$4+AU374,"上周无销量")</f>
        <v>上周无销量</v>
      </c>
    </row>
    <row r="375" spans="1:48">
      <c r="A375" s="21" t="s">
        <v>890</v>
      </c>
      <c r="B375" t="s">
        <v>409</v>
      </c>
      <c r="C375" t="s">
        <v>887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0</v>
      </c>
      <c r="J375" s="35">
        <v>0</v>
      </c>
      <c r="K375" s="35">
        <v>0</v>
      </c>
      <c r="L375" s="35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1</v>
      </c>
      <c r="AL375">
        <v>7</v>
      </c>
      <c r="AM375">
        <v>5</v>
      </c>
      <c r="AN375" s="23" t="s">
        <v>54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0</v>
      </c>
      <c r="AU375" s="33" t="str">
        <f t="shared" si="9"/>
        <v>库存为0</v>
      </c>
      <c r="AV375" s="38" t="str">
        <f>IFERROR(时间!$B$4+AU375,"上周无销量")</f>
        <v>上周无销量</v>
      </c>
    </row>
    <row r="376" spans="1:48">
      <c r="A376" s="21" t="s">
        <v>891</v>
      </c>
      <c r="B376" t="s">
        <v>413</v>
      </c>
      <c r="C376" t="s">
        <v>887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0</v>
      </c>
      <c r="J376" s="35">
        <v>0</v>
      </c>
      <c r="K376" s="35">
        <v>0</v>
      </c>
      <c r="L376" s="35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9</v>
      </c>
      <c r="AM376">
        <v>2</v>
      </c>
      <c r="AN376" s="23" t="s">
        <v>54</v>
      </c>
      <c r="AO376" s="23" t="s">
        <v>54</v>
      </c>
      <c r="AP376" s="23">
        <v>0</v>
      </c>
      <c r="AQ376" s="23">
        <v>0</v>
      </c>
      <c r="AR376" s="37">
        <v>0</v>
      </c>
      <c r="AS376" s="37">
        <v>0</v>
      </c>
      <c r="AT376" s="37">
        <v>0</v>
      </c>
      <c r="AU376" s="33" t="str">
        <f t="shared" si="9"/>
        <v>库存为0</v>
      </c>
      <c r="AV376" s="38" t="str">
        <f>IFERROR(时间!$B$4+AU376,"上周无销量")</f>
        <v>上周无销量</v>
      </c>
    </row>
    <row r="377" spans="1:48">
      <c r="A377" s="21" t="s">
        <v>892</v>
      </c>
      <c r="B377" t="s">
        <v>417</v>
      </c>
      <c r="C377" t="s">
        <v>887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3</v>
      </c>
      <c r="L377" s="35">
        <v>17</v>
      </c>
      <c r="M377">
        <v>20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5</v>
      </c>
      <c r="AK377">
        <v>2</v>
      </c>
      <c r="AL377">
        <v>9</v>
      </c>
      <c r="AM377">
        <v>4</v>
      </c>
      <c r="AN377" s="23">
        <v>0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20</v>
      </c>
      <c r="AU377" s="33" t="str">
        <f t="shared" si="9"/>
        <v>库存为20</v>
      </c>
      <c r="AV377" s="38" t="str">
        <f>IFERROR(时间!$B$4+AU377,"上周无销量")</f>
        <v>上周无销量</v>
      </c>
    </row>
    <row r="378" spans="1:48">
      <c r="A378" s="21" t="s">
        <v>893</v>
      </c>
      <c r="B378" t="s">
        <v>420</v>
      </c>
      <c r="C378" t="s">
        <v>887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2</v>
      </c>
      <c r="AL378">
        <v>6</v>
      </c>
      <c r="AM378">
        <v>4</v>
      </c>
      <c r="AN378" s="23" t="s">
        <v>54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0</v>
      </c>
      <c r="AU378" s="33" t="str">
        <f t="shared" si="9"/>
        <v>库存为0</v>
      </c>
      <c r="AV378" s="38" t="str">
        <f>IFERROR(时间!$B$4+AU378,"上周无销量")</f>
        <v>上周无销量</v>
      </c>
    </row>
    <row r="379" spans="1:48">
      <c r="A379" s="21" t="s">
        <v>894</v>
      </c>
      <c r="B379" t="s">
        <v>422</v>
      </c>
      <c r="C379" t="s">
        <v>887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0</v>
      </c>
      <c r="J379" s="35">
        <v>0</v>
      </c>
      <c r="K379" s="35">
        <v>0</v>
      </c>
      <c r="L379" s="35">
        <v>32</v>
      </c>
      <c r="M379">
        <v>32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5</v>
      </c>
      <c r="AK379">
        <v>4</v>
      </c>
      <c r="AL379">
        <v>6</v>
      </c>
      <c r="AM379">
        <v>6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32</v>
      </c>
      <c r="AU379" s="33" t="str">
        <f t="shared" si="9"/>
        <v>库存为32</v>
      </c>
      <c r="AV379" s="38" t="str">
        <f>IFERROR(时间!$B$4+AU379,"上周无销量")</f>
        <v>上周无销量</v>
      </c>
    </row>
    <row r="380" spans="1:48">
      <c r="A380" s="21" t="s">
        <v>895</v>
      </c>
      <c r="B380" t="s">
        <v>426</v>
      </c>
      <c r="C380" t="s">
        <v>887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0</v>
      </c>
      <c r="J380" s="35">
        <v>0</v>
      </c>
      <c r="K380" s="35">
        <v>20</v>
      </c>
      <c r="L380" s="35">
        <v>0</v>
      </c>
      <c r="M380">
        <v>20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2</v>
      </c>
      <c r="AK380">
        <v>3</v>
      </c>
      <c r="AL380">
        <v>9</v>
      </c>
      <c r="AM380">
        <v>1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20</v>
      </c>
      <c r="AU380" s="33" t="str">
        <f t="shared" si="9"/>
        <v>库存为20</v>
      </c>
      <c r="AV380" s="38" t="str">
        <f>IFERROR(时间!$B$4+AU380,"上周无销量")</f>
        <v>上周无销量</v>
      </c>
    </row>
    <row r="381" spans="1:48">
      <c r="A381" s="21" t="s">
        <v>896</v>
      </c>
      <c r="B381" t="s">
        <v>429</v>
      </c>
      <c r="C381" t="s">
        <v>887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0</v>
      </c>
      <c r="J381" s="35">
        <v>0</v>
      </c>
      <c r="K381" s="35">
        <v>6</v>
      </c>
      <c r="L381" s="35">
        <v>0</v>
      </c>
      <c r="M381">
        <v>6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5</v>
      </c>
      <c r="AK381">
        <v>3</v>
      </c>
      <c r="AL381">
        <v>10</v>
      </c>
      <c r="AM381">
        <v>10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6</v>
      </c>
      <c r="AU381" s="33" t="str">
        <f t="shared" si="9"/>
        <v>库存为6</v>
      </c>
      <c r="AV381" s="38" t="str">
        <f>IFERROR(时间!$B$4+AU381,"上周无销量")</f>
        <v>上周无销量</v>
      </c>
    </row>
    <row r="382" spans="1:48">
      <c r="A382" s="21" t="s">
        <v>897</v>
      </c>
      <c r="B382" t="s">
        <v>432</v>
      </c>
      <c r="C382" t="s">
        <v>887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0</v>
      </c>
      <c r="J382" s="35">
        <v>0</v>
      </c>
      <c r="K382" s="35">
        <v>0</v>
      </c>
      <c r="L382" s="35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8</v>
      </c>
      <c r="AK382">
        <v>2</v>
      </c>
      <c r="AL382">
        <v>10</v>
      </c>
      <c r="AM382">
        <v>8</v>
      </c>
      <c r="AN382" s="23">
        <v>0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0</v>
      </c>
      <c r="AU382" s="33" t="str">
        <f t="shared" si="9"/>
        <v>库存为0</v>
      </c>
      <c r="AV382" s="38" t="str">
        <f>IFERROR(时间!$B$4+AU382,"上周无销量")</f>
        <v>上周无销量</v>
      </c>
    </row>
    <row r="383" spans="1:48">
      <c r="A383" s="21" t="s">
        <v>898</v>
      </c>
      <c r="B383" t="s">
        <v>435</v>
      </c>
      <c r="C383" t="s">
        <v>887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0</v>
      </c>
      <c r="J383" s="35">
        <v>0</v>
      </c>
      <c r="K383" s="35">
        <v>20</v>
      </c>
      <c r="L383" s="35">
        <v>0</v>
      </c>
      <c r="M383">
        <v>20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10</v>
      </c>
      <c r="AK383">
        <v>2</v>
      </c>
      <c r="AL383">
        <v>10</v>
      </c>
      <c r="AM383">
        <v>15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20</v>
      </c>
      <c r="AU383" s="33" t="str">
        <f t="shared" si="9"/>
        <v>库存为20</v>
      </c>
      <c r="AV383" s="38" t="str">
        <f>IFERROR(时间!$B$4+AU383,"上周无销量")</f>
        <v>上周无销量</v>
      </c>
    </row>
    <row r="384" spans="1:48">
      <c r="A384" s="21" t="s">
        <v>899</v>
      </c>
      <c r="B384" t="s">
        <v>439</v>
      </c>
      <c r="C384" t="s">
        <v>900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0</v>
      </c>
      <c r="J384" s="35">
        <v>0</v>
      </c>
      <c r="K384" s="35">
        <v>0</v>
      </c>
      <c r="L384" s="35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7</v>
      </c>
      <c r="AK384">
        <v>2</v>
      </c>
      <c r="AL384">
        <v>8</v>
      </c>
      <c r="AM384">
        <v>8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0</v>
      </c>
      <c r="AU384" s="33" t="str">
        <f t="shared" si="9"/>
        <v>库存为0</v>
      </c>
      <c r="AV384" s="38" t="str">
        <f>IFERROR(时间!$B$4+AU384,"上周无销量")</f>
        <v>上周无销量</v>
      </c>
    </row>
    <row r="385" spans="1:48">
      <c r="A385" s="21" t="s">
        <v>901</v>
      </c>
      <c r="B385" t="s">
        <v>441</v>
      </c>
      <c r="C385" t="s">
        <v>900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0</v>
      </c>
      <c r="J385" s="35">
        <v>0</v>
      </c>
      <c r="K385" s="35">
        <v>0</v>
      </c>
      <c r="L385" s="35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10</v>
      </c>
      <c r="AK385">
        <v>13</v>
      </c>
      <c r="AL385">
        <v>9</v>
      </c>
      <c r="AM385">
        <v>11</v>
      </c>
      <c r="AN385" s="23">
        <v>0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0</v>
      </c>
      <c r="AU385" s="33" t="str">
        <f t="shared" si="9"/>
        <v>库存为0</v>
      </c>
      <c r="AV385" s="38" t="str">
        <f>IFERROR(时间!$B$4+AU385,"上周无销量")</f>
        <v>上周无销量</v>
      </c>
    </row>
    <row r="386" spans="1:48">
      <c r="A386" s="21" t="s">
        <v>902</v>
      </c>
      <c r="B386" t="s">
        <v>444</v>
      </c>
      <c r="C386" t="s">
        <v>900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0</v>
      </c>
      <c r="J386" s="35">
        <v>0</v>
      </c>
      <c r="K386" s="35">
        <v>3</v>
      </c>
      <c r="L386" s="35">
        <v>0</v>
      </c>
      <c r="M386">
        <v>3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16</v>
      </c>
      <c r="AK386">
        <v>6</v>
      </c>
      <c r="AL386">
        <v>10</v>
      </c>
      <c r="AM386">
        <v>9</v>
      </c>
      <c r="AN386" s="23">
        <v>0</v>
      </c>
      <c r="AO386" s="23">
        <v>0</v>
      </c>
      <c r="AP386" s="23">
        <v>0</v>
      </c>
      <c r="AQ386" s="23">
        <v>0</v>
      </c>
      <c r="AR386" s="37">
        <v>0</v>
      </c>
      <c r="AS386" s="37">
        <v>0</v>
      </c>
      <c r="AT386" s="37">
        <v>3</v>
      </c>
      <c r="AU386" s="33" t="str">
        <f t="shared" si="9"/>
        <v>库存为3</v>
      </c>
      <c r="AV386" s="38" t="str">
        <f>IFERROR(时间!$B$4+AU386,"上周无销量")</f>
        <v>上周无销量</v>
      </c>
    </row>
    <row r="387" spans="1:48">
      <c r="A387" s="21" t="s">
        <v>903</v>
      </c>
      <c r="B387" t="s">
        <v>447</v>
      </c>
      <c r="C387" t="s">
        <v>900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0</v>
      </c>
      <c r="J387" s="35">
        <v>0</v>
      </c>
      <c r="K387" s="35">
        <v>0</v>
      </c>
      <c r="L387" s="35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4</v>
      </c>
      <c r="AM387">
        <v>9</v>
      </c>
      <c r="AN387" s="23" t="s">
        <v>54</v>
      </c>
      <c r="AO387" s="23" t="s">
        <v>54</v>
      </c>
      <c r="AP387" s="23">
        <v>0</v>
      </c>
      <c r="AQ387" s="23">
        <v>0</v>
      </c>
      <c r="AR387" s="37">
        <v>0</v>
      </c>
      <c r="AS387" s="37">
        <v>0</v>
      </c>
      <c r="AT387" s="37">
        <v>0</v>
      </c>
      <c r="AU387" s="33" t="str">
        <f t="shared" si="9"/>
        <v>库存为0</v>
      </c>
      <c r="AV387" s="38" t="str">
        <f>IFERROR(时间!$B$4+AU387,"上周无销量")</f>
        <v>上周无销量</v>
      </c>
    </row>
    <row r="388" spans="1:48">
      <c r="A388" s="21" t="s">
        <v>904</v>
      </c>
      <c r="B388" t="s">
        <v>450</v>
      </c>
      <c r="C388" t="s">
        <v>900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4</v>
      </c>
      <c r="AM388">
        <v>2</v>
      </c>
      <c r="AN388" s="23" t="s">
        <v>54</v>
      </c>
      <c r="AO388" s="23" t="s">
        <v>54</v>
      </c>
      <c r="AP388" s="23">
        <v>0</v>
      </c>
      <c r="AQ388" s="23">
        <v>0</v>
      </c>
      <c r="AR388" s="37">
        <v>0</v>
      </c>
      <c r="AS388" s="37">
        <v>0</v>
      </c>
      <c r="AT388" s="37">
        <v>0</v>
      </c>
      <c r="AU388" s="33" t="str">
        <f t="shared" si="9"/>
        <v>库存为0</v>
      </c>
      <c r="AV388" s="38" t="str">
        <f>IFERROR(时间!$B$4+AU388,"上周无销量")</f>
        <v>上周无销量</v>
      </c>
    </row>
    <row r="389" spans="1:48">
      <c r="A389" s="21" t="s">
        <v>905</v>
      </c>
      <c r="B389" t="s">
        <v>454</v>
      </c>
      <c r="C389" t="s">
        <v>900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11</v>
      </c>
      <c r="AK389">
        <v>17</v>
      </c>
      <c r="AL389">
        <v>9</v>
      </c>
      <c r="AM389">
        <v>15</v>
      </c>
      <c r="AN389" s="23">
        <v>0</v>
      </c>
      <c r="AO389" s="23">
        <v>0</v>
      </c>
      <c r="AP389" s="23">
        <v>0</v>
      </c>
      <c r="AQ389" s="23">
        <v>0</v>
      </c>
      <c r="AR389" s="37">
        <v>0</v>
      </c>
      <c r="AS389" s="37">
        <v>0</v>
      </c>
      <c r="AT389" s="37">
        <v>0</v>
      </c>
      <c r="AU389" s="33" t="str">
        <f t="shared" ref="AU389:AU452" si="10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906</v>
      </c>
      <c r="B390" t="s">
        <v>459</v>
      </c>
      <c r="C390" t="s">
        <v>900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0</v>
      </c>
      <c r="J390" s="35">
        <v>0</v>
      </c>
      <c r="K390" s="35">
        <v>0</v>
      </c>
      <c r="L390" s="35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8</v>
      </c>
      <c r="AK390">
        <v>7</v>
      </c>
      <c r="AL390">
        <v>4</v>
      </c>
      <c r="AM390">
        <v>16</v>
      </c>
      <c r="AN390" s="23">
        <v>0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0</v>
      </c>
      <c r="AU390" s="33" t="str">
        <f t="shared" si="10"/>
        <v>库存为0</v>
      </c>
      <c r="AV390" s="38" t="str">
        <f>IFERROR(时间!$B$4+AU390,"上周无销量")</f>
        <v>上周无销量</v>
      </c>
    </row>
    <row r="391" spans="1:48">
      <c r="A391" s="21" t="s">
        <v>907</v>
      </c>
      <c r="B391" t="s">
        <v>466</v>
      </c>
      <c r="C391" t="s">
        <v>900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0</v>
      </c>
      <c r="J391" s="35">
        <v>0</v>
      </c>
      <c r="K391" s="35">
        <v>0</v>
      </c>
      <c r="L391" s="35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1</v>
      </c>
      <c r="AL391">
        <v>1</v>
      </c>
      <c r="AM391">
        <v>5</v>
      </c>
      <c r="AN391" s="23" t="s">
        <v>54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0</v>
      </c>
      <c r="AU391" s="33" t="str">
        <f t="shared" si="10"/>
        <v>库存为0</v>
      </c>
      <c r="AV391" s="38" t="str">
        <f>IFERROR(时间!$B$4+AU391,"上周无销量")</f>
        <v>上周无销量</v>
      </c>
    </row>
    <row r="392" spans="1:48">
      <c r="A392" s="21" t="s">
        <v>908</v>
      </c>
      <c r="B392" t="s">
        <v>468</v>
      </c>
      <c r="C392" t="s">
        <v>900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0</v>
      </c>
      <c r="J392" s="35">
        <v>0</v>
      </c>
      <c r="K392" s="35">
        <v>0</v>
      </c>
      <c r="L392" s="35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5</v>
      </c>
      <c r="AM392">
        <v>13</v>
      </c>
      <c r="AN392" s="23" t="s">
        <v>54</v>
      </c>
      <c r="AO392" s="23" t="s">
        <v>54</v>
      </c>
      <c r="AP392" s="23">
        <v>0</v>
      </c>
      <c r="AQ392" s="23">
        <v>0</v>
      </c>
      <c r="AR392" s="37">
        <v>0</v>
      </c>
      <c r="AS392" s="37">
        <v>0</v>
      </c>
      <c r="AT392" s="37">
        <v>0</v>
      </c>
      <c r="AU392" s="33" t="str">
        <f t="shared" si="10"/>
        <v>库存为0</v>
      </c>
      <c r="AV392" s="38" t="str">
        <f>IFERROR(时间!$B$4+AU392,"上周无销量")</f>
        <v>上周无销量</v>
      </c>
    </row>
    <row r="393" spans="1:48">
      <c r="A393" s="21" t="s">
        <v>909</v>
      </c>
      <c r="B393" t="s">
        <v>470</v>
      </c>
      <c r="C393" t="s">
        <v>900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0</v>
      </c>
      <c r="J393" s="35">
        <v>0</v>
      </c>
      <c r="K393" s="35">
        <v>3</v>
      </c>
      <c r="L393" s="35">
        <v>0</v>
      </c>
      <c r="M393">
        <v>3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2</v>
      </c>
      <c r="AK393">
        <v>10</v>
      </c>
      <c r="AL393">
        <v>15</v>
      </c>
      <c r="AM393">
        <v>27</v>
      </c>
      <c r="AN393" s="23">
        <v>0</v>
      </c>
      <c r="AO393" s="23">
        <v>0</v>
      </c>
      <c r="AP393" s="23">
        <v>0</v>
      </c>
      <c r="AQ393" s="23">
        <v>0</v>
      </c>
      <c r="AR393" s="37">
        <v>0</v>
      </c>
      <c r="AS393" s="37">
        <v>0</v>
      </c>
      <c r="AT393" s="37">
        <v>3</v>
      </c>
      <c r="AU393" s="33" t="str">
        <f t="shared" si="10"/>
        <v>库存为3</v>
      </c>
      <c r="AV393" s="38" t="str">
        <f>IFERROR(时间!$B$4+AU393,"上周无销量")</f>
        <v>上周无销量</v>
      </c>
    </row>
    <row r="394" spans="1:48">
      <c r="A394" s="21" t="s">
        <v>910</v>
      </c>
      <c r="B394" t="s">
        <v>475</v>
      </c>
      <c r="C394" t="s">
        <v>911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0</v>
      </c>
      <c r="J394" s="35">
        <v>0</v>
      </c>
      <c r="K394" s="35">
        <v>0</v>
      </c>
      <c r="L394" s="35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1</v>
      </c>
      <c r="AL394">
        <v>7</v>
      </c>
      <c r="AM394">
        <v>8</v>
      </c>
      <c r="AN394" s="23" t="s">
        <v>54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0</v>
      </c>
      <c r="AU394" s="33" t="str">
        <f t="shared" si="10"/>
        <v>库存为0</v>
      </c>
      <c r="AV394" s="38" t="str">
        <f>IFERROR(时间!$B$4+AU394,"上周无销量")</f>
        <v>上周无销量</v>
      </c>
    </row>
    <row r="395" spans="1:48">
      <c r="A395" s="21" t="s">
        <v>912</v>
      </c>
      <c r="B395" t="s">
        <v>485</v>
      </c>
      <c r="C395" t="s">
        <v>911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0</v>
      </c>
      <c r="J395" s="35">
        <v>0</v>
      </c>
      <c r="K395" s="35">
        <v>0</v>
      </c>
      <c r="L395" s="35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10</v>
      </c>
      <c r="AL395">
        <v>46</v>
      </c>
      <c r="AM395">
        <v>27</v>
      </c>
      <c r="AN395" s="23" t="s">
        <v>54</v>
      </c>
      <c r="AO395" s="23">
        <v>0</v>
      </c>
      <c r="AP395" s="23">
        <v>0</v>
      </c>
      <c r="AQ395" s="23">
        <v>0</v>
      </c>
      <c r="AR395" s="37">
        <v>0</v>
      </c>
      <c r="AS395" s="37">
        <v>0</v>
      </c>
      <c r="AT395" s="37">
        <v>0</v>
      </c>
      <c r="AU395" s="33" t="str">
        <f t="shared" si="10"/>
        <v>库存为0</v>
      </c>
      <c r="AV395" s="38" t="str">
        <f>IFERROR(时间!$B$4+AU395,"上周无销量")</f>
        <v>上周无销量</v>
      </c>
    </row>
    <row r="396" spans="1:48">
      <c r="A396" s="21" t="s">
        <v>913</v>
      </c>
      <c r="B396" t="s">
        <v>479</v>
      </c>
      <c r="C396" t="s">
        <v>911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0</v>
      </c>
      <c r="J396" s="35">
        <v>0</v>
      </c>
      <c r="K396" s="35">
        <v>0</v>
      </c>
      <c r="L396" s="35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1</v>
      </c>
      <c r="AL396">
        <v>3</v>
      </c>
      <c r="AM396">
        <v>10</v>
      </c>
      <c r="AN396" s="23" t="s">
        <v>54</v>
      </c>
      <c r="AO396" s="23">
        <v>0</v>
      </c>
      <c r="AP396" s="23">
        <v>0</v>
      </c>
      <c r="AQ396" s="23">
        <v>0</v>
      </c>
      <c r="AR396" s="37">
        <v>0</v>
      </c>
      <c r="AS396" s="37">
        <v>0</v>
      </c>
      <c r="AT396" s="37">
        <v>0</v>
      </c>
      <c r="AU396" s="33" t="str">
        <f t="shared" si="10"/>
        <v>库存为0</v>
      </c>
      <c r="AV396" s="38" t="str">
        <f>IFERROR(时间!$B$4+AU396,"上周无销量")</f>
        <v>上周无销量</v>
      </c>
    </row>
    <row r="397" spans="1:48">
      <c r="A397" s="21" t="s">
        <v>914</v>
      </c>
      <c r="B397" t="s">
        <v>492</v>
      </c>
      <c r="C397" t="s">
        <v>911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0</v>
      </c>
      <c r="J397" s="35">
        <v>0</v>
      </c>
      <c r="K397" s="35">
        <v>4</v>
      </c>
      <c r="L397" s="35">
        <v>0</v>
      </c>
      <c r="M397">
        <v>4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2</v>
      </c>
      <c r="AL397">
        <v>10</v>
      </c>
      <c r="AM397">
        <v>8</v>
      </c>
      <c r="AN397" s="23" t="s">
        <v>54</v>
      </c>
      <c r="AO397" s="23">
        <v>0</v>
      </c>
      <c r="AP397" s="23">
        <v>0</v>
      </c>
      <c r="AQ397" s="23">
        <v>0</v>
      </c>
      <c r="AR397" s="37">
        <v>0</v>
      </c>
      <c r="AS397" s="37">
        <v>0</v>
      </c>
      <c r="AT397" s="37">
        <v>4</v>
      </c>
      <c r="AU397" s="33" t="str">
        <f t="shared" si="10"/>
        <v>库存为4</v>
      </c>
      <c r="AV397" s="38" t="str">
        <f>IFERROR(时间!$B$4+AU397,"上周无销量")</f>
        <v>上周无销量</v>
      </c>
    </row>
    <row r="398" spans="1:48">
      <c r="A398" s="21" t="s">
        <v>915</v>
      </c>
      <c r="B398" t="s">
        <v>498</v>
      </c>
      <c r="C398" t="s">
        <v>911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0</v>
      </c>
      <c r="J398" s="35">
        <v>0</v>
      </c>
      <c r="K398" s="35">
        <v>0</v>
      </c>
      <c r="L398" s="35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1</v>
      </c>
      <c r="AK398">
        <v>2</v>
      </c>
      <c r="AL398">
        <v>5</v>
      </c>
      <c r="AM398">
        <v>1</v>
      </c>
      <c r="AN398" s="23">
        <v>0</v>
      </c>
      <c r="AO398" s="23">
        <v>0</v>
      </c>
      <c r="AP398" s="23">
        <v>0</v>
      </c>
      <c r="AQ398" s="23">
        <v>0</v>
      </c>
      <c r="AR398" s="37">
        <v>0</v>
      </c>
      <c r="AS398" s="37">
        <v>0</v>
      </c>
      <c r="AT398" s="37">
        <v>0</v>
      </c>
      <c r="AU398" s="33" t="str">
        <f t="shared" si="10"/>
        <v>库存为0</v>
      </c>
      <c r="AV398" s="38" t="str">
        <f>IFERROR(时间!$B$4+AU398,"上周无销量")</f>
        <v>上周无销量</v>
      </c>
    </row>
    <row r="399" spans="1:48">
      <c r="A399" s="21" t="s">
        <v>916</v>
      </c>
      <c r="B399" t="s">
        <v>500</v>
      </c>
      <c r="C399" t="s">
        <v>917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0</v>
      </c>
      <c r="J399" s="35">
        <v>0</v>
      </c>
      <c r="K399" s="35">
        <v>0</v>
      </c>
      <c r="L399" s="35">
        <v>16</v>
      </c>
      <c r="M399">
        <v>16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4</v>
      </c>
      <c r="AM399">
        <v>2</v>
      </c>
      <c r="AN399" s="23" t="s">
        <v>54</v>
      </c>
      <c r="AO399" s="23" t="s">
        <v>54</v>
      </c>
      <c r="AP399" s="23">
        <v>0</v>
      </c>
      <c r="AQ399" s="23">
        <v>0</v>
      </c>
      <c r="AR399" s="37">
        <v>0</v>
      </c>
      <c r="AS399" s="37">
        <v>0</v>
      </c>
      <c r="AT399" s="37">
        <v>16</v>
      </c>
      <c r="AU399" s="33" t="str">
        <f t="shared" si="10"/>
        <v>库存为16</v>
      </c>
      <c r="AV399" s="38" t="str">
        <f>IFERROR(时间!$B$4+AU399,"上周无销量")</f>
        <v>上周无销量</v>
      </c>
    </row>
    <row r="400" spans="1:48">
      <c r="A400" s="21" t="s">
        <v>918</v>
      </c>
      <c r="B400" t="s">
        <v>502</v>
      </c>
      <c r="C400" t="s">
        <v>917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0</v>
      </c>
      <c r="J400" s="35">
        <v>0</v>
      </c>
      <c r="K400" s="35">
        <v>0</v>
      </c>
      <c r="L400" s="35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4</v>
      </c>
      <c r="AM400">
        <v>1</v>
      </c>
      <c r="AN400" s="23" t="s">
        <v>54</v>
      </c>
      <c r="AO400" s="23" t="s">
        <v>54</v>
      </c>
      <c r="AP400" s="23">
        <v>0</v>
      </c>
      <c r="AQ400" s="23">
        <v>0</v>
      </c>
      <c r="AR400" s="37">
        <v>0</v>
      </c>
      <c r="AS400" s="37">
        <v>0</v>
      </c>
      <c r="AT400" s="37">
        <v>0</v>
      </c>
      <c r="AU400" s="33" t="str">
        <f t="shared" si="10"/>
        <v>库存为0</v>
      </c>
      <c r="AV400" s="38" t="str">
        <f>IFERROR(时间!$B$4+AU400,"上周无销量")</f>
        <v>上周无销量</v>
      </c>
    </row>
    <row r="401" spans="1:48">
      <c r="A401" s="21" t="s">
        <v>919</v>
      </c>
      <c r="B401" t="s">
        <v>504</v>
      </c>
      <c r="C401" t="s">
        <v>917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0</v>
      </c>
      <c r="J401" s="35">
        <v>0</v>
      </c>
      <c r="K401" s="35">
        <v>0</v>
      </c>
      <c r="L401" s="35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3</v>
      </c>
      <c r="AM401">
        <v>1</v>
      </c>
      <c r="AN401" s="23" t="s">
        <v>54</v>
      </c>
      <c r="AO401" s="23" t="s">
        <v>54</v>
      </c>
      <c r="AP401" s="23">
        <v>0</v>
      </c>
      <c r="AQ401" s="23">
        <v>0</v>
      </c>
      <c r="AR401" s="37">
        <v>0</v>
      </c>
      <c r="AS401" s="37">
        <v>0</v>
      </c>
      <c r="AT401" s="37">
        <v>0</v>
      </c>
      <c r="AU401" s="33" t="str">
        <f t="shared" si="10"/>
        <v>库存为0</v>
      </c>
      <c r="AV401" s="38" t="str">
        <f>IFERROR(时间!$B$4+AU401,"上周无销量")</f>
        <v>上周无销量</v>
      </c>
    </row>
    <row r="402" spans="1:48">
      <c r="A402" s="21" t="s">
        <v>920</v>
      </c>
      <c r="B402" t="s">
        <v>509</v>
      </c>
      <c r="C402" t="s">
        <v>917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0</v>
      </c>
      <c r="J402" s="35">
        <v>0</v>
      </c>
      <c r="K402" s="35">
        <v>0</v>
      </c>
      <c r="L402" s="35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1</v>
      </c>
      <c r="AL402">
        <v>6</v>
      </c>
      <c r="AM402">
        <v>6</v>
      </c>
      <c r="AN402" s="23" t="s">
        <v>54</v>
      </c>
      <c r="AO402" s="23">
        <v>0</v>
      </c>
      <c r="AP402" s="23">
        <v>0</v>
      </c>
      <c r="AQ402" s="23">
        <v>0</v>
      </c>
      <c r="AR402" s="37">
        <v>0</v>
      </c>
      <c r="AS402" s="37">
        <v>0</v>
      </c>
      <c r="AT402" s="37">
        <v>0</v>
      </c>
      <c r="AU402" s="33" t="str">
        <f t="shared" si="10"/>
        <v>库存为0</v>
      </c>
      <c r="AV402" s="38" t="str">
        <f>IFERROR(时间!$B$4+AU402,"上周无销量")</f>
        <v>上周无销量</v>
      </c>
    </row>
    <row r="403" spans="1:48">
      <c r="A403" s="21" t="s">
        <v>921</v>
      </c>
      <c r="B403" t="s">
        <v>513</v>
      </c>
      <c r="C403" t="s">
        <v>917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0</v>
      </c>
      <c r="J403" s="35">
        <v>0</v>
      </c>
      <c r="K403" s="35">
        <v>4</v>
      </c>
      <c r="L403" s="35">
        <v>0</v>
      </c>
      <c r="M403">
        <v>4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2</v>
      </c>
      <c r="AL403">
        <v>15</v>
      </c>
      <c r="AM403">
        <v>1</v>
      </c>
      <c r="AN403" s="23" t="s">
        <v>54</v>
      </c>
      <c r="AO403" s="23">
        <v>0</v>
      </c>
      <c r="AP403" s="23">
        <v>0</v>
      </c>
      <c r="AQ403" s="23">
        <v>0</v>
      </c>
      <c r="AR403" s="37">
        <v>0</v>
      </c>
      <c r="AS403" s="37">
        <v>0</v>
      </c>
      <c r="AT403" s="37">
        <v>4</v>
      </c>
      <c r="AU403" s="33" t="str">
        <f t="shared" si="10"/>
        <v>库存为4</v>
      </c>
      <c r="AV403" s="38" t="str">
        <f>IFERROR(时间!$B$4+AU403,"上周无销量")</f>
        <v>上周无销量</v>
      </c>
    </row>
    <row r="404" spans="1:48">
      <c r="A404" s="21" t="s">
        <v>922</v>
      </c>
      <c r="B404" t="s">
        <v>517</v>
      </c>
      <c r="C404" t="s">
        <v>917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0</v>
      </c>
      <c r="J404" s="35">
        <v>0</v>
      </c>
      <c r="K404" s="35">
        <v>9</v>
      </c>
      <c r="L404" s="35">
        <v>0</v>
      </c>
      <c r="M404">
        <v>9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1</v>
      </c>
      <c r="AL404">
        <v>2</v>
      </c>
      <c r="AM404">
        <v>4</v>
      </c>
      <c r="AN404" s="23" t="s">
        <v>54</v>
      </c>
      <c r="AO404" s="23">
        <v>0</v>
      </c>
      <c r="AP404" s="23">
        <v>0</v>
      </c>
      <c r="AQ404" s="23">
        <v>0</v>
      </c>
      <c r="AR404" s="37">
        <v>0</v>
      </c>
      <c r="AS404" s="37">
        <v>0</v>
      </c>
      <c r="AT404" s="37">
        <v>9</v>
      </c>
      <c r="AU404" s="33" t="str">
        <f t="shared" si="10"/>
        <v>库存为9</v>
      </c>
      <c r="AV404" s="38" t="str">
        <f>IFERROR(时间!$B$4+AU404,"上周无销量")</f>
        <v>上周无销量</v>
      </c>
    </row>
    <row r="405" spans="1:48">
      <c r="A405" s="21" t="s">
        <v>923</v>
      </c>
      <c r="B405" t="s">
        <v>519</v>
      </c>
      <c r="C405" t="s">
        <v>917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0</v>
      </c>
      <c r="J405" s="35">
        <v>0</v>
      </c>
      <c r="K405" s="35">
        <v>26</v>
      </c>
      <c r="L405" s="35">
        <v>0</v>
      </c>
      <c r="M405">
        <v>26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1</v>
      </c>
      <c r="AL405">
        <v>12</v>
      </c>
      <c r="AM405">
        <v>34</v>
      </c>
      <c r="AN405" s="23" t="s">
        <v>54</v>
      </c>
      <c r="AO405" s="23">
        <v>0</v>
      </c>
      <c r="AP405" s="23">
        <v>0</v>
      </c>
      <c r="AQ405" s="23">
        <v>0</v>
      </c>
      <c r="AR405" s="37">
        <v>0</v>
      </c>
      <c r="AS405" s="37">
        <v>0</v>
      </c>
      <c r="AT405" s="37">
        <v>26</v>
      </c>
      <c r="AU405" s="33" t="str">
        <f t="shared" si="10"/>
        <v>库存为26</v>
      </c>
      <c r="AV405" s="38" t="str">
        <f>IFERROR(时间!$B$4+AU405,"上周无销量")</f>
        <v>上周无销量</v>
      </c>
    </row>
    <row r="406" spans="1:48">
      <c r="A406" s="21" t="s">
        <v>924</v>
      </c>
      <c r="B406" t="s">
        <v>523</v>
      </c>
      <c r="C406" t="s">
        <v>917</v>
      </c>
      <c r="D406" s="33">
        <v>0</v>
      </c>
      <c r="E406" s="33">
        <v>0</v>
      </c>
      <c r="F406" s="33">
        <v>0</v>
      </c>
      <c r="G406" s="33">
        <v>0</v>
      </c>
      <c r="H406" s="34">
        <v>0</v>
      </c>
      <c r="I406">
        <v>18</v>
      </c>
      <c r="J406" s="35">
        <v>0</v>
      </c>
      <c r="K406" s="35">
        <v>9</v>
      </c>
      <c r="L406" s="35">
        <v>0</v>
      </c>
      <c r="M406">
        <v>27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3</v>
      </c>
      <c r="AM406">
        <v>1</v>
      </c>
      <c r="AN406" s="23" t="s">
        <v>54</v>
      </c>
      <c r="AO406" s="23" t="s">
        <v>54</v>
      </c>
      <c r="AP406" s="23">
        <v>0</v>
      </c>
      <c r="AQ406" s="23">
        <v>0</v>
      </c>
      <c r="AR406" s="37">
        <v>0</v>
      </c>
      <c r="AS406" s="37">
        <v>0</v>
      </c>
      <c r="AT406" s="37">
        <v>27</v>
      </c>
      <c r="AU406" s="33" t="str">
        <f t="shared" si="10"/>
        <v>库存为27</v>
      </c>
      <c r="AV406" s="38" t="str">
        <f>IFERROR(时间!$B$4+AU406,"上周无销量")</f>
        <v>上周无销量</v>
      </c>
    </row>
    <row r="407" spans="1:48">
      <c r="A407" s="21" t="s">
        <v>925</v>
      </c>
      <c r="B407" t="s">
        <v>525</v>
      </c>
      <c r="C407" t="s">
        <v>917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0</v>
      </c>
      <c r="J407" s="35">
        <v>0</v>
      </c>
      <c r="K407" s="35">
        <v>0</v>
      </c>
      <c r="L407" s="35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1</v>
      </c>
      <c r="AL407">
        <v>4</v>
      </c>
      <c r="AM407">
        <v>3</v>
      </c>
      <c r="AN407" s="23" t="s">
        <v>54</v>
      </c>
      <c r="AO407" s="23">
        <v>0</v>
      </c>
      <c r="AP407" s="23">
        <v>0</v>
      </c>
      <c r="AQ407" s="23">
        <v>0</v>
      </c>
      <c r="AR407" s="37">
        <v>0</v>
      </c>
      <c r="AS407" s="37">
        <v>0</v>
      </c>
      <c r="AT407" s="37">
        <v>0</v>
      </c>
      <c r="AU407" s="33" t="str">
        <f t="shared" si="10"/>
        <v>库存为0</v>
      </c>
      <c r="AV407" s="38" t="str">
        <f>IFERROR(时间!$B$4+AU407,"上周无销量")</f>
        <v>上周无销量</v>
      </c>
    </row>
    <row r="408" spans="1:48">
      <c r="A408" s="21" t="s">
        <v>926</v>
      </c>
      <c r="B408" t="s">
        <v>527</v>
      </c>
      <c r="C408" t="s">
        <v>917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0</v>
      </c>
      <c r="J408" s="35">
        <v>0</v>
      </c>
      <c r="K408" s="35">
        <v>28</v>
      </c>
      <c r="L408" s="35">
        <v>0</v>
      </c>
      <c r="M408">
        <v>28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2</v>
      </c>
      <c r="AM408">
        <v>2</v>
      </c>
      <c r="AN408" s="23" t="s">
        <v>54</v>
      </c>
      <c r="AO408" s="23" t="s">
        <v>54</v>
      </c>
      <c r="AP408" s="23">
        <v>0</v>
      </c>
      <c r="AQ408" s="23">
        <v>0</v>
      </c>
      <c r="AR408" s="37">
        <v>0</v>
      </c>
      <c r="AS408" s="37">
        <v>0</v>
      </c>
      <c r="AT408" s="37">
        <v>28</v>
      </c>
      <c r="AU408" s="33" t="str">
        <f t="shared" si="10"/>
        <v>库存为28</v>
      </c>
      <c r="AV408" s="38" t="str">
        <f>IFERROR(时间!$B$4+AU408,"上周无销量")</f>
        <v>上周无销量</v>
      </c>
    </row>
    <row r="409" spans="1:48">
      <c r="A409" s="21" t="s">
        <v>927</v>
      </c>
      <c r="B409" t="s">
        <v>529</v>
      </c>
      <c r="C409" t="s">
        <v>917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18</v>
      </c>
      <c r="J409" s="35">
        <v>0</v>
      </c>
      <c r="K409" s="35">
        <v>0</v>
      </c>
      <c r="L409" s="35">
        <v>0</v>
      </c>
      <c r="M409">
        <v>18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4</v>
      </c>
      <c r="AM409">
        <v>1</v>
      </c>
      <c r="AN409" s="23" t="s">
        <v>54</v>
      </c>
      <c r="AO409" s="23" t="s">
        <v>54</v>
      </c>
      <c r="AP409" s="23">
        <v>0</v>
      </c>
      <c r="AQ409" s="23">
        <v>0</v>
      </c>
      <c r="AR409" s="37">
        <v>0</v>
      </c>
      <c r="AS409" s="37">
        <v>0</v>
      </c>
      <c r="AT409" s="37">
        <v>18</v>
      </c>
      <c r="AU409" s="33" t="str">
        <f t="shared" si="10"/>
        <v>库存为18</v>
      </c>
      <c r="AV409" s="38" t="str">
        <f>IFERROR(时间!$B$4+AU409,"上周无销量")</f>
        <v>上周无销量</v>
      </c>
    </row>
    <row r="410" spans="1:48">
      <c r="A410" s="21" t="s">
        <v>928</v>
      </c>
      <c r="B410" t="s">
        <v>531</v>
      </c>
      <c r="C410" t="s">
        <v>917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7</v>
      </c>
      <c r="J410" s="35">
        <v>0</v>
      </c>
      <c r="K410" s="35">
        <v>18</v>
      </c>
      <c r="L410" s="35">
        <v>0</v>
      </c>
      <c r="M410">
        <v>25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4</v>
      </c>
      <c r="AK410">
        <v>4</v>
      </c>
      <c r="AL410">
        <v>4</v>
      </c>
      <c r="AM410">
        <v>2</v>
      </c>
      <c r="AN410" s="23">
        <v>0</v>
      </c>
      <c r="AO410" s="23">
        <v>0</v>
      </c>
      <c r="AP410" s="23">
        <v>0</v>
      </c>
      <c r="AQ410" s="23">
        <v>0</v>
      </c>
      <c r="AR410" s="37">
        <v>0</v>
      </c>
      <c r="AS410" s="37">
        <v>0</v>
      </c>
      <c r="AT410" s="37">
        <v>25</v>
      </c>
      <c r="AU410" s="33" t="str">
        <f t="shared" si="10"/>
        <v>库存为25</v>
      </c>
      <c r="AV410" s="38" t="str">
        <f>IFERROR(时间!$B$4+AU410,"上周无销量")</f>
        <v>上周无销量</v>
      </c>
    </row>
    <row r="411" spans="1:48">
      <c r="A411" s="21" t="s">
        <v>929</v>
      </c>
      <c r="B411" t="s">
        <v>535</v>
      </c>
      <c r="C411" t="s">
        <v>917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17</v>
      </c>
      <c r="J411" s="35">
        <v>0</v>
      </c>
      <c r="K411" s="35">
        <v>12</v>
      </c>
      <c r="L411" s="35">
        <v>0</v>
      </c>
      <c r="M411">
        <v>29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3</v>
      </c>
      <c r="AM411">
        <v>2</v>
      </c>
      <c r="AN411" s="23" t="s">
        <v>54</v>
      </c>
      <c r="AO411" s="23" t="s">
        <v>54</v>
      </c>
      <c r="AP411" s="23">
        <v>0</v>
      </c>
      <c r="AQ411" s="23">
        <v>0</v>
      </c>
      <c r="AR411" s="37">
        <v>0</v>
      </c>
      <c r="AS411" s="37">
        <v>0</v>
      </c>
      <c r="AT411" s="37">
        <v>29</v>
      </c>
      <c r="AU411" s="33" t="str">
        <f t="shared" si="10"/>
        <v>库存为29</v>
      </c>
      <c r="AV411" s="38" t="str">
        <f>IFERROR(时间!$B$4+AU411,"上周无销量")</f>
        <v>上周无销量</v>
      </c>
    </row>
    <row r="412" spans="1:48">
      <c r="A412" s="21" t="s">
        <v>930</v>
      </c>
      <c r="B412" t="s">
        <v>537</v>
      </c>
      <c r="C412" t="s">
        <v>917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0</v>
      </c>
      <c r="J412" s="35">
        <v>0</v>
      </c>
      <c r="K412" s="35">
        <v>0</v>
      </c>
      <c r="L412" s="35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4</v>
      </c>
      <c r="AK412">
        <v>4</v>
      </c>
      <c r="AL412">
        <v>4</v>
      </c>
      <c r="AM412">
        <v>5</v>
      </c>
      <c r="AN412" s="23">
        <v>0</v>
      </c>
      <c r="AO412" s="23">
        <v>0</v>
      </c>
      <c r="AP412" s="23">
        <v>0</v>
      </c>
      <c r="AQ412" s="23">
        <v>0</v>
      </c>
      <c r="AR412" s="37">
        <v>0</v>
      </c>
      <c r="AS412" s="37">
        <v>0</v>
      </c>
      <c r="AT412" s="37">
        <v>0</v>
      </c>
      <c r="AU412" s="33" t="str">
        <f t="shared" si="10"/>
        <v>库存为0</v>
      </c>
      <c r="AV412" s="38" t="str">
        <f>IFERROR(时间!$B$4+AU412,"上周无销量")</f>
        <v>上周无销量</v>
      </c>
    </row>
    <row r="413" spans="1:48">
      <c r="A413" s="21" t="s">
        <v>931</v>
      </c>
      <c r="B413" t="s">
        <v>539</v>
      </c>
      <c r="C413" t="s">
        <v>917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0</v>
      </c>
      <c r="J413" s="35">
        <v>0</v>
      </c>
      <c r="K413" s="35">
        <v>0</v>
      </c>
      <c r="L413" s="35">
        <v>27</v>
      </c>
      <c r="M413">
        <v>27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5</v>
      </c>
      <c r="AK413">
        <v>7</v>
      </c>
      <c r="AL413">
        <v>5</v>
      </c>
      <c r="AM413">
        <v>11</v>
      </c>
      <c r="AN413" s="23">
        <v>0</v>
      </c>
      <c r="AO413" s="23">
        <v>0</v>
      </c>
      <c r="AP413" s="23">
        <v>0</v>
      </c>
      <c r="AQ413" s="23">
        <v>0</v>
      </c>
      <c r="AR413" s="37">
        <v>0</v>
      </c>
      <c r="AS413" s="37">
        <v>0</v>
      </c>
      <c r="AT413" s="37">
        <v>27</v>
      </c>
      <c r="AU413" s="33" t="str">
        <f t="shared" si="10"/>
        <v>库存为27</v>
      </c>
      <c r="AV413" s="38" t="str">
        <f>IFERROR(时间!$B$4+AU413,"上周无销量")</f>
        <v>上周无销量</v>
      </c>
    </row>
    <row r="414" spans="1:48">
      <c r="A414" s="21" t="s">
        <v>932</v>
      </c>
      <c r="B414" t="s">
        <v>544</v>
      </c>
      <c r="C414" t="s">
        <v>917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0</v>
      </c>
      <c r="J414" s="35">
        <v>0</v>
      </c>
      <c r="K414" s="35">
        <v>0</v>
      </c>
      <c r="L414" s="35">
        <v>19</v>
      </c>
      <c r="M414">
        <v>19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1</v>
      </c>
      <c r="AM414">
        <v>2</v>
      </c>
      <c r="AN414" s="23" t="s">
        <v>54</v>
      </c>
      <c r="AO414" s="23" t="s">
        <v>54</v>
      </c>
      <c r="AP414" s="23">
        <v>0</v>
      </c>
      <c r="AQ414" s="23">
        <v>0</v>
      </c>
      <c r="AR414" s="37">
        <v>0</v>
      </c>
      <c r="AS414" s="37">
        <v>0</v>
      </c>
      <c r="AT414" s="37">
        <v>19</v>
      </c>
      <c r="AU414" s="33" t="str">
        <f t="shared" si="10"/>
        <v>库存为19</v>
      </c>
      <c r="AV414" s="38" t="str">
        <f>IFERROR(时间!$B$4+AU414,"上周无销量")</f>
        <v>上周无销量</v>
      </c>
    </row>
    <row r="415" spans="1:48">
      <c r="A415" s="21" t="s">
        <v>933</v>
      </c>
      <c r="B415" t="s">
        <v>546</v>
      </c>
      <c r="C415" t="s">
        <v>917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0</v>
      </c>
      <c r="J415" s="35">
        <v>0</v>
      </c>
      <c r="K415" s="35">
        <v>8</v>
      </c>
      <c r="L415" s="35">
        <v>0</v>
      </c>
      <c r="M415">
        <v>8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6</v>
      </c>
      <c r="AM415">
        <v>4</v>
      </c>
      <c r="AN415" s="23" t="s">
        <v>54</v>
      </c>
      <c r="AO415" s="23" t="s">
        <v>54</v>
      </c>
      <c r="AP415" s="23">
        <v>0</v>
      </c>
      <c r="AQ415" s="23">
        <v>0</v>
      </c>
      <c r="AR415" s="37">
        <v>0</v>
      </c>
      <c r="AS415" s="37">
        <v>0</v>
      </c>
      <c r="AT415" s="37">
        <v>8</v>
      </c>
      <c r="AU415" s="33" t="str">
        <f t="shared" si="10"/>
        <v>库存为8</v>
      </c>
      <c r="AV415" s="38" t="str">
        <f>IFERROR(时间!$B$4+AU415,"上周无销量")</f>
        <v>上周无销量</v>
      </c>
    </row>
    <row r="416" spans="1:48">
      <c r="A416" s="21" t="s">
        <v>934</v>
      </c>
      <c r="B416" t="s">
        <v>548</v>
      </c>
      <c r="C416" t="s">
        <v>917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0</v>
      </c>
      <c r="J416" s="35">
        <v>0</v>
      </c>
      <c r="K416" s="35">
        <v>8</v>
      </c>
      <c r="L416" s="35">
        <v>0</v>
      </c>
      <c r="M416">
        <v>8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3</v>
      </c>
      <c r="AK416">
        <v>1</v>
      </c>
      <c r="AL416">
        <v>5</v>
      </c>
      <c r="AM416">
        <v>5</v>
      </c>
      <c r="AN416" s="23">
        <v>0</v>
      </c>
      <c r="AO416" s="23">
        <v>0</v>
      </c>
      <c r="AP416" s="23">
        <v>0</v>
      </c>
      <c r="AQ416" s="23">
        <v>0</v>
      </c>
      <c r="AR416" s="37">
        <v>0</v>
      </c>
      <c r="AS416" s="37">
        <v>0</v>
      </c>
      <c r="AT416" s="37">
        <v>8</v>
      </c>
      <c r="AU416" s="33" t="str">
        <f t="shared" si="10"/>
        <v>库存为8</v>
      </c>
      <c r="AV416" s="38" t="str">
        <f>IFERROR(时间!$B$4+AU416,"上周无销量")</f>
        <v>上周无销量</v>
      </c>
    </row>
    <row r="417" spans="1:48">
      <c r="A417" s="21" t="s">
        <v>935</v>
      </c>
      <c r="B417" t="s">
        <v>550</v>
      </c>
      <c r="C417" t="s">
        <v>917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0</v>
      </c>
      <c r="J417" s="35">
        <v>0</v>
      </c>
      <c r="K417" s="35">
        <v>0</v>
      </c>
      <c r="L417" s="35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2</v>
      </c>
      <c r="AM417">
        <v>2</v>
      </c>
      <c r="AN417" s="23" t="s">
        <v>54</v>
      </c>
      <c r="AO417" s="23" t="s">
        <v>54</v>
      </c>
      <c r="AP417" s="23">
        <v>0</v>
      </c>
      <c r="AQ417" s="23">
        <v>0</v>
      </c>
      <c r="AR417" s="37">
        <v>0</v>
      </c>
      <c r="AS417" s="37">
        <v>0</v>
      </c>
      <c r="AT417" s="37">
        <v>0</v>
      </c>
      <c r="AU417" s="33" t="str">
        <f t="shared" si="10"/>
        <v>库存为0</v>
      </c>
      <c r="AV417" s="38" t="str">
        <f>IFERROR(时间!$B$4+AU417,"上周无销量")</f>
        <v>上周无销量</v>
      </c>
    </row>
    <row r="418" spans="1:48">
      <c r="A418" s="21" t="s">
        <v>936</v>
      </c>
      <c r="B418" t="s">
        <v>552</v>
      </c>
      <c r="C418" t="s">
        <v>937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18</v>
      </c>
      <c r="J418" s="35">
        <v>0</v>
      </c>
      <c r="K418" s="35">
        <v>10</v>
      </c>
      <c r="L418" s="35">
        <v>0</v>
      </c>
      <c r="M418">
        <v>28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1</v>
      </c>
      <c r="AK418">
        <v>0</v>
      </c>
      <c r="AL418">
        <v>3</v>
      </c>
      <c r="AM418">
        <v>2</v>
      </c>
      <c r="AN418" s="23">
        <v>0</v>
      </c>
      <c r="AO418" s="23" t="s">
        <v>54</v>
      </c>
      <c r="AP418" s="23">
        <v>0</v>
      </c>
      <c r="AQ418" s="23">
        <v>0</v>
      </c>
      <c r="AR418" s="37">
        <v>0</v>
      </c>
      <c r="AS418" s="37">
        <v>0</v>
      </c>
      <c r="AT418" s="37">
        <v>28</v>
      </c>
      <c r="AU418" s="33" t="str">
        <f t="shared" si="10"/>
        <v>库存为28</v>
      </c>
      <c r="AV418" s="38" t="str">
        <f>IFERROR(时间!$B$4+AU418,"上周无销量")</f>
        <v>上周无销量</v>
      </c>
    </row>
    <row r="419" spans="1:48">
      <c r="A419" s="21" t="s">
        <v>938</v>
      </c>
      <c r="B419" t="s">
        <v>556</v>
      </c>
      <c r="C419" t="s">
        <v>937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0</v>
      </c>
      <c r="J419" s="35">
        <v>0</v>
      </c>
      <c r="K419" s="35">
        <v>0</v>
      </c>
      <c r="L419" s="35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1</v>
      </c>
      <c r="AL419">
        <v>4</v>
      </c>
      <c r="AM419">
        <v>1</v>
      </c>
      <c r="AN419" s="23" t="s">
        <v>54</v>
      </c>
      <c r="AO419" s="23">
        <v>0</v>
      </c>
      <c r="AP419" s="23">
        <v>0</v>
      </c>
      <c r="AQ419" s="23">
        <v>0</v>
      </c>
      <c r="AR419" s="37">
        <v>0</v>
      </c>
      <c r="AS419" s="37">
        <v>0</v>
      </c>
      <c r="AT419" s="37">
        <v>0</v>
      </c>
      <c r="AU419" s="33" t="str">
        <f t="shared" si="10"/>
        <v>库存为0</v>
      </c>
      <c r="AV419" s="38" t="str">
        <f>IFERROR(时间!$B$4+AU419,"上周无销量")</f>
        <v>上周无销量</v>
      </c>
    </row>
    <row r="420" spans="1:48">
      <c r="A420" s="21" t="s">
        <v>939</v>
      </c>
      <c r="B420" t="s">
        <v>559</v>
      </c>
      <c r="C420" t="s">
        <v>940</v>
      </c>
      <c r="D420" s="33">
        <v>0</v>
      </c>
      <c r="E420" s="33">
        <v>0</v>
      </c>
      <c r="F420" s="33">
        <v>0</v>
      </c>
      <c r="G420" s="33">
        <v>0</v>
      </c>
      <c r="H420" s="34">
        <v>0</v>
      </c>
      <c r="I420">
        <v>0</v>
      </c>
      <c r="J420" s="35">
        <v>0</v>
      </c>
      <c r="K420" s="35">
        <v>8</v>
      </c>
      <c r="L420" s="35">
        <v>0</v>
      </c>
      <c r="M420">
        <v>8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3</v>
      </c>
      <c r="AL420">
        <v>5</v>
      </c>
      <c r="AM420">
        <v>7</v>
      </c>
      <c r="AN420" s="23" t="s">
        <v>54</v>
      </c>
      <c r="AO420" s="23">
        <v>0</v>
      </c>
      <c r="AP420" s="23">
        <v>0</v>
      </c>
      <c r="AQ420" s="23">
        <v>0</v>
      </c>
      <c r="AR420" s="37">
        <v>0</v>
      </c>
      <c r="AS420" s="37">
        <v>0</v>
      </c>
      <c r="AT420" s="37">
        <v>8</v>
      </c>
      <c r="AU420" s="33" t="str">
        <f t="shared" si="10"/>
        <v>库存为8</v>
      </c>
      <c r="AV420" s="38" t="str">
        <f>IFERROR(时间!$B$4+AU420,"上周无销量")</f>
        <v>上周无销量</v>
      </c>
    </row>
    <row r="421" spans="1:48">
      <c r="A421" s="21" t="s">
        <v>941</v>
      </c>
      <c r="B421" t="s">
        <v>573</v>
      </c>
      <c r="C421" t="s">
        <v>940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0</v>
      </c>
      <c r="J421" s="35">
        <v>0</v>
      </c>
      <c r="K421" s="35">
        <v>0</v>
      </c>
      <c r="L421" s="35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4</v>
      </c>
      <c r="AM421">
        <v>2</v>
      </c>
      <c r="AN421" s="23" t="s">
        <v>54</v>
      </c>
      <c r="AO421" s="23" t="s">
        <v>54</v>
      </c>
      <c r="AP421" s="23">
        <v>0</v>
      </c>
      <c r="AQ421" s="23">
        <v>0</v>
      </c>
      <c r="AR421" s="37">
        <v>0</v>
      </c>
      <c r="AS421" s="37">
        <v>0</v>
      </c>
      <c r="AT421" s="37">
        <v>0</v>
      </c>
      <c r="AU421" s="33" t="str">
        <f t="shared" si="10"/>
        <v>库存为0</v>
      </c>
      <c r="AV421" s="38" t="str">
        <f>IFERROR(时间!$B$4+AU421,"上周无销量")</f>
        <v>上周无销量</v>
      </c>
    </row>
    <row r="422" spans="1:48">
      <c r="A422" s="21" t="s">
        <v>942</v>
      </c>
      <c r="B422" t="s">
        <v>575</v>
      </c>
      <c r="C422" t="s">
        <v>940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0</v>
      </c>
      <c r="J422" s="35">
        <v>0</v>
      </c>
      <c r="K422" s="35">
        <v>0</v>
      </c>
      <c r="L422" s="35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3</v>
      </c>
      <c r="AM422">
        <v>1</v>
      </c>
      <c r="AN422" s="23" t="s">
        <v>54</v>
      </c>
      <c r="AO422" s="23" t="s">
        <v>54</v>
      </c>
      <c r="AP422" s="23">
        <v>0</v>
      </c>
      <c r="AQ422" s="23">
        <v>0</v>
      </c>
      <c r="AR422" s="37">
        <v>0</v>
      </c>
      <c r="AS422" s="37">
        <v>0</v>
      </c>
      <c r="AT422" s="37">
        <v>0</v>
      </c>
      <c r="AU422" s="33" t="str">
        <f t="shared" si="10"/>
        <v>库存为0</v>
      </c>
      <c r="AV422" s="38" t="str">
        <f>IFERROR(时间!$B$4+AU422,"上周无销量")</f>
        <v>上周无销量</v>
      </c>
    </row>
    <row r="423" spans="1:48">
      <c r="A423" s="21" t="s">
        <v>943</v>
      </c>
      <c r="B423" t="s">
        <v>644</v>
      </c>
      <c r="C423" t="s">
        <v>940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0</v>
      </c>
      <c r="J423" s="35">
        <v>0</v>
      </c>
      <c r="K423" s="35">
        <v>0</v>
      </c>
      <c r="L423" s="35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1</v>
      </c>
      <c r="AL423">
        <v>4</v>
      </c>
      <c r="AM423">
        <v>0</v>
      </c>
      <c r="AN423" s="23" t="s">
        <v>54</v>
      </c>
      <c r="AO423" s="23">
        <v>0</v>
      </c>
      <c r="AP423" s="23">
        <v>0</v>
      </c>
      <c r="AQ423" s="23" t="s">
        <v>54</v>
      </c>
      <c r="AR423" s="37">
        <v>0</v>
      </c>
      <c r="AS423" s="37">
        <v>0</v>
      </c>
      <c r="AT423" s="37">
        <v>0</v>
      </c>
      <c r="AU423" s="33" t="str">
        <f t="shared" si="10"/>
        <v>库存为0</v>
      </c>
      <c r="AV423" s="38" t="str">
        <f>IFERROR(时间!$B$4+AU423,"上周无销量")</f>
        <v>上周无销量</v>
      </c>
    </row>
    <row r="424" spans="1:48">
      <c r="A424" s="21" t="s">
        <v>944</v>
      </c>
      <c r="B424" t="s">
        <v>647</v>
      </c>
      <c r="C424" t="s">
        <v>940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0</v>
      </c>
      <c r="J424" s="35">
        <v>0</v>
      </c>
      <c r="K424" s="35">
        <v>0</v>
      </c>
      <c r="L424" s="35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8</v>
      </c>
      <c r="AK424">
        <v>7</v>
      </c>
      <c r="AL424">
        <v>2</v>
      </c>
      <c r="AM424">
        <v>0</v>
      </c>
      <c r="AN424" s="23">
        <v>0</v>
      </c>
      <c r="AO424" s="23">
        <v>0</v>
      </c>
      <c r="AP424" s="23">
        <v>0</v>
      </c>
      <c r="AQ424" s="23" t="s">
        <v>54</v>
      </c>
      <c r="AR424" s="37">
        <v>0</v>
      </c>
      <c r="AS424" s="37">
        <v>0</v>
      </c>
      <c r="AT424" s="37">
        <v>0</v>
      </c>
      <c r="AU424" s="33" t="str">
        <f t="shared" si="10"/>
        <v>库存为0</v>
      </c>
      <c r="AV424" s="38" t="str">
        <f>IFERROR(时间!$B$4+AU424,"上周无销量")</f>
        <v>上周无销量</v>
      </c>
    </row>
    <row r="425" spans="1:48">
      <c r="A425" s="21" t="s">
        <v>945</v>
      </c>
      <c r="B425" t="s">
        <v>650</v>
      </c>
      <c r="C425" t="s">
        <v>940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0</v>
      </c>
      <c r="J425" s="35">
        <v>0</v>
      </c>
      <c r="K425" s="35">
        <v>0</v>
      </c>
      <c r="L425" s="35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2</v>
      </c>
      <c r="AL425">
        <v>6</v>
      </c>
      <c r="AM425">
        <v>2</v>
      </c>
      <c r="AN425" s="23" t="s">
        <v>54</v>
      </c>
      <c r="AO425" s="23">
        <v>0</v>
      </c>
      <c r="AP425" s="23">
        <v>0</v>
      </c>
      <c r="AQ425" s="23">
        <v>0</v>
      </c>
      <c r="AR425" s="37">
        <v>0</v>
      </c>
      <c r="AS425" s="37">
        <v>0</v>
      </c>
      <c r="AT425" s="37">
        <v>0</v>
      </c>
      <c r="AU425" s="33" t="str">
        <f t="shared" si="10"/>
        <v>库存为0</v>
      </c>
      <c r="AV425" s="38" t="str">
        <f>IFERROR(时间!$B$4+AU425,"上周无销量")</f>
        <v>上周无销量</v>
      </c>
    </row>
    <row r="426" spans="1:48">
      <c r="A426" s="21" t="s">
        <v>946</v>
      </c>
      <c r="B426" t="s">
        <v>652</v>
      </c>
      <c r="C426" t="s">
        <v>940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0</v>
      </c>
      <c r="J426" s="35">
        <v>0</v>
      </c>
      <c r="K426" s="35">
        <v>0</v>
      </c>
      <c r="L426" s="35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1</v>
      </c>
      <c r="AL426">
        <v>1</v>
      </c>
      <c r="AM426">
        <v>1</v>
      </c>
      <c r="AN426" s="23" t="s">
        <v>54</v>
      </c>
      <c r="AO426" s="23">
        <v>0</v>
      </c>
      <c r="AP426" s="23">
        <v>0</v>
      </c>
      <c r="AQ426" s="23">
        <v>0</v>
      </c>
      <c r="AR426" s="37">
        <v>0</v>
      </c>
      <c r="AS426" s="37">
        <v>0</v>
      </c>
      <c r="AT426" s="37">
        <v>0</v>
      </c>
      <c r="AU426" s="33" t="str">
        <f t="shared" si="10"/>
        <v>库存为0</v>
      </c>
      <c r="AV426" s="38" t="str">
        <f>IFERROR(时间!$B$4+AU426,"上周无销量")</f>
        <v>上周无销量</v>
      </c>
    </row>
    <row r="427" spans="1:48">
      <c r="A427" s="21" t="s">
        <v>947</v>
      </c>
      <c r="B427" t="s">
        <v>655</v>
      </c>
      <c r="C427" t="s">
        <v>940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0</v>
      </c>
      <c r="J427" s="35">
        <v>0</v>
      </c>
      <c r="K427" s="35">
        <v>0</v>
      </c>
      <c r="L427" s="35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1</v>
      </c>
      <c r="AL427">
        <v>2</v>
      </c>
      <c r="AM427">
        <v>2</v>
      </c>
      <c r="AN427" s="23" t="s">
        <v>54</v>
      </c>
      <c r="AO427" s="23">
        <v>0</v>
      </c>
      <c r="AP427" s="23">
        <v>0</v>
      </c>
      <c r="AQ427" s="23">
        <v>0</v>
      </c>
      <c r="AR427" s="37">
        <v>0</v>
      </c>
      <c r="AS427" s="37">
        <v>0</v>
      </c>
      <c r="AT427" s="37">
        <v>0</v>
      </c>
      <c r="AU427" s="33" t="str">
        <f t="shared" si="10"/>
        <v>库存为0</v>
      </c>
      <c r="AV427" s="38" t="str">
        <f>IFERROR(时间!$B$4+AU427,"上周无销量")</f>
        <v>上周无销量</v>
      </c>
    </row>
    <row r="428" spans="1:48">
      <c r="A428" s="21" t="s">
        <v>948</v>
      </c>
      <c r="B428" t="s">
        <v>659</v>
      </c>
      <c r="C428" t="s">
        <v>940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0</v>
      </c>
      <c r="J428" s="35">
        <v>0</v>
      </c>
      <c r="K428" s="35">
        <v>0</v>
      </c>
      <c r="L428" s="35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3</v>
      </c>
      <c r="AL428">
        <v>10</v>
      </c>
      <c r="AM428">
        <v>3</v>
      </c>
      <c r="AN428" s="23" t="s">
        <v>54</v>
      </c>
      <c r="AO428" s="23">
        <v>0</v>
      </c>
      <c r="AP428" s="23">
        <v>0</v>
      </c>
      <c r="AQ428" s="23">
        <v>0</v>
      </c>
      <c r="AR428" s="37">
        <v>0</v>
      </c>
      <c r="AS428" s="37">
        <v>0</v>
      </c>
      <c r="AT428" s="37">
        <v>0</v>
      </c>
      <c r="AU428" s="33" t="str">
        <f t="shared" si="10"/>
        <v>库存为0</v>
      </c>
      <c r="AV428" s="38" t="str">
        <f>IFERROR(时间!$B$4+AU428,"上周无销量")</f>
        <v>上周无销量</v>
      </c>
    </row>
    <row r="429" spans="1:48">
      <c r="A429" s="21" t="s">
        <v>949</v>
      </c>
      <c r="B429" t="s">
        <v>664</v>
      </c>
      <c r="C429" t="s">
        <v>950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0</v>
      </c>
      <c r="J429" s="35">
        <v>0</v>
      </c>
      <c r="K429" s="35">
        <v>0</v>
      </c>
      <c r="L429" s="35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3</v>
      </c>
      <c r="AL429">
        <v>6</v>
      </c>
      <c r="AM429">
        <v>3</v>
      </c>
      <c r="AN429" s="23" t="s">
        <v>54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0</v>
      </c>
      <c r="AU429" s="33" t="str">
        <f t="shared" si="10"/>
        <v>库存为0</v>
      </c>
      <c r="AV429" s="38" t="str">
        <f>IFERROR(时间!$B$4+AU429,"上周无销量")</f>
        <v>上周无销量</v>
      </c>
    </row>
    <row r="430" spans="1:48">
      <c r="A430" s="21" t="s">
        <v>951</v>
      </c>
      <c r="B430" t="s">
        <v>668</v>
      </c>
      <c r="C430" t="s">
        <v>950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0</v>
      </c>
      <c r="J430" s="35">
        <v>0</v>
      </c>
      <c r="K430" s="35">
        <v>0</v>
      </c>
      <c r="L430" s="35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1</v>
      </c>
      <c r="AL430">
        <v>5</v>
      </c>
      <c r="AM430">
        <v>3</v>
      </c>
      <c r="AN430" s="23" t="s">
        <v>54</v>
      </c>
      <c r="AO430" s="23">
        <v>0</v>
      </c>
      <c r="AP430" s="23">
        <v>0</v>
      </c>
      <c r="AQ430" s="23">
        <v>0</v>
      </c>
      <c r="AR430" s="37">
        <v>0</v>
      </c>
      <c r="AS430" s="37">
        <v>0</v>
      </c>
      <c r="AT430" s="37">
        <v>0</v>
      </c>
      <c r="AU430" s="33" t="str">
        <f t="shared" si="10"/>
        <v>库存为0</v>
      </c>
      <c r="AV430" s="38" t="str">
        <f>IFERROR(时间!$B$4+AU430,"上周无销量")</f>
        <v>上周无销量</v>
      </c>
    </row>
    <row r="431" spans="1:48">
      <c r="A431" s="21" t="s">
        <v>952</v>
      </c>
      <c r="B431" t="s">
        <v>670</v>
      </c>
      <c r="C431" t="s">
        <v>950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0</v>
      </c>
      <c r="J431" s="35">
        <v>0</v>
      </c>
      <c r="K431" s="35">
        <v>0</v>
      </c>
      <c r="L431" s="35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1</v>
      </c>
      <c r="AL431">
        <v>2</v>
      </c>
      <c r="AM431">
        <v>1</v>
      </c>
      <c r="AN431" s="23" t="s">
        <v>54</v>
      </c>
      <c r="AO431" s="23">
        <v>0</v>
      </c>
      <c r="AP431" s="23">
        <v>0</v>
      </c>
      <c r="AQ431" s="23">
        <v>0</v>
      </c>
      <c r="AR431" s="37">
        <v>0</v>
      </c>
      <c r="AS431" s="37">
        <v>0</v>
      </c>
      <c r="AT431" s="37">
        <v>0</v>
      </c>
      <c r="AU431" s="33" t="str">
        <f t="shared" si="10"/>
        <v>库存为0</v>
      </c>
      <c r="AV431" s="38" t="str">
        <f>IFERROR(时间!$B$4+AU431,"上周无销量")</f>
        <v>上周无销量</v>
      </c>
    </row>
    <row r="432" spans="1:48">
      <c r="A432" s="21" t="s">
        <v>953</v>
      </c>
      <c r="B432" t="s">
        <v>726</v>
      </c>
      <c r="C432" t="s">
        <v>950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0</v>
      </c>
      <c r="J432" s="35">
        <v>0</v>
      </c>
      <c r="K432" s="35">
        <v>0</v>
      </c>
      <c r="L432" s="35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4</v>
      </c>
      <c r="AM432">
        <v>3</v>
      </c>
      <c r="AN432" s="23" t="s">
        <v>54</v>
      </c>
      <c r="AO432" s="23" t="s">
        <v>54</v>
      </c>
      <c r="AP432" s="23">
        <v>0</v>
      </c>
      <c r="AQ432" s="23">
        <v>0</v>
      </c>
      <c r="AR432" s="37">
        <v>0</v>
      </c>
      <c r="AS432" s="37">
        <v>0</v>
      </c>
      <c r="AT432" s="37">
        <v>0</v>
      </c>
      <c r="AU432" s="33" t="str">
        <f t="shared" si="10"/>
        <v>库存为0</v>
      </c>
      <c r="AV432" s="38" t="str">
        <f>IFERROR(时间!$B$4+AU432,"上周无销量")</f>
        <v>上周无销量</v>
      </c>
    </row>
    <row r="433" spans="1:48">
      <c r="A433" s="21" t="s">
        <v>954</v>
      </c>
      <c r="B433" t="s">
        <v>733</v>
      </c>
      <c r="C433" t="s">
        <v>950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0</v>
      </c>
      <c r="J433" s="35">
        <v>0</v>
      </c>
      <c r="K433" s="35">
        <v>0</v>
      </c>
      <c r="L433" s="35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7</v>
      </c>
      <c r="AM433">
        <v>3</v>
      </c>
      <c r="AN433" s="23" t="s">
        <v>54</v>
      </c>
      <c r="AO433" s="23" t="s">
        <v>54</v>
      </c>
      <c r="AP433" s="23">
        <v>0</v>
      </c>
      <c r="AQ433" s="23">
        <v>0</v>
      </c>
      <c r="AR433" s="37">
        <v>0</v>
      </c>
      <c r="AS433" s="37">
        <v>0</v>
      </c>
      <c r="AT433" s="37">
        <v>0</v>
      </c>
      <c r="AU433" s="33" t="str">
        <f t="shared" si="10"/>
        <v>库存为0</v>
      </c>
      <c r="AV433" s="38" t="str">
        <f>IFERROR(时间!$B$4+AU433,"上周无销量")</f>
        <v>上周无销量</v>
      </c>
    </row>
    <row r="434" spans="1:48">
      <c r="A434" s="21" t="s">
        <v>955</v>
      </c>
      <c r="B434" t="s">
        <v>739</v>
      </c>
      <c r="C434" t="s">
        <v>950</v>
      </c>
      <c r="D434" s="33">
        <v>0</v>
      </c>
      <c r="E434" s="33">
        <v>0</v>
      </c>
      <c r="F434" s="33">
        <v>0</v>
      </c>
      <c r="G434" s="33">
        <v>0</v>
      </c>
      <c r="H434" s="34">
        <v>0</v>
      </c>
      <c r="I434">
        <v>0</v>
      </c>
      <c r="J434" s="35">
        <v>0</v>
      </c>
      <c r="K434" s="35">
        <v>0</v>
      </c>
      <c r="L434" s="35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3</v>
      </c>
      <c r="AK434">
        <v>3</v>
      </c>
      <c r="AL434">
        <v>2</v>
      </c>
      <c r="AM434">
        <v>1</v>
      </c>
      <c r="AN434" s="23">
        <v>0</v>
      </c>
      <c r="AO434" s="23">
        <v>0</v>
      </c>
      <c r="AP434" s="23">
        <v>0</v>
      </c>
      <c r="AQ434" s="23">
        <v>0</v>
      </c>
      <c r="AR434" s="37">
        <v>0</v>
      </c>
      <c r="AS434" s="37">
        <v>0</v>
      </c>
      <c r="AT434" s="37">
        <v>0</v>
      </c>
      <c r="AU434" s="33" t="str">
        <f t="shared" si="10"/>
        <v>库存为0</v>
      </c>
      <c r="AV434" s="38" t="str">
        <f>IFERROR(时间!$B$4+AU434,"上周无销量")</f>
        <v>上周无销量</v>
      </c>
    </row>
    <row r="435" spans="1:48">
      <c r="A435" s="21" t="s">
        <v>956</v>
      </c>
      <c r="B435" t="s">
        <v>741</v>
      </c>
      <c r="C435" t="s">
        <v>950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0</v>
      </c>
      <c r="J435" s="35">
        <v>0</v>
      </c>
      <c r="K435" s="35">
        <v>0</v>
      </c>
      <c r="L435" s="35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12</v>
      </c>
      <c r="AM435">
        <v>5</v>
      </c>
      <c r="AN435" s="23" t="s">
        <v>54</v>
      </c>
      <c r="AO435" s="23" t="s">
        <v>54</v>
      </c>
      <c r="AP435" s="23">
        <v>0</v>
      </c>
      <c r="AQ435" s="23">
        <v>0</v>
      </c>
      <c r="AR435" s="37">
        <v>0</v>
      </c>
      <c r="AS435" s="37">
        <v>0</v>
      </c>
      <c r="AT435" s="37">
        <v>0</v>
      </c>
      <c r="AU435" s="33" t="str">
        <f t="shared" si="10"/>
        <v>库存为0</v>
      </c>
      <c r="AV435" s="38" t="str">
        <f>IFERROR(时间!$B$4+AU435,"上周无销量")</f>
        <v>上周无销量</v>
      </c>
    </row>
    <row r="436" spans="1:48">
      <c r="A436" s="21" t="s">
        <v>957</v>
      </c>
      <c r="B436" t="s">
        <v>746</v>
      </c>
      <c r="C436" t="s">
        <v>950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0</v>
      </c>
      <c r="J436" s="35">
        <v>0</v>
      </c>
      <c r="K436" s="35">
        <v>0</v>
      </c>
      <c r="L436" s="35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10</v>
      </c>
      <c r="AM436">
        <v>4</v>
      </c>
      <c r="AN436" s="23" t="s">
        <v>54</v>
      </c>
      <c r="AO436" s="23" t="s">
        <v>54</v>
      </c>
      <c r="AP436" s="23">
        <v>0</v>
      </c>
      <c r="AQ436" s="23">
        <v>0</v>
      </c>
      <c r="AR436" s="37">
        <v>0</v>
      </c>
      <c r="AS436" s="37">
        <v>0</v>
      </c>
      <c r="AT436" s="37">
        <v>0</v>
      </c>
      <c r="AU436" s="33" t="str">
        <f t="shared" si="10"/>
        <v>库存为0</v>
      </c>
      <c r="AV436" s="38" t="str">
        <f>IFERROR(时间!$B$4+AU436,"上周无销量")</f>
        <v>上周无销量</v>
      </c>
    </row>
    <row r="437" spans="1:48">
      <c r="A437" s="21" t="s">
        <v>958</v>
      </c>
      <c r="B437" t="s">
        <v>753</v>
      </c>
      <c r="C437" t="s">
        <v>950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0</v>
      </c>
      <c r="J437" s="35">
        <v>0</v>
      </c>
      <c r="K437" s="35">
        <v>0</v>
      </c>
      <c r="L437" s="35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4</v>
      </c>
      <c r="AM437">
        <v>3</v>
      </c>
      <c r="AN437" s="23" t="s">
        <v>54</v>
      </c>
      <c r="AO437" s="23" t="s">
        <v>54</v>
      </c>
      <c r="AP437" s="23">
        <v>0</v>
      </c>
      <c r="AQ437" s="23">
        <v>0</v>
      </c>
      <c r="AR437" s="37">
        <v>0</v>
      </c>
      <c r="AS437" s="37">
        <v>0</v>
      </c>
      <c r="AT437" s="37">
        <v>0</v>
      </c>
      <c r="AU437" s="33" t="str">
        <f t="shared" si="10"/>
        <v>库存为0</v>
      </c>
      <c r="AV437" s="38" t="str">
        <f>IFERROR(时间!$B$4+AU437,"上周无销量")</f>
        <v>上周无销量</v>
      </c>
    </row>
    <row r="438" spans="1:48">
      <c r="A438" s="21" t="s">
        <v>959</v>
      </c>
      <c r="B438" t="s">
        <v>763</v>
      </c>
      <c r="C438" t="s">
        <v>950</v>
      </c>
      <c r="D438" s="33">
        <v>0</v>
      </c>
      <c r="E438" s="33">
        <v>0</v>
      </c>
      <c r="F438" s="33">
        <v>0</v>
      </c>
      <c r="G438" s="33">
        <v>0</v>
      </c>
      <c r="H438" s="34">
        <v>0</v>
      </c>
      <c r="I438">
        <v>0</v>
      </c>
      <c r="J438" s="35">
        <v>0</v>
      </c>
      <c r="K438" s="35">
        <v>0</v>
      </c>
      <c r="L438" s="35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4</v>
      </c>
      <c r="AM438">
        <v>1</v>
      </c>
      <c r="AN438" s="23" t="s">
        <v>54</v>
      </c>
      <c r="AO438" s="23" t="s">
        <v>54</v>
      </c>
      <c r="AP438" s="23">
        <v>0</v>
      </c>
      <c r="AQ438" s="23">
        <v>0</v>
      </c>
      <c r="AR438" s="37">
        <v>0</v>
      </c>
      <c r="AS438" s="37">
        <v>0</v>
      </c>
      <c r="AT438" s="37">
        <v>0</v>
      </c>
      <c r="AU438" s="33" t="str">
        <f t="shared" si="10"/>
        <v>库存为0</v>
      </c>
      <c r="AV438" s="38" t="str">
        <f>IFERROR(时间!$B$4+AU438,"上周无销量")</f>
        <v>上周无销量</v>
      </c>
    </row>
    <row r="439" spans="1:48">
      <c r="A439" s="21" t="s">
        <v>960</v>
      </c>
      <c r="B439" t="s">
        <v>765</v>
      </c>
      <c r="C439" t="s">
        <v>950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0</v>
      </c>
      <c r="J439" s="35">
        <v>0</v>
      </c>
      <c r="K439" s="35">
        <v>0</v>
      </c>
      <c r="L439" s="35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1</v>
      </c>
      <c r="AK439">
        <v>0</v>
      </c>
      <c r="AL439">
        <v>2</v>
      </c>
      <c r="AM439">
        <v>1</v>
      </c>
      <c r="AN439" s="23">
        <v>0</v>
      </c>
      <c r="AO439" s="23" t="s">
        <v>54</v>
      </c>
      <c r="AP439" s="23">
        <v>0</v>
      </c>
      <c r="AQ439" s="23">
        <v>0</v>
      </c>
      <c r="AR439" s="37">
        <v>0</v>
      </c>
      <c r="AS439" s="37">
        <v>0</v>
      </c>
      <c r="AT439" s="37">
        <v>0</v>
      </c>
      <c r="AU439" s="33" t="str">
        <f t="shared" si="10"/>
        <v>库存为0</v>
      </c>
      <c r="AV439" s="38" t="str">
        <f>IFERROR(时间!$B$4+AU439,"上周无销量")</f>
        <v>上周无销量</v>
      </c>
    </row>
    <row r="440" spans="1:48">
      <c r="A440" s="21" t="s">
        <v>961</v>
      </c>
      <c r="B440" t="s">
        <v>774</v>
      </c>
      <c r="C440" t="s">
        <v>950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3</v>
      </c>
      <c r="AK440">
        <v>4</v>
      </c>
      <c r="AL440">
        <v>8</v>
      </c>
      <c r="AM440">
        <v>4</v>
      </c>
      <c r="AN440" s="23">
        <v>0</v>
      </c>
      <c r="AO440" s="23">
        <v>0</v>
      </c>
      <c r="AP440" s="23">
        <v>0</v>
      </c>
      <c r="AQ440" s="23">
        <v>0</v>
      </c>
      <c r="AR440" s="37">
        <v>0</v>
      </c>
      <c r="AS440" s="37">
        <v>0</v>
      </c>
      <c r="AT440" s="37">
        <v>0</v>
      </c>
      <c r="AU440" s="33" t="str">
        <f t="shared" si="10"/>
        <v>库存为0</v>
      </c>
      <c r="AV440" s="38" t="str">
        <f>IFERROR(时间!$B$4+AU440,"上周无销量")</f>
        <v>上周无销量</v>
      </c>
    </row>
    <row r="441" spans="1:48">
      <c r="A441" s="21" t="s">
        <v>962</v>
      </c>
      <c r="B441" t="s">
        <v>776</v>
      </c>
      <c r="C441" t="s">
        <v>950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0</v>
      </c>
      <c r="J441" s="35">
        <v>0</v>
      </c>
      <c r="K441" s="35">
        <v>0</v>
      </c>
      <c r="L441" s="35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7</v>
      </c>
      <c r="AM441">
        <v>4</v>
      </c>
      <c r="AN441" s="23" t="s">
        <v>54</v>
      </c>
      <c r="AO441" s="23" t="s">
        <v>54</v>
      </c>
      <c r="AP441" s="23">
        <v>0</v>
      </c>
      <c r="AQ441" s="23">
        <v>0</v>
      </c>
      <c r="AR441" s="37">
        <v>0</v>
      </c>
      <c r="AS441" s="37">
        <v>0</v>
      </c>
      <c r="AT441" s="37">
        <v>0</v>
      </c>
      <c r="AU441" s="33" t="str">
        <f t="shared" si="10"/>
        <v>库存为0</v>
      </c>
      <c r="AV441" s="38" t="str">
        <f>IFERROR(时间!$B$4+AU441,"上周无销量")</f>
        <v>上周无销量</v>
      </c>
    </row>
    <row r="442" spans="1:48">
      <c r="A442" s="21" t="s">
        <v>963</v>
      </c>
      <c r="B442" t="s">
        <v>784</v>
      </c>
      <c r="C442" t="s">
        <v>964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0</v>
      </c>
      <c r="J442" s="35">
        <v>0</v>
      </c>
      <c r="K442" s="35">
        <v>0</v>
      </c>
      <c r="L442" s="35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2</v>
      </c>
      <c r="AL442">
        <v>9</v>
      </c>
      <c r="AM442">
        <v>6</v>
      </c>
      <c r="AN442" s="23" t="s">
        <v>54</v>
      </c>
      <c r="AO442" s="23">
        <v>0</v>
      </c>
      <c r="AP442" s="23">
        <v>0</v>
      </c>
      <c r="AQ442" s="23">
        <v>0</v>
      </c>
      <c r="AR442" s="37">
        <v>0</v>
      </c>
      <c r="AS442" s="37">
        <v>0</v>
      </c>
      <c r="AT442" s="37">
        <v>0</v>
      </c>
      <c r="AU442" s="33" t="str">
        <f t="shared" si="10"/>
        <v>库存为0</v>
      </c>
      <c r="AV442" s="38" t="str">
        <f>IFERROR(时间!$B$4+AU442,"上周无销量")</f>
        <v>上周无销量</v>
      </c>
    </row>
    <row r="443" spans="1:48">
      <c r="A443" s="21" t="s">
        <v>965</v>
      </c>
      <c r="B443" t="s">
        <v>788</v>
      </c>
      <c r="C443" t="s">
        <v>964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0</v>
      </c>
      <c r="J443" s="35">
        <v>0</v>
      </c>
      <c r="K443" s="35">
        <v>0</v>
      </c>
      <c r="L443" s="35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4</v>
      </c>
      <c r="AK443">
        <v>3</v>
      </c>
      <c r="AL443">
        <v>6</v>
      </c>
      <c r="AM443">
        <v>4</v>
      </c>
      <c r="AN443" s="23">
        <v>0</v>
      </c>
      <c r="AO443" s="23">
        <v>0</v>
      </c>
      <c r="AP443" s="23">
        <v>0</v>
      </c>
      <c r="AQ443" s="23">
        <v>0</v>
      </c>
      <c r="AR443" s="37">
        <v>0</v>
      </c>
      <c r="AS443" s="37">
        <v>0</v>
      </c>
      <c r="AT443" s="37">
        <v>0</v>
      </c>
      <c r="AU443" s="33" t="str">
        <f t="shared" si="10"/>
        <v>库存为0</v>
      </c>
      <c r="AV443" s="38" t="str">
        <f>IFERROR(时间!$B$4+AU443,"上周无销量")</f>
        <v>上周无销量</v>
      </c>
    </row>
    <row r="444" spans="1:48">
      <c r="A444" s="21" t="s">
        <v>966</v>
      </c>
      <c r="B444" t="s">
        <v>790</v>
      </c>
      <c r="C444" t="s">
        <v>964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0</v>
      </c>
      <c r="J444" s="35">
        <v>0</v>
      </c>
      <c r="K444" s="35">
        <v>0</v>
      </c>
      <c r="L444" s="35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3</v>
      </c>
      <c r="AM444">
        <v>0</v>
      </c>
      <c r="AN444" s="23" t="s">
        <v>54</v>
      </c>
      <c r="AO444" s="23" t="s">
        <v>54</v>
      </c>
      <c r="AP444" s="23">
        <v>0</v>
      </c>
      <c r="AQ444" s="23" t="s">
        <v>54</v>
      </c>
      <c r="AR444" s="37">
        <v>0</v>
      </c>
      <c r="AS444" s="37">
        <v>0</v>
      </c>
      <c r="AT444" s="37">
        <v>0</v>
      </c>
      <c r="AU444" s="33" t="str">
        <f t="shared" si="10"/>
        <v>库存为0</v>
      </c>
      <c r="AV444" s="38" t="str">
        <f>IFERROR(时间!$B$4+AU444,"上周无销量")</f>
        <v>上周无销量</v>
      </c>
    </row>
    <row r="445" spans="1:48">
      <c r="A445" s="21" t="s">
        <v>967</v>
      </c>
      <c r="B445" t="s">
        <v>807</v>
      </c>
      <c r="C445" t="s">
        <v>964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0</v>
      </c>
      <c r="J445" s="35">
        <v>0</v>
      </c>
      <c r="K445" s="35">
        <v>2</v>
      </c>
      <c r="L445" s="35">
        <v>0</v>
      </c>
      <c r="M445">
        <v>2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1</v>
      </c>
      <c r="AL445">
        <v>2</v>
      </c>
      <c r="AM445">
        <v>2</v>
      </c>
      <c r="AN445" s="23" t="s">
        <v>54</v>
      </c>
      <c r="AO445" s="23">
        <v>0</v>
      </c>
      <c r="AP445" s="23">
        <v>0</v>
      </c>
      <c r="AQ445" s="23">
        <v>0</v>
      </c>
      <c r="AR445" s="37">
        <v>0</v>
      </c>
      <c r="AS445" s="37">
        <v>0</v>
      </c>
      <c r="AT445" s="37">
        <v>2</v>
      </c>
      <c r="AU445" s="33" t="str">
        <f t="shared" si="10"/>
        <v>库存为2</v>
      </c>
      <c r="AV445" s="38" t="str">
        <f>IFERROR(时间!$B$4+AU445,"上周无销量")</f>
        <v>上周无销量</v>
      </c>
    </row>
    <row r="446" spans="1:48">
      <c r="A446" s="21" t="s">
        <v>968</v>
      </c>
      <c r="B446" t="s">
        <v>802</v>
      </c>
      <c r="C446" t="s">
        <v>964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0</v>
      </c>
      <c r="J446" s="35">
        <v>0</v>
      </c>
      <c r="K446" s="35">
        <v>0</v>
      </c>
      <c r="L446" s="35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1</v>
      </c>
      <c r="AL446">
        <v>2</v>
      </c>
      <c r="AM446">
        <v>2</v>
      </c>
      <c r="AN446" s="23" t="s">
        <v>54</v>
      </c>
      <c r="AO446" s="23">
        <v>0</v>
      </c>
      <c r="AP446" s="23">
        <v>0</v>
      </c>
      <c r="AQ446" s="23">
        <v>0</v>
      </c>
      <c r="AR446" s="37">
        <v>0</v>
      </c>
      <c r="AS446" s="37">
        <v>0</v>
      </c>
      <c r="AT446" s="37">
        <v>0</v>
      </c>
      <c r="AU446" s="33" t="str">
        <f t="shared" si="10"/>
        <v>库存为0</v>
      </c>
      <c r="AV446" s="38" t="str">
        <f>IFERROR(时间!$B$4+AU446,"上周无销量")</f>
        <v>上周无销量</v>
      </c>
    </row>
    <row r="447" spans="1:48">
      <c r="A447" s="21" t="s">
        <v>969</v>
      </c>
      <c r="B447" t="s">
        <v>814</v>
      </c>
      <c r="C447" t="s">
        <v>970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0</v>
      </c>
      <c r="J447" s="35">
        <v>0</v>
      </c>
      <c r="K447" s="35">
        <v>2</v>
      </c>
      <c r="L447" s="35">
        <v>0</v>
      </c>
      <c r="M447">
        <v>2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1</v>
      </c>
      <c r="AL447">
        <v>1</v>
      </c>
      <c r="AM447">
        <v>3</v>
      </c>
      <c r="AN447" s="23" t="s">
        <v>54</v>
      </c>
      <c r="AO447" s="23">
        <v>0</v>
      </c>
      <c r="AP447" s="23">
        <v>0</v>
      </c>
      <c r="AQ447" s="23">
        <v>0</v>
      </c>
      <c r="AR447" s="37">
        <v>0</v>
      </c>
      <c r="AS447" s="37">
        <v>0</v>
      </c>
      <c r="AT447" s="37">
        <v>2</v>
      </c>
      <c r="AU447" s="33" t="str">
        <f t="shared" si="10"/>
        <v>库存为2</v>
      </c>
      <c r="AV447" s="38" t="str">
        <f>IFERROR(时间!$B$4+AU447,"上周无销量")</f>
        <v>上周无销量</v>
      </c>
    </row>
    <row r="448" spans="1:48">
      <c r="A448" s="21" t="s">
        <v>971</v>
      </c>
      <c r="B448" t="s">
        <v>816</v>
      </c>
      <c r="C448" t="s">
        <v>970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1</v>
      </c>
      <c r="AL448">
        <v>46</v>
      </c>
      <c r="AM448">
        <v>1</v>
      </c>
      <c r="AN448" s="23" t="s">
        <v>54</v>
      </c>
      <c r="AO448" s="23">
        <v>0</v>
      </c>
      <c r="AP448" s="23">
        <v>0</v>
      </c>
      <c r="AQ448" s="23">
        <v>0</v>
      </c>
      <c r="AR448" s="37">
        <v>0</v>
      </c>
      <c r="AS448" s="37">
        <v>0</v>
      </c>
      <c r="AT448" s="37">
        <v>0</v>
      </c>
      <c r="AU448" s="33" t="str">
        <f t="shared" si="10"/>
        <v>库存为0</v>
      </c>
      <c r="AV448" s="38" t="str">
        <f>IFERROR(时间!$B$4+AU448,"上周无销量")</f>
        <v>上周无销量</v>
      </c>
    </row>
    <row r="449" spans="1:48">
      <c r="A449" s="21" t="s">
        <v>972</v>
      </c>
      <c r="B449" t="s">
        <v>823</v>
      </c>
      <c r="C449" t="s">
        <v>970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0</v>
      </c>
      <c r="J449" s="35">
        <v>0</v>
      </c>
      <c r="K449" s="35">
        <v>2</v>
      </c>
      <c r="L449" s="35">
        <v>0</v>
      </c>
      <c r="M449">
        <v>2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1</v>
      </c>
      <c r="AL449">
        <v>4</v>
      </c>
      <c r="AM449">
        <v>2</v>
      </c>
      <c r="AN449" s="23" t="s">
        <v>54</v>
      </c>
      <c r="AO449" s="23">
        <v>0</v>
      </c>
      <c r="AP449" s="23">
        <v>0</v>
      </c>
      <c r="AQ449" s="23">
        <v>0</v>
      </c>
      <c r="AR449" s="37">
        <v>0</v>
      </c>
      <c r="AS449" s="37">
        <v>0</v>
      </c>
      <c r="AT449" s="37">
        <v>2</v>
      </c>
      <c r="AU449" s="33" t="str">
        <f t="shared" si="10"/>
        <v>库存为2</v>
      </c>
      <c r="AV449" s="38" t="str">
        <f>IFERROR(时间!$B$4+AU449,"上周无销量")</f>
        <v>上周无销量</v>
      </c>
    </row>
    <row r="450" spans="1:48">
      <c r="A450" s="21" t="s">
        <v>973</v>
      </c>
      <c r="B450" t="s">
        <v>974</v>
      </c>
      <c r="C450" t="s">
        <v>975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11</v>
      </c>
      <c r="J450" s="35">
        <v>0</v>
      </c>
      <c r="K450" s="35">
        <v>0</v>
      </c>
      <c r="L450" s="35">
        <v>0</v>
      </c>
      <c r="M450">
        <v>11</v>
      </c>
      <c r="N450">
        <v>0</v>
      </c>
      <c r="O450">
        <v>10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5</v>
      </c>
      <c r="AK450">
        <v>6</v>
      </c>
      <c r="AL450">
        <v>6</v>
      </c>
      <c r="AM450">
        <v>3</v>
      </c>
      <c r="AN450" s="23">
        <v>0</v>
      </c>
      <c r="AO450" s="23">
        <v>0</v>
      </c>
      <c r="AP450" s="23">
        <v>0</v>
      </c>
      <c r="AQ450" s="23">
        <v>0</v>
      </c>
      <c r="AR450" s="37">
        <v>0</v>
      </c>
      <c r="AS450" s="37">
        <v>0</v>
      </c>
      <c r="AT450" s="37">
        <v>11</v>
      </c>
      <c r="AU450" s="33" t="str">
        <f t="shared" si="10"/>
        <v>库存为11</v>
      </c>
      <c r="AV450" s="38" t="str">
        <f>IFERROR(时间!$B$4+AU450,"上周无销量")</f>
        <v>上周无销量</v>
      </c>
    </row>
    <row r="451" spans="1:48">
      <c r="A451" s="21" t="s">
        <v>976</v>
      </c>
      <c r="B451" t="s">
        <v>977</v>
      </c>
      <c r="C451" t="s">
        <v>975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7</v>
      </c>
      <c r="J451" s="35">
        <v>0</v>
      </c>
      <c r="K451" s="35">
        <v>0</v>
      </c>
      <c r="L451" s="35">
        <v>0</v>
      </c>
      <c r="M451">
        <v>7</v>
      </c>
      <c r="N451">
        <v>0</v>
      </c>
      <c r="O451">
        <v>6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7</v>
      </c>
      <c r="AK451">
        <v>4</v>
      </c>
      <c r="AL451">
        <v>6</v>
      </c>
      <c r="AM451">
        <v>3</v>
      </c>
      <c r="AN451" s="23">
        <v>0</v>
      </c>
      <c r="AO451" s="23">
        <v>0</v>
      </c>
      <c r="AP451" s="23">
        <v>0</v>
      </c>
      <c r="AQ451" s="23">
        <v>0</v>
      </c>
      <c r="AR451" s="37">
        <v>0</v>
      </c>
      <c r="AS451" s="37">
        <v>0</v>
      </c>
      <c r="AT451" s="37">
        <v>7</v>
      </c>
      <c r="AU451" s="33" t="str">
        <f t="shared" si="10"/>
        <v>库存为7</v>
      </c>
      <c r="AV451" s="38" t="str">
        <f>IFERROR(时间!$B$4+AU451,"上周无销量")</f>
        <v>上周无销量</v>
      </c>
    </row>
    <row r="452" spans="1:48">
      <c r="A452" s="21" t="s">
        <v>978</v>
      </c>
      <c r="B452" t="s">
        <v>979</v>
      </c>
      <c r="C452" t="s">
        <v>975</v>
      </c>
      <c r="D452" s="33">
        <v>0</v>
      </c>
      <c r="E452" s="33">
        <v>1</v>
      </c>
      <c r="F452" s="33">
        <v>0</v>
      </c>
      <c r="G452" s="33">
        <v>0</v>
      </c>
      <c r="H452" s="34">
        <v>15.99</v>
      </c>
      <c r="I452">
        <v>1</v>
      </c>
      <c r="J452" s="35">
        <v>0</v>
      </c>
      <c r="K452" s="35">
        <v>0</v>
      </c>
      <c r="L452" s="35">
        <v>0</v>
      </c>
      <c r="M452">
        <v>1</v>
      </c>
      <c r="N452">
        <v>0</v>
      </c>
      <c r="O452">
        <v>1</v>
      </c>
      <c r="P452">
        <v>743</v>
      </c>
      <c r="Q452">
        <v>832</v>
      </c>
      <c r="R452">
        <v>1390</v>
      </c>
      <c r="S452">
        <v>1117</v>
      </c>
      <c r="T452">
        <v>5</v>
      </c>
      <c r="U452">
        <v>1</v>
      </c>
      <c r="V452">
        <v>5</v>
      </c>
      <c r="W452">
        <v>3</v>
      </c>
      <c r="X452" s="23">
        <v>0.00672947510094213</v>
      </c>
      <c r="Y452" s="23">
        <v>0.00120192307692308</v>
      </c>
      <c r="Z452" s="23">
        <v>0.00359712230215827</v>
      </c>
      <c r="AA452" s="23">
        <v>0.0026857654431513</v>
      </c>
      <c r="AB452">
        <v>1.7</v>
      </c>
      <c r="AC452">
        <v>0.47</v>
      </c>
      <c r="AD452">
        <v>1.96</v>
      </c>
      <c r="AE452">
        <v>0.84</v>
      </c>
      <c r="AF452" s="23" t="s">
        <v>980</v>
      </c>
      <c r="AG452" s="23">
        <v>0.0293933708567855</v>
      </c>
      <c r="AH452" s="23" t="s">
        <v>981</v>
      </c>
      <c r="AI452" s="23" t="s">
        <v>982</v>
      </c>
      <c r="AJ452">
        <v>9</v>
      </c>
      <c r="AK452">
        <v>7</v>
      </c>
      <c r="AL452">
        <v>11</v>
      </c>
      <c r="AM452">
        <v>6</v>
      </c>
      <c r="AN452" s="23">
        <v>0</v>
      </c>
      <c r="AO452" s="23">
        <v>0.142857142857143</v>
      </c>
      <c r="AP452" s="23">
        <v>0</v>
      </c>
      <c r="AQ452" s="23">
        <v>0</v>
      </c>
      <c r="AR452" s="37">
        <v>0</v>
      </c>
      <c r="AS452" s="37">
        <v>0</v>
      </c>
      <c r="AT452" s="37">
        <v>1</v>
      </c>
      <c r="AU452" s="33" t="str">
        <f t="shared" si="10"/>
        <v>库存为1</v>
      </c>
      <c r="AV452" s="38" t="str">
        <f>IFERROR(时间!$B$4+AU452,"上周无销量")</f>
        <v>上周无销量</v>
      </c>
    </row>
    <row r="453" spans="1:48">
      <c r="A453" s="21" t="s">
        <v>983</v>
      </c>
      <c r="B453" t="s">
        <v>984</v>
      </c>
      <c r="C453" t="s">
        <v>975</v>
      </c>
      <c r="D453" s="33">
        <v>0</v>
      </c>
      <c r="E453" s="33">
        <v>1</v>
      </c>
      <c r="F453" s="33">
        <v>0</v>
      </c>
      <c r="G453" s="33">
        <v>4</v>
      </c>
      <c r="H453" s="34">
        <v>15.99</v>
      </c>
      <c r="I453">
        <v>1</v>
      </c>
      <c r="J453" s="35">
        <v>0</v>
      </c>
      <c r="K453" s="35">
        <v>0</v>
      </c>
      <c r="L453" s="35">
        <v>0</v>
      </c>
      <c r="M453">
        <v>1</v>
      </c>
      <c r="N453">
        <v>0</v>
      </c>
      <c r="O453">
        <v>0</v>
      </c>
      <c r="P453">
        <v>52</v>
      </c>
      <c r="Q453">
        <v>379</v>
      </c>
      <c r="R453">
        <v>361</v>
      </c>
      <c r="S453">
        <v>812</v>
      </c>
      <c r="T453">
        <v>0</v>
      </c>
      <c r="U453">
        <v>1</v>
      </c>
      <c r="V453">
        <v>4</v>
      </c>
      <c r="W453">
        <v>1</v>
      </c>
      <c r="X453" s="23">
        <v>0</v>
      </c>
      <c r="Y453" s="23">
        <v>0.00263852242744063</v>
      </c>
      <c r="Z453" s="23">
        <v>0.0110803324099723</v>
      </c>
      <c r="AA453" s="23">
        <v>0.00123152709359606</v>
      </c>
      <c r="AB453">
        <v>0</v>
      </c>
      <c r="AC453">
        <v>0.8</v>
      </c>
      <c r="AD453">
        <v>1.49</v>
      </c>
      <c r="AE453">
        <v>0.25</v>
      </c>
      <c r="AF453" s="23" t="s">
        <v>54</v>
      </c>
      <c r="AG453" s="23">
        <v>0.0500312695434647</v>
      </c>
      <c r="AH453" s="23" t="s">
        <v>985</v>
      </c>
      <c r="AI453" s="23">
        <v>0.00390869293308318</v>
      </c>
      <c r="AJ453">
        <v>0</v>
      </c>
      <c r="AK453">
        <v>10</v>
      </c>
      <c r="AL453">
        <v>14</v>
      </c>
      <c r="AM453">
        <v>11</v>
      </c>
      <c r="AN453" s="23" t="s">
        <v>54</v>
      </c>
      <c r="AO453" s="23">
        <v>0.1</v>
      </c>
      <c r="AP453" s="23">
        <v>0</v>
      </c>
      <c r="AQ453" s="23">
        <v>0.363636363636364</v>
      </c>
      <c r="AR453" s="37">
        <v>0</v>
      </c>
      <c r="AS453" s="37">
        <v>0</v>
      </c>
      <c r="AT453" s="37">
        <v>1</v>
      </c>
      <c r="AU453" s="33" t="str">
        <f t="shared" ref="AU453:AU516" si="11">IF(AR453="","库存为"&amp;M453,IF(AS453=0,"库存为"&amp;M453,INT(M453/AR453)))</f>
        <v>库存为1</v>
      </c>
      <c r="AV453" s="38" t="str">
        <f>IFERROR(时间!$B$4+AU453,"上周无销量")</f>
        <v>上周无销量</v>
      </c>
    </row>
    <row r="454" spans="1:48">
      <c r="A454" s="21" t="s">
        <v>986</v>
      </c>
      <c r="B454" t="s">
        <v>987</v>
      </c>
      <c r="C454" t="s">
        <v>975</v>
      </c>
      <c r="D454" s="33">
        <v>1</v>
      </c>
      <c r="E454" s="33">
        <v>1</v>
      </c>
      <c r="F454" s="33">
        <v>0</v>
      </c>
      <c r="G454" s="33">
        <v>1</v>
      </c>
      <c r="H454" s="34">
        <v>15.99</v>
      </c>
      <c r="I454">
        <v>7</v>
      </c>
      <c r="J454" s="35">
        <v>0</v>
      </c>
      <c r="K454" s="35">
        <v>0</v>
      </c>
      <c r="L454" s="35">
        <v>0</v>
      </c>
      <c r="M454">
        <v>7</v>
      </c>
      <c r="N454">
        <v>0</v>
      </c>
      <c r="O454">
        <v>7</v>
      </c>
      <c r="P454">
        <v>199</v>
      </c>
      <c r="Q454">
        <v>288</v>
      </c>
      <c r="R454">
        <v>679</v>
      </c>
      <c r="S454">
        <v>407</v>
      </c>
      <c r="T454">
        <v>1</v>
      </c>
      <c r="U454">
        <v>1</v>
      </c>
      <c r="V454">
        <v>3</v>
      </c>
      <c r="W454">
        <v>2</v>
      </c>
      <c r="X454" s="23">
        <v>0.0050251256281407</v>
      </c>
      <c r="Y454" s="23">
        <v>0.00347222222222222</v>
      </c>
      <c r="Z454" s="23">
        <v>0.00441826215022091</v>
      </c>
      <c r="AA454" s="23">
        <v>0.00491400491400491</v>
      </c>
      <c r="AB454">
        <v>0.42</v>
      </c>
      <c r="AC454">
        <v>0.07</v>
      </c>
      <c r="AD454">
        <v>1.12</v>
      </c>
      <c r="AE454">
        <v>0.68</v>
      </c>
      <c r="AF454" s="23">
        <v>0.0262664165103189</v>
      </c>
      <c r="AG454" s="23">
        <v>0.00437773608505316</v>
      </c>
      <c r="AH454" s="23" t="s">
        <v>988</v>
      </c>
      <c r="AI454" s="23">
        <v>0.042526579111945</v>
      </c>
      <c r="AJ454">
        <v>7</v>
      </c>
      <c r="AK454">
        <v>3</v>
      </c>
      <c r="AL454">
        <v>8</v>
      </c>
      <c r="AM454">
        <v>4</v>
      </c>
      <c r="AN454" s="23">
        <v>0.142857142857143</v>
      </c>
      <c r="AO454" s="23">
        <v>0.333333333333333</v>
      </c>
      <c r="AP454" s="23">
        <v>0</v>
      </c>
      <c r="AQ454" s="23">
        <v>0.25</v>
      </c>
      <c r="AR454" s="37">
        <v>0.142857142857143</v>
      </c>
      <c r="AS454" s="37">
        <v>8.57142857142857</v>
      </c>
      <c r="AT454" s="37">
        <v>-1.57142857142857</v>
      </c>
      <c r="AU454" s="33">
        <f t="shared" si="11"/>
        <v>49</v>
      </c>
      <c r="AV454" s="38">
        <f>IFERROR(时间!$B$4+AU454,"上周无销量")</f>
        <v>43388</v>
      </c>
    </row>
    <row r="455" spans="1:48">
      <c r="A455" s="21" t="s">
        <v>989</v>
      </c>
      <c r="B455" t="s">
        <v>990</v>
      </c>
      <c r="C455" t="s">
        <v>975</v>
      </c>
      <c r="D455" s="33">
        <v>0</v>
      </c>
      <c r="E455" s="33">
        <v>0</v>
      </c>
      <c r="F455" s="33">
        <v>0</v>
      </c>
      <c r="G455" s="33">
        <v>1</v>
      </c>
      <c r="H455" s="34">
        <v>15.99</v>
      </c>
      <c r="I455">
        <v>7</v>
      </c>
      <c r="J455" s="35">
        <v>0</v>
      </c>
      <c r="K455" s="35">
        <v>0</v>
      </c>
      <c r="L455" s="35">
        <v>0</v>
      </c>
      <c r="M455">
        <v>7</v>
      </c>
      <c r="N455">
        <v>0</v>
      </c>
      <c r="O455">
        <v>6</v>
      </c>
      <c r="P455">
        <v>0</v>
      </c>
      <c r="Q455">
        <v>40</v>
      </c>
      <c r="R455">
        <v>248</v>
      </c>
      <c r="S455">
        <v>92</v>
      </c>
      <c r="T455">
        <v>0</v>
      </c>
      <c r="U455">
        <v>0</v>
      </c>
      <c r="V455">
        <v>2</v>
      </c>
      <c r="W455">
        <v>1</v>
      </c>
      <c r="X455" s="23" t="s">
        <v>54</v>
      </c>
      <c r="Y455" s="23">
        <v>0</v>
      </c>
      <c r="Z455" s="23">
        <v>0.00806451612903226</v>
      </c>
      <c r="AA455" s="23">
        <v>0.0108695652173913</v>
      </c>
      <c r="AB455">
        <v>0</v>
      </c>
      <c r="AC455">
        <v>0</v>
      </c>
      <c r="AD455">
        <v>0.83</v>
      </c>
      <c r="AE455">
        <v>0.49</v>
      </c>
      <c r="AF455" s="23" t="s">
        <v>54</v>
      </c>
      <c r="AG455" s="23" t="s">
        <v>54</v>
      </c>
      <c r="AH455" s="23" t="s">
        <v>254</v>
      </c>
      <c r="AI455" s="23">
        <v>0.0306441525953721</v>
      </c>
      <c r="AJ455">
        <v>14</v>
      </c>
      <c r="AK455">
        <v>14</v>
      </c>
      <c r="AL455">
        <v>14</v>
      </c>
      <c r="AM455">
        <v>8</v>
      </c>
      <c r="AN455" s="23">
        <v>0</v>
      </c>
      <c r="AO455" s="23">
        <v>0</v>
      </c>
      <c r="AP455" s="23">
        <v>0</v>
      </c>
      <c r="AQ455" s="23">
        <v>0.125</v>
      </c>
      <c r="AR455" s="37">
        <v>0</v>
      </c>
      <c r="AS455" s="37">
        <v>0</v>
      </c>
      <c r="AT455" s="37">
        <v>7</v>
      </c>
      <c r="AU455" s="33" t="str">
        <f t="shared" si="11"/>
        <v>库存为7</v>
      </c>
      <c r="AV455" s="38" t="str">
        <f>IFERROR(时间!$B$4+AU455,"上周无销量")</f>
        <v>上周无销量</v>
      </c>
    </row>
    <row r="456" spans="1:48">
      <c r="A456" s="21" t="s">
        <v>991</v>
      </c>
      <c r="B456" t="s">
        <v>992</v>
      </c>
      <c r="C456" t="s">
        <v>975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0</v>
      </c>
      <c r="J456" s="35">
        <v>0</v>
      </c>
      <c r="K456" s="35">
        <v>0</v>
      </c>
      <c r="L456" s="35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7">
        <v>0</v>
      </c>
      <c r="AS456" s="37">
        <v>0</v>
      </c>
      <c r="AT456" s="37">
        <v>0</v>
      </c>
      <c r="AU456" s="33" t="str">
        <f t="shared" si="11"/>
        <v>库存为0</v>
      </c>
      <c r="AV456" s="38" t="str">
        <f>IFERROR(时间!$B$4+AU456,"上周无销量")</f>
        <v>上周无销量</v>
      </c>
    </row>
    <row r="457" spans="1:48">
      <c r="A457" s="21" t="s">
        <v>993</v>
      </c>
      <c r="B457" t="s">
        <v>994</v>
      </c>
      <c r="C457" t="s">
        <v>975</v>
      </c>
      <c r="D457" s="33">
        <v>0</v>
      </c>
      <c r="E457" s="33">
        <v>0</v>
      </c>
      <c r="F457" s="33">
        <v>3</v>
      </c>
      <c r="G457" s="33">
        <v>2</v>
      </c>
      <c r="H457" s="34">
        <v>15.99</v>
      </c>
      <c r="I457">
        <v>0</v>
      </c>
      <c r="J457" s="35">
        <v>0</v>
      </c>
      <c r="K457" s="35">
        <v>0</v>
      </c>
      <c r="L457" s="35">
        <v>0</v>
      </c>
      <c r="M457">
        <v>0</v>
      </c>
      <c r="N457">
        <v>0</v>
      </c>
      <c r="O457">
        <v>1</v>
      </c>
      <c r="P457">
        <v>5894</v>
      </c>
      <c r="Q457">
        <v>10585</v>
      </c>
      <c r="R457">
        <v>10456</v>
      </c>
      <c r="S457">
        <v>11632</v>
      </c>
      <c r="T457">
        <v>16</v>
      </c>
      <c r="U457">
        <v>21</v>
      </c>
      <c r="V457">
        <v>35</v>
      </c>
      <c r="W457">
        <v>47</v>
      </c>
      <c r="X457" s="23">
        <v>0.00271462504241602</v>
      </c>
      <c r="Y457" s="23">
        <v>0.00198393953708077</v>
      </c>
      <c r="Z457" s="23">
        <v>0.00334736036725325</v>
      </c>
      <c r="AA457" s="23">
        <v>0.00404057771664374</v>
      </c>
      <c r="AB457">
        <v>5.74</v>
      </c>
      <c r="AC457">
        <v>7.88</v>
      </c>
      <c r="AD457">
        <v>11.84</v>
      </c>
      <c r="AE457">
        <v>16.42</v>
      </c>
      <c r="AF457" s="23" t="s">
        <v>995</v>
      </c>
      <c r="AG457" s="23" t="s">
        <v>996</v>
      </c>
      <c r="AH457" s="23">
        <v>0.246820929747759</v>
      </c>
      <c r="AI457" s="23">
        <v>0.513445903689806</v>
      </c>
      <c r="AJ457">
        <v>29</v>
      </c>
      <c r="AK457">
        <v>27</v>
      </c>
      <c r="AL457">
        <v>36</v>
      </c>
      <c r="AM457">
        <v>37</v>
      </c>
      <c r="AN457" s="23">
        <v>0</v>
      </c>
      <c r="AO457" s="23">
        <v>0</v>
      </c>
      <c r="AP457" s="23">
        <v>0.0833333333333333</v>
      </c>
      <c r="AQ457" s="23">
        <v>0.0540540540540541</v>
      </c>
      <c r="AR457" s="37">
        <v>0</v>
      </c>
      <c r="AS457" s="37">
        <v>0</v>
      </c>
      <c r="AT457" s="37">
        <v>0</v>
      </c>
      <c r="AU457" s="33" t="str">
        <f t="shared" si="11"/>
        <v>库存为0</v>
      </c>
      <c r="AV457" s="38" t="str">
        <f>IFERROR(时间!$B$4+AU457,"上周无销量")</f>
        <v>上周无销量</v>
      </c>
    </row>
    <row r="458" spans="1:48">
      <c r="A458" s="21" t="s">
        <v>997</v>
      </c>
      <c r="B458" t="s">
        <v>998</v>
      </c>
      <c r="C458" t="s">
        <v>975</v>
      </c>
      <c r="D458" s="33">
        <v>2</v>
      </c>
      <c r="E458" s="33">
        <v>1</v>
      </c>
      <c r="F458" s="33">
        <v>0</v>
      </c>
      <c r="G458" s="33">
        <v>1</v>
      </c>
      <c r="H458" s="34">
        <v>15.99</v>
      </c>
      <c r="I458">
        <v>0</v>
      </c>
      <c r="J458" s="35">
        <v>0</v>
      </c>
      <c r="K458" s="35">
        <v>0</v>
      </c>
      <c r="L458" s="35">
        <v>0</v>
      </c>
      <c r="M458">
        <v>0</v>
      </c>
      <c r="N458">
        <v>0</v>
      </c>
      <c r="O458">
        <v>0</v>
      </c>
      <c r="P458">
        <v>321</v>
      </c>
      <c r="Q458">
        <v>984</v>
      </c>
      <c r="R458">
        <v>1016</v>
      </c>
      <c r="S458">
        <v>1219</v>
      </c>
      <c r="T458">
        <v>5</v>
      </c>
      <c r="U458">
        <v>4</v>
      </c>
      <c r="V458">
        <v>4</v>
      </c>
      <c r="W458">
        <v>7</v>
      </c>
      <c r="X458" s="23">
        <v>0.0155763239875389</v>
      </c>
      <c r="Y458" s="23">
        <v>0.0040650406504065</v>
      </c>
      <c r="Z458" s="23">
        <v>0.00393700787401575</v>
      </c>
      <c r="AA458" s="23">
        <v>0.00574241181296144</v>
      </c>
      <c r="AB458">
        <v>2.49</v>
      </c>
      <c r="AC458">
        <v>1.69</v>
      </c>
      <c r="AD458">
        <v>1.57</v>
      </c>
      <c r="AE458">
        <v>3.22</v>
      </c>
      <c r="AF458" s="23">
        <v>0.0778611632270169</v>
      </c>
      <c r="AG458" s="23">
        <v>0.105691056910569</v>
      </c>
      <c r="AH458" s="23" t="s">
        <v>999</v>
      </c>
      <c r="AI458" s="23">
        <v>0.201375859912445</v>
      </c>
      <c r="AJ458">
        <v>21</v>
      </c>
      <c r="AK458">
        <v>16</v>
      </c>
      <c r="AL458">
        <v>23</v>
      </c>
      <c r="AM458">
        <v>15</v>
      </c>
      <c r="AN458" s="23">
        <v>0.0952380952380952</v>
      </c>
      <c r="AO458" s="23">
        <v>0.0625</v>
      </c>
      <c r="AP458" s="23">
        <v>0</v>
      </c>
      <c r="AQ458" s="23">
        <v>0.0666666666666667</v>
      </c>
      <c r="AR458" s="37">
        <v>0.285714285714286</v>
      </c>
      <c r="AS458" s="37">
        <v>17.1428571428571</v>
      </c>
      <c r="AT458" s="37">
        <v>-17.1428571428571</v>
      </c>
      <c r="AU458" s="33">
        <f t="shared" si="11"/>
        <v>0</v>
      </c>
      <c r="AV458" s="38">
        <f>IFERROR(时间!$B$4+AU458,"上周无销量")</f>
        <v>43339</v>
      </c>
    </row>
    <row r="459" spans="1:48">
      <c r="A459" s="21" t="s">
        <v>1000</v>
      </c>
      <c r="B459" t="s">
        <v>1001</v>
      </c>
      <c r="C459" t="s">
        <v>1002</v>
      </c>
      <c r="D459" s="33">
        <v>0</v>
      </c>
      <c r="E459" s="33">
        <v>0</v>
      </c>
      <c r="F459" s="33">
        <v>0</v>
      </c>
      <c r="G459" s="33">
        <v>1</v>
      </c>
      <c r="H459" s="34">
        <v>15.99</v>
      </c>
      <c r="I459">
        <v>11</v>
      </c>
      <c r="J459" s="35">
        <v>0</v>
      </c>
      <c r="K459" s="35">
        <v>0</v>
      </c>
      <c r="L459" s="35">
        <v>0</v>
      </c>
      <c r="M459">
        <v>11</v>
      </c>
      <c r="N459">
        <v>0</v>
      </c>
      <c r="O459">
        <v>11</v>
      </c>
      <c r="P459">
        <v>377</v>
      </c>
      <c r="Q459">
        <v>398</v>
      </c>
      <c r="R459">
        <v>1732</v>
      </c>
      <c r="S459">
        <v>2282</v>
      </c>
      <c r="T459">
        <v>2</v>
      </c>
      <c r="U459">
        <v>1</v>
      </c>
      <c r="V459">
        <v>4</v>
      </c>
      <c r="W459">
        <v>1</v>
      </c>
      <c r="X459" s="23">
        <v>0.00530503978779841</v>
      </c>
      <c r="Y459" s="23">
        <v>0.00251256281407035</v>
      </c>
      <c r="Z459" s="23">
        <v>0.0023094688221709</v>
      </c>
      <c r="AA459" s="23">
        <v>0.000438212094653812</v>
      </c>
      <c r="AB459">
        <v>0.42</v>
      </c>
      <c r="AC459">
        <v>0.27</v>
      </c>
      <c r="AD459">
        <v>1.17</v>
      </c>
      <c r="AE459">
        <v>0.26</v>
      </c>
      <c r="AF459" s="23" t="s">
        <v>1003</v>
      </c>
      <c r="AG459" s="23" t="s">
        <v>656</v>
      </c>
      <c r="AH459" s="23" t="s">
        <v>1004</v>
      </c>
      <c r="AI459" s="23">
        <v>0.016260162601626</v>
      </c>
      <c r="AJ459">
        <v>12</v>
      </c>
      <c r="AK459">
        <v>13</v>
      </c>
      <c r="AL459">
        <v>12</v>
      </c>
      <c r="AM459">
        <v>4</v>
      </c>
      <c r="AN459" s="23">
        <v>0</v>
      </c>
      <c r="AO459" s="23">
        <v>0</v>
      </c>
      <c r="AP459" s="23">
        <v>0</v>
      </c>
      <c r="AQ459" s="23">
        <v>0.25</v>
      </c>
      <c r="AR459" s="37">
        <v>0</v>
      </c>
      <c r="AS459" s="37">
        <v>0</v>
      </c>
      <c r="AT459" s="37">
        <v>11</v>
      </c>
      <c r="AU459" s="33" t="str">
        <f t="shared" si="11"/>
        <v>库存为11</v>
      </c>
      <c r="AV459" s="38" t="str">
        <f>IFERROR(时间!$B$4+AU459,"上周无销量")</f>
        <v>上周无销量</v>
      </c>
    </row>
    <row r="460" spans="1:48">
      <c r="A460" s="21" t="s">
        <v>1005</v>
      </c>
      <c r="B460" t="s">
        <v>1006</v>
      </c>
      <c r="C460" t="s">
        <v>1002</v>
      </c>
      <c r="D460" s="33">
        <v>0</v>
      </c>
      <c r="E460" s="33">
        <v>0</v>
      </c>
      <c r="F460" s="33">
        <v>1</v>
      </c>
      <c r="G460" s="33">
        <v>0</v>
      </c>
      <c r="H460" s="34">
        <v>15.99</v>
      </c>
      <c r="I460">
        <v>12</v>
      </c>
      <c r="J460" s="35">
        <v>0</v>
      </c>
      <c r="K460" s="35">
        <v>0</v>
      </c>
      <c r="L460" s="35">
        <v>0</v>
      </c>
      <c r="M460">
        <v>12</v>
      </c>
      <c r="N460">
        <v>0</v>
      </c>
      <c r="O460">
        <v>12</v>
      </c>
      <c r="P460">
        <v>610</v>
      </c>
      <c r="Q460">
        <v>3626</v>
      </c>
      <c r="R460">
        <v>4990</v>
      </c>
      <c r="S460">
        <v>8452</v>
      </c>
      <c r="T460">
        <v>1</v>
      </c>
      <c r="U460">
        <v>3</v>
      </c>
      <c r="V460">
        <v>16</v>
      </c>
      <c r="W460">
        <v>17</v>
      </c>
      <c r="X460" s="23">
        <v>0.00163934426229508</v>
      </c>
      <c r="Y460" s="23">
        <v>0.000827357970215113</v>
      </c>
      <c r="Z460" s="23">
        <v>0.0032064128256513</v>
      </c>
      <c r="AA460" s="23">
        <v>0.00201135825840038</v>
      </c>
      <c r="AB460">
        <v>0.34</v>
      </c>
      <c r="AC460">
        <v>0.75</v>
      </c>
      <c r="AD460">
        <v>5.51</v>
      </c>
      <c r="AE460">
        <v>6.87</v>
      </c>
      <c r="AF460" s="23" t="s">
        <v>660</v>
      </c>
      <c r="AG460" s="23" t="s">
        <v>299</v>
      </c>
      <c r="AH460" s="23">
        <v>0.344590368980613</v>
      </c>
      <c r="AI460" s="23" t="s">
        <v>1007</v>
      </c>
      <c r="AJ460">
        <v>6</v>
      </c>
      <c r="AK460">
        <v>4</v>
      </c>
      <c r="AL460">
        <v>13</v>
      </c>
      <c r="AM460">
        <v>9</v>
      </c>
      <c r="AN460" s="23">
        <v>0</v>
      </c>
      <c r="AO460" s="23">
        <v>0</v>
      </c>
      <c r="AP460" s="23">
        <v>0.0769230769230769</v>
      </c>
      <c r="AQ460" s="23">
        <v>0</v>
      </c>
      <c r="AR460" s="37">
        <v>0</v>
      </c>
      <c r="AS460" s="37">
        <v>0</v>
      </c>
      <c r="AT460" s="37">
        <v>12</v>
      </c>
      <c r="AU460" s="33" t="str">
        <f t="shared" si="11"/>
        <v>库存为12</v>
      </c>
      <c r="AV460" s="38" t="str">
        <f>IFERROR(时间!$B$4+AU460,"上周无销量")</f>
        <v>上周无销量</v>
      </c>
    </row>
    <row r="461" spans="1:48">
      <c r="A461" s="21" t="s">
        <v>1008</v>
      </c>
      <c r="B461" t="s">
        <v>1009</v>
      </c>
      <c r="C461" t="s">
        <v>1002</v>
      </c>
      <c r="D461" s="33">
        <v>0</v>
      </c>
      <c r="E461" s="33">
        <v>0</v>
      </c>
      <c r="F461" s="33">
        <v>1</v>
      </c>
      <c r="G461" s="33">
        <v>0</v>
      </c>
      <c r="H461" s="34">
        <v>15.99</v>
      </c>
      <c r="I461">
        <v>9</v>
      </c>
      <c r="J461" s="35">
        <v>0</v>
      </c>
      <c r="K461" s="35">
        <v>0</v>
      </c>
      <c r="L461" s="35">
        <v>0</v>
      </c>
      <c r="M461">
        <v>9</v>
      </c>
      <c r="N461">
        <v>0</v>
      </c>
      <c r="O461">
        <v>9</v>
      </c>
      <c r="P461">
        <v>0</v>
      </c>
      <c r="Q461">
        <v>15</v>
      </c>
      <c r="R461">
        <v>42</v>
      </c>
      <c r="S461">
        <v>53</v>
      </c>
      <c r="T461">
        <v>0</v>
      </c>
      <c r="U461">
        <v>0</v>
      </c>
      <c r="V461">
        <v>0</v>
      </c>
      <c r="W461">
        <v>0</v>
      </c>
      <c r="X461" s="23" t="s">
        <v>54</v>
      </c>
      <c r="Y461" s="23">
        <v>0</v>
      </c>
      <c r="Z461" s="23">
        <v>0</v>
      </c>
      <c r="AA461" s="23">
        <v>0</v>
      </c>
      <c r="AB461">
        <v>0</v>
      </c>
      <c r="AC461">
        <v>0</v>
      </c>
      <c r="AD461">
        <v>0</v>
      </c>
      <c r="AE461">
        <v>0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5</v>
      </c>
      <c r="AK461">
        <v>9</v>
      </c>
      <c r="AL461">
        <v>6</v>
      </c>
      <c r="AM461">
        <v>4</v>
      </c>
      <c r="AN461" s="23">
        <v>0</v>
      </c>
      <c r="AO461" s="23">
        <v>0</v>
      </c>
      <c r="AP461" s="23">
        <v>0.166666666666667</v>
      </c>
      <c r="AQ461" s="23">
        <v>0</v>
      </c>
      <c r="AR461" s="37">
        <v>0</v>
      </c>
      <c r="AS461" s="37">
        <v>0</v>
      </c>
      <c r="AT461" s="37">
        <v>9</v>
      </c>
      <c r="AU461" s="33" t="str">
        <f t="shared" si="11"/>
        <v>库存为9</v>
      </c>
      <c r="AV461" s="38" t="str">
        <f>IFERROR(时间!$B$4+AU461,"上周无销量")</f>
        <v>上周无销量</v>
      </c>
    </row>
    <row r="462" spans="1:48">
      <c r="A462" s="21" t="s">
        <v>1010</v>
      </c>
      <c r="B462" t="s">
        <v>1011</v>
      </c>
      <c r="C462" t="s">
        <v>1002</v>
      </c>
      <c r="D462" s="33">
        <v>0</v>
      </c>
      <c r="E462" s="33">
        <v>1</v>
      </c>
      <c r="F462" s="33">
        <v>1</v>
      </c>
      <c r="G462" s="33">
        <v>0</v>
      </c>
      <c r="H462" s="34">
        <v>15.99</v>
      </c>
      <c r="I462">
        <v>5</v>
      </c>
      <c r="J462" s="35">
        <v>0</v>
      </c>
      <c r="K462" s="35">
        <v>0</v>
      </c>
      <c r="L462" s="35">
        <v>0</v>
      </c>
      <c r="M462">
        <v>5</v>
      </c>
      <c r="N462">
        <v>0</v>
      </c>
      <c r="O462">
        <v>5</v>
      </c>
      <c r="P462">
        <v>64</v>
      </c>
      <c r="Q462">
        <v>272</v>
      </c>
      <c r="R462">
        <v>426</v>
      </c>
      <c r="S462">
        <v>288</v>
      </c>
      <c r="T462">
        <v>1</v>
      </c>
      <c r="U462">
        <v>1</v>
      </c>
      <c r="V462">
        <v>1</v>
      </c>
      <c r="W462">
        <v>1</v>
      </c>
      <c r="X462" s="23">
        <v>0.015625</v>
      </c>
      <c r="Y462" s="23">
        <v>0.00367647058823529</v>
      </c>
      <c r="Z462" s="23">
        <v>0.00234741784037559</v>
      </c>
      <c r="AA462" s="23">
        <v>0.00347222222222222</v>
      </c>
      <c r="AB462">
        <v>0.32</v>
      </c>
      <c r="AC462">
        <v>0.28</v>
      </c>
      <c r="AD462">
        <v>0.45</v>
      </c>
      <c r="AE462">
        <v>0.3</v>
      </c>
      <c r="AF462" s="23" t="s">
        <v>1012</v>
      </c>
      <c r="AG462" s="23">
        <v>0.0175109443402126</v>
      </c>
      <c r="AH462" s="23">
        <v>0.0281425891181989</v>
      </c>
      <c r="AI462" s="23" t="s">
        <v>665</v>
      </c>
      <c r="AJ462">
        <v>6</v>
      </c>
      <c r="AK462">
        <v>12</v>
      </c>
      <c r="AL462">
        <v>9</v>
      </c>
      <c r="AM462">
        <v>7</v>
      </c>
      <c r="AN462" s="23">
        <v>0</v>
      </c>
      <c r="AO462" s="23">
        <v>0.0833333333333333</v>
      </c>
      <c r="AP462" s="23">
        <v>0.111111111111111</v>
      </c>
      <c r="AQ462" s="23">
        <v>0</v>
      </c>
      <c r="AR462" s="37">
        <v>0</v>
      </c>
      <c r="AS462" s="37">
        <v>0</v>
      </c>
      <c r="AT462" s="37">
        <v>5</v>
      </c>
      <c r="AU462" s="33" t="str">
        <f t="shared" si="11"/>
        <v>库存为5</v>
      </c>
      <c r="AV462" s="38" t="str">
        <f>IFERROR(时间!$B$4+AU462,"上周无销量")</f>
        <v>上周无销量</v>
      </c>
    </row>
    <row r="463" spans="1:48">
      <c r="A463" s="21" t="s">
        <v>1013</v>
      </c>
      <c r="B463" t="s">
        <v>1014</v>
      </c>
      <c r="C463" t="s">
        <v>1002</v>
      </c>
      <c r="D463" s="33">
        <v>0</v>
      </c>
      <c r="E463" s="33">
        <v>0</v>
      </c>
      <c r="F463" s="33">
        <v>1</v>
      </c>
      <c r="G463" s="33">
        <v>0</v>
      </c>
      <c r="H463" s="34">
        <v>32.83</v>
      </c>
      <c r="I463">
        <v>8</v>
      </c>
      <c r="J463" s="35">
        <v>0</v>
      </c>
      <c r="K463" s="35">
        <v>0</v>
      </c>
      <c r="L463" s="35">
        <v>0</v>
      </c>
      <c r="M463">
        <v>8</v>
      </c>
      <c r="N463">
        <v>0</v>
      </c>
      <c r="O463">
        <v>8</v>
      </c>
      <c r="P463">
        <v>0</v>
      </c>
      <c r="Q463">
        <v>260</v>
      </c>
      <c r="R463">
        <v>702</v>
      </c>
      <c r="S463">
        <v>782</v>
      </c>
      <c r="T463">
        <v>0</v>
      </c>
      <c r="U463">
        <v>0</v>
      </c>
      <c r="V463">
        <v>4</v>
      </c>
      <c r="W463">
        <v>2</v>
      </c>
      <c r="X463" s="23" t="s">
        <v>54</v>
      </c>
      <c r="Y463" s="23">
        <v>0</v>
      </c>
      <c r="Z463" s="23">
        <v>0.0056980056980057</v>
      </c>
      <c r="AA463" s="23">
        <v>0.00255754475703325</v>
      </c>
      <c r="AB463">
        <v>0</v>
      </c>
      <c r="AC463">
        <v>0</v>
      </c>
      <c r="AD463">
        <v>1.71</v>
      </c>
      <c r="AE463">
        <v>0.44</v>
      </c>
      <c r="AF463" s="23" t="s">
        <v>54</v>
      </c>
      <c r="AG463" s="23" t="s">
        <v>54</v>
      </c>
      <c r="AH463" s="23">
        <v>0.0520865062442888</v>
      </c>
      <c r="AI463" s="23" t="s">
        <v>264</v>
      </c>
      <c r="AJ463">
        <v>7</v>
      </c>
      <c r="AK463">
        <v>3</v>
      </c>
      <c r="AL463">
        <v>15</v>
      </c>
      <c r="AM463">
        <v>2</v>
      </c>
      <c r="AN463" s="23">
        <v>0</v>
      </c>
      <c r="AO463" s="23">
        <v>0</v>
      </c>
      <c r="AP463" s="23">
        <v>0.0666666666666667</v>
      </c>
      <c r="AQ463" s="23">
        <v>0</v>
      </c>
      <c r="AR463" s="37">
        <v>0</v>
      </c>
      <c r="AS463" s="37">
        <v>0</v>
      </c>
      <c r="AT463" s="37">
        <v>8</v>
      </c>
      <c r="AU463" s="33" t="str">
        <f t="shared" si="11"/>
        <v>库存为8</v>
      </c>
      <c r="AV463" s="38" t="str">
        <f>IFERROR(时间!$B$4+AU463,"上周无销量")</f>
        <v>上周无销量</v>
      </c>
    </row>
    <row r="464" spans="1:48">
      <c r="A464" s="21" t="s">
        <v>1015</v>
      </c>
      <c r="B464" t="s">
        <v>1016</v>
      </c>
      <c r="C464" t="s">
        <v>1002</v>
      </c>
      <c r="D464" s="33">
        <v>1</v>
      </c>
      <c r="E464" s="33">
        <v>1</v>
      </c>
      <c r="F464" s="33">
        <v>0</v>
      </c>
      <c r="G464" s="33">
        <v>0</v>
      </c>
      <c r="H464" s="34">
        <v>15.99</v>
      </c>
      <c r="I464">
        <v>8</v>
      </c>
      <c r="J464" s="35">
        <v>0</v>
      </c>
      <c r="K464" s="35">
        <v>0</v>
      </c>
      <c r="L464" s="35">
        <v>0</v>
      </c>
      <c r="M464">
        <v>8</v>
      </c>
      <c r="N464">
        <v>0</v>
      </c>
      <c r="O464">
        <v>9</v>
      </c>
      <c r="P464">
        <v>0</v>
      </c>
      <c r="Q464">
        <v>31</v>
      </c>
      <c r="R464">
        <v>97</v>
      </c>
      <c r="S464">
        <v>161</v>
      </c>
      <c r="T464">
        <v>0</v>
      </c>
      <c r="U464">
        <v>0</v>
      </c>
      <c r="V464">
        <v>0</v>
      </c>
      <c r="W464">
        <v>0</v>
      </c>
      <c r="X464" s="23" t="s">
        <v>54</v>
      </c>
      <c r="Y464" s="23">
        <v>0</v>
      </c>
      <c r="Z464" s="23">
        <v>0</v>
      </c>
      <c r="AA464" s="23">
        <v>0</v>
      </c>
      <c r="AB464">
        <v>0</v>
      </c>
      <c r="AC464">
        <v>0</v>
      </c>
      <c r="AD464">
        <v>0</v>
      </c>
      <c r="AE464">
        <v>0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5</v>
      </c>
      <c r="AK464">
        <v>5</v>
      </c>
      <c r="AL464">
        <v>10</v>
      </c>
      <c r="AM464">
        <v>1</v>
      </c>
      <c r="AN464" s="23">
        <v>0.2</v>
      </c>
      <c r="AO464" s="23">
        <v>0.2</v>
      </c>
      <c r="AP464" s="23">
        <v>0</v>
      </c>
      <c r="AQ464" s="23">
        <v>0</v>
      </c>
      <c r="AR464" s="37">
        <v>0.142857142857143</v>
      </c>
      <c r="AS464" s="37">
        <v>8.57142857142857</v>
      </c>
      <c r="AT464" s="37">
        <v>-0.571428571428571</v>
      </c>
      <c r="AU464" s="33">
        <f t="shared" si="11"/>
        <v>56</v>
      </c>
      <c r="AV464" s="38">
        <f>IFERROR(时间!$B$4+AU464,"上周无销量")</f>
        <v>43395</v>
      </c>
    </row>
    <row r="465" spans="1:48">
      <c r="A465" s="21" t="s">
        <v>1017</v>
      </c>
      <c r="B465" t="s">
        <v>1018</v>
      </c>
      <c r="C465" t="s">
        <v>1002</v>
      </c>
      <c r="D465" s="33">
        <v>0</v>
      </c>
      <c r="E465" s="33">
        <v>0</v>
      </c>
      <c r="F465" s="33">
        <v>1</v>
      </c>
      <c r="G465" s="33">
        <v>0</v>
      </c>
      <c r="H465" s="34">
        <v>15.99</v>
      </c>
      <c r="I465">
        <v>3</v>
      </c>
      <c r="J465" s="35">
        <v>0</v>
      </c>
      <c r="K465" s="35">
        <v>0</v>
      </c>
      <c r="L465" s="35">
        <v>0</v>
      </c>
      <c r="M465">
        <v>3</v>
      </c>
      <c r="N465">
        <v>0</v>
      </c>
      <c r="O465">
        <v>3</v>
      </c>
      <c r="P465">
        <v>0</v>
      </c>
      <c r="Q465">
        <v>95</v>
      </c>
      <c r="R465">
        <v>317</v>
      </c>
      <c r="S465">
        <v>185</v>
      </c>
      <c r="T465">
        <v>0</v>
      </c>
      <c r="U465">
        <v>0</v>
      </c>
      <c r="V465">
        <v>1</v>
      </c>
      <c r="W465">
        <v>0</v>
      </c>
      <c r="X465" s="23" t="s">
        <v>54</v>
      </c>
      <c r="Y465" s="23">
        <v>0</v>
      </c>
      <c r="Z465" s="23">
        <v>0.00315457413249211</v>
      </c>
      <c r="AA465" s="23">
        <v>0</v>
      </c>
      <c r="AB465">
        <v>0</v>
      </c>
      <c r="AC465">
        <v>0</v>
      </c>
      <c r="AD465">
        <v>0.49</v>
      </c>
      <c r="AE465">
        <v>0</v>
      </c>
      <c r="AF465" s="23" t="s">
        <v>54</v>
      </c>
      <c r="AG465" s="23" t="s">
        <v>54</v>
      </c>
      <c r="AH465" s="23">
        <v>0.0306441525953721</v>
      </c>
      <c r="AI465" s="23" t="s">
        <v>54</v>
      </c>
      <c r="AJ465">
        <v>6</v>
      </c>
      <c r="AK465">
        <v>10</v>
      </c>
      <c r="AL465">
        <v>11</v>
      </c>
      <c r="AM465">
        <v>4</v>
      </c>
      <c r="AN465" s="23">
        <v>0</v>
      </c>
      <c r="AO465" s="23">
        <v>0</v>
      </c>
      <c r="AP465" s="23">
        <v>0.0909090909090909</v>
      </c>
      <c r="AQ465" s="23">
        <v>0</v>
      </c>
      <c r="AR465" s="37">
        <v>0</v>
      </c>
      <c r="AS465" s="37">
        <v>0</v>
      </c>
      <c r="AT465" s="37">
        <v>3</v>
      </c>
      <c r="AU465" s="33" t="str">
        <f t="shared" si="11"/>
        <v>库存为3</v>
      </c>
      <c r="AV465" s="38" t="str">
        <f>IFERROR(时间!$B$4+AU465,"上周无销量")</f>
        <v>上周无销量</v>
      </c>
    </row>
    <row r="466" spans="1:48">
      <c r="A466" s="21" t="s">
        <v>1019</v>
      </c>
      <c r="B466" t="s">
        <v>1020</v>
      </c>
      <c r="C466" t="s">
        <v>1002</v>
      </c>
      <c r="D466" s="33">
        <v>0</v>
      </c>
      <c r="E466" s="33">
        <v>0</v>
      </c>
      <c r="F466" s="33">
        <v>0</v>
      </c>
      <c r="G466" s="33">
        <v>1</v>
      </c>
      <c r="H466" s="34">
        <v>15.99</v>
      </c>
      <c r="I466">
        <v>5</v>
      </c>
      <c r="J466" s="35">
        <v>0</v>
      </c>
      <c r="K466" s="35">
        <v>0</v>
      </c>
      <c r="L466" s="35">
        <v>0</v>
      </c>
      <c r="M466">
        <v>5</v>
      </c>
      <c r="N466">
        <v>0</v>
      </c>
      <c r="O466">
        <v>4</v>
      </c>
      <c r="P466">
        <v>0</v>
      </c>
      <c r="Q466">
        <v>111</v>
      </c>
      <c r="R466">
        <v>843</v>
      </c>
      <c r="S466">
        <v>52</v>
      </c>
      <c r="T466">
        <v>0</v>
      </c>
      <c r="U466">
        <v>0</v>
      </c>
      <c r="V466">
        <v>0</v>
      </c>
      <c r="W466">
        <v>0</v>
      </c>
      <c r="X466" s="23" t="s">
        <v>54</v>
      </c>
      <c r="Y466" s="23">
        <v>0</v>
      </c>
      <c r="Z466" s="23">
        <v>0</v>
      </c>
      <c r="AA466" s="23">
        <v>0</v>
      </c>
      <c r="AB466">
        <v>0</v>
      </c>
      <c r="AC466">
        <v>0</v>
      </c>
      <c r="AD466">
        <v>0</v>
      </c>
      <c r="AE466">
        <v>0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6</v>
      </c>
      <c r="AK466">
        <v>13</v>
      </c>
      <c r="AL466">
        <v>6</v>
      </c>
      <c r="AM466">
        <v>7</v>
      </c>
      <c r="AN466" s="23">
        <v>0</v>
      </c>
      <c r="AO466" s="23">
        <v>0</v>
      </c>
      <c r="AP466" s="23">
        <v>0</v>
      </c>
      <c r="AQ466" s="23">
        <v>0.142857142857143</v>
      </c>
      <c r="AR466" s="37">
        <v>0</v>
      </c>
      <c r="AS466" s="37">
        <v>0</v>
      </c>
      <c r="AT466" s="37">
        <v>5</v>
      </c>
      <c r="AU466" s="33" t="str">
        <f t="shared" si="11"/>
        <v>库存为5</v>
      </c>
      <c r="AV466" s="38" t="str">
        <f>IFERROR(时间!$B$4+AU466,"上周无销量")</f>
        <v>上周无销量</v>
      </c>
    </row>
    <row r="467" spans="1:48">
      <c r="A467" s="21" t="s">
        <v>1021</v>
      </c>
      <c r="B467" t="s">
        <v>1022</v>
      </c>
      <c r="C467" t="s">
        <v>1002</v>
      </c>
      <c r="D467" s="33">
        <v>0</v>
      </c>
      <c r="E467" s="33">
        <v>0</v>
      </c>
      <c r="F467" s="33">
        <v>1</v>
      </c>
      <c r="G467" s="33">
        <v>0</v>
      </c>
      <c r="H467" s="34">
        <v>15.99</v>
      </c>
      <c r="I467">
        <v>25</v>
      </c>
      <c r="J467" s="35">
        <v>0</v>
      </c>
      <c r="K467" s="35">
        <v>0</v>
      </c>
      <c r="L467" s="35">
        <v>0</v>
      </c>
      <c r="M467">
        <v>25</v>
      </c>
      <c r="N467">
        <v>0</v>
      </c>
      <c r="O467">
        <v>25</v>
      </c>
      <c r="P467">
        <v>4949</v>
      </c>
      <c r="Q467">
        <v>9973</v>
      </c>
      <c r="R467">
        <v>12682</v>
      </c>
      <c r="S467">
        <v>12966</v>
      </c>
      <c r="T467">
        <v>17</v>
      </c>
      <c r="U467">
        <v>29</v>
      </c>
      <c r="V467">
        <v>45</v>
      </c>
      <c r="W467">
        <v>30</v>
      </c>
      <c r="X467" s="23">
        <v>0.00343503738128915</v>
      </c>
      <c r="Y467" s="23">
        <v>0.00290785119823524</v>
      </c>
      <c r="Z467" s="23">
        <v>0.00354833622457026</v>
      </c>
      <c r="AA467" s="23">
        <v>0.002313743637205</v>
      </c>
      <c r="AB467">
        <v>5.85</v>
      </c>
      <c r="AC467">
        <v>10.43</v>
      </c>
      <c r="AD467">
        <v>15.14</v>
      </c>
      <c r="AE467">
        <v>12.07</v>
      </c>
      <c r="AF467" s="23" t="s">
        <v>1023</v>
      </c>
      <c r="AG467" s="23" t="s">
        <v>1024</v>
      </c>
      <c r="AH467" s="23">
        <v>0.946841776110069</v>
      </c>
      <c r="AI467" s="23" t="s">
        <v>1025</v>
      </c>
      <c r="AJ467">
        <v>11</v>
      </c>
      <c r="AK467">
        <v>31</v>
      </c>
      <c r="AL467">
        <v>37</v>
      </c>
      <c r="AM467">
        <v>15</v>
      </c>
      <c r="AN467" s="23">
        <v>0</v>
      </c>
      <c r="AO467" s="23">
        <v>0</v>
      </c>
      <c r="AP467" s="23">
        <v>0.027027027027027</v>
      </c>
      <c r="AQ467" s="23">
        <v>0</v>
      </c>
      <c r="AR467" s="37">
        <v>0</v>
      </c>
      <c r="AS467" s="37">
        <v>0</v>
      </c>
      <c r="AT467" s="37">
        <v>25</v>
      </c>
      <c r="AU467" s="33" t="str">
        <f t="shared" si="11"/>
        <v>库存为25</v>
      </c>
      <c r="AV467" s="38" t="str">
        <f>IFERROR(时间!$B$4+AU467,"上周无销量")</f>
        <v>上周无销量</v>
      </c>
    </row>
    <row r="468" spans="1:48">
      <c r="A468" s="21" t="s">
        <v>1026</v>
      </c>
      <c r="B468" t="s">
        <v>1027</v>
      </c>
      <c r="C468" t="s">
        <v>1028</v>
      </c>
      <c r="D468" s="33">
        <v>0</v>
      </c>
      <c r="E468" s="33">
        <v>1</v>
      </c>
      <c r="F468" s="33">
        <v>0</v>
      </c>
      <c r="G468" s="33">
        <v>0</v>
      </c>
      <c r="H468" s="34">
        <v>15.99</v>
      </c>
      <c r="I468">
        <v>26</v>
      </c>
      <c r="J468" s="35">
        <v>0</v>
      </c>
      <c r="K468" s="35">
        <v>0</v>
      </c>
      <c r="L468" s="35">
        <v>0</v>
      </c>
      <c r="M468">
        <v>26</v>
      </c>
      <c r="N468">
        <v>0</v>
      </c>
      <c r="O468">
        <v>26</v>
      </c>
      <c r="P468">
        <v>0</v>
      </c>
      <c r="Q468">
        <v>99</v>
      </c>
      <c r="R468">
        <v>231</v>
      </c>
      <c r="S468">
        <v>417</v>
      </c>
      <c r="T468">
        <v>0</v>
      </c>
      <c r="U468">
        <v>0</v>
      </c>
      <c r="V468">
        <v>1</v>
      </c>
      <c r="W468">
        <v>1</v>
      </c>
      <c r="X468" s="23" t="s">
        <v>54</v>
      </c>
      <c r="Y468" s="23">
        <v>0</v>
      </c>
      <c r="Z468" s="23">
        <v>0.00432900432900433</v>
      </c>
      <c r="AA468" s="23">
        <v>0.00239808153477218</v>
      </c>
      <c r="AB468">
        <v>0</v>
      </c>
      <c r="AC468">
        <v>0</v>
      </c>
      <c r="AD468">
        <v>0.37</v>
      </c>
      <c r="AE468">
        <v>0.25</v>
      </c>
      <c r="AF468" s="23" t="s">
        <v>54</v>
      </c>
      <c r="AG468" s="23" t="s">
        <v>54</v>
      </c>
      <c r="AH468" s="23" t="s">
        <v>566</v>
      </c>
      <c r="AI468" s="23" t="s">
        <v>303</v>
      </c>
      <c r="AJ468">
        <v>9</v>
      </c>
      <c r="AK468">
        <v>15</v>
      </c>
      <c r="AL468">
        <v>10</v>
      </c>
      <c r="AM468">
        <v>2</v>
      </c>
      <c r="AN468" s="23">
        <v>0</v>
      </c>
      <c r="AO468" s="23">
        <v>0.0666666666666667</v>
      </c>
      <c r="AP468" s="23">
        <v>0</v>
      </c>
      <c r="AQ468" s="23">
        <v>0</v>
      </c>
      <c r="AR468" s="37">
        <v>0</v>
      </c>
      <c r="AS468" s="37">
        <v>0</v>
      </c>
      <c r="AT468" s="37">
        <v>26</v>
      </c>
      <c r="AU468" s="33" t="str">
        <f t="shared" si="11"/>
        <v>库存为26</v>
      </c>
      <c r="AV468" s="38" t="str">
        <f>IFERROR(时间!$B$4+AU468,"上周无销量")</f>
        <v>上周无销量</v>
      </c>
    </row>
    <row r="469" spans="1:48">
      <c r="A469" s="21" t="s">
        <v>1029</v>
      </c>
      <c r="B469" t="s">
        <v>1030</v>
      </c>
      <c r="C469" t="s">
        <v>1028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18</v>
      </c>
      <c r="J469" s="35">
        <v>0</v>
      </c>
      <c r="K469" s="35">
        <v>0</v>
      </c>
      <c r="L469" s="35">
        <v>0</v>
      </c>
      <c r="M469">
        <v>18</v>
      </c>
      <c r="N469">
        <v>0</v>
      </c>
      <c r="O469">
        <v>18</v>
      </c>
      <c r="P469">
        <v>0</v>
      </c>
      <c r="Q469">
        <v>170</v>
      </c>
      <c r="R469">
        <v>411</v>
      </c>
      <c r="S469">
        <v>609</v>
      </c>
      <c r="T469">
        <v>0</v>
      </c>
      <c r="U469">
        <v>1</v>
      </c>
      <c r="V469">
        <v>3</v>
      </c>
      <c r="W469">
        <v>3</v>
      </c>
      <c r="X469" s="23" t="s">
        <v>54</v>
      </c>
      <c r="Y469" s="23">
        <v>0.00588235294117647</v>
      </c>
      <c r="Z469" s="23">
        <v>0.0072992700729927</v>
      </c>
      <c r="AA469" s="23">
        <v>0.00492610837438424</v>
      </c>
      <c r="AB469">
        <v>0</v>
      </c>
      <c r="AC469">
        <v>0.69</v>
      </c>
      <c r="AD469">
        <v>2</v>
      </c>
      <c r="AE469">
        <v>1.36</v>
      </c>
      <c r="AF469" s="23" t="s">
        <v>54</v>
      </c>
      <c r="AG469" s="23" t="s">
        <v>800</v>
      </c>
      <c r="AH469" s="23" t="s">
        <v>1031</v>
      </c>
      <c r="AI469" s="23" t="s">
        <v>1032</v>
      </c>
      <c r="AJ469">
        <v>7</v>
      </c>
      <c r="AK469">
        <v>5</v>
      </c>
      <c r="AL469">
        <v>15</v>
      </c>
      <c r="AM469">
        <v>9</v>
      </c>
      <c r="AN469" s="23">
        <v>0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18</v>
      </c>
      <c r="AU469" s="33" t="str">
        <f t="shared" si="11"/>
        <v>库存为18</v>
      </c>
      <c r="AV469" s="38" t="str">
        <f>IFERROR(时间!$B$4+AU469,"上周无销量")</f>
        <v>上周无销量</v>
      </c>
    </row>
    <row r="470" spans="1:48">
      <c r="A470" s="21" t="s">
        <v>1033</v>
      </c>
      <c r="B470" t="s">
        <v>1034</v>
      </c>
      <c r="C470" t="s">
        <v>1028</v>
      </c>
      <c r="D470" s="33">
        <v>0</v>
      </c>
      <c r="E470" s="33">
        <v>0</v>
      </c>
      <c r="F470" s="33">
        <v>0</v>
      </c>
      <c r="G470" s="33">
        <v>4</v>
      </c>
      <c r="H470" s="34">
        <v>15.99</v>
      </c>
      <c r="I470">
        <v>9</v>
      </c>
      <c r="J470" s="35">
        <v>0</v>
      </c>
      <c r="K470" s="35">
        <v>0</v>
      </c>
      <c r="L470" s="35">
        <v>0</v>
      </c>
      <c r="M470">
        <v>9</v>
      </c>
      <c r="N470">
        <v>0</v>
      </c>
      <c r="O470">
        <v>9</v>
      </c>
      <c r="P470">
        <v>2338</v>
      </c>
      <c r="Q470">
        <v>4954</v>
      </c>
      <c r="R470">
        <v>8910</v>
      </c>
      <c r="S470">
        <v>11055</v>
      </c>
      <c r="T470">
        <v>11</v>
      </c>
      <c r="U470">
        <v>15</v>
      </c>
      <c r="V470">
        <v>34</v>
      </c>
      <c r="W470">
        <v>39</v>
      </c>
      <c r="X470" s="23">
        <v>0.00470487596236099</v>
      </c>
      <c r="Y470" s="23">
        <v>0.00302785627775535</v>
      </c>
      <c r="Z470" s="23">
        <v>0.00381593714927048</v>
      </c>
      <c r="AA470" s="23">
        <v>0.00352781546811398</v>
      </c>
      <c r="AB470">
        <v>4.27</v>
      </c>
      <c r="AC470">
        <v>6.08</v>
      </c>
      <c r="AD470">
        <v>13.19</v>
      </c>
      <c r="AE470">
        <v>15.87</v>
      </c>
      <c r="AF470" s="23" t="s">
        <v>1035</v>
      </c>
      <c r="AG470" s="23" t="s">
        <v>1036</v>
      </c>
      <c r="AH470" s="23" t="s">
        <v>1037</v>
      </c>
      <c r="AI470" s="23">
        <v>0.24812382739212</v>
      </c>
      <c r="AJ470">
        <v>16</v>
      </c>
      <c r="AK470">
        <v>23</v>
      </c>
      <c r="AL470">
        <v>28</v>
      </c>
      <c r="AM470">
        <v>18</v>
      </c>
      <c r="AN470" s="23">
        <v>0</v>
      </c>
      <c r="AO470" s="23">
        <v>0</v>
      </c>
      <c r="AP470" s="23">
        <v>0</v>
      </c>
      <c r="AQ470" s="23">
        <v>0.222222222222222</v>
      </c>
      <c r="AR470" s="37">
        <v>0</v>
      </c>
      <c r="AS470" s="37">
        <v>0</v>
      </c>
      <c r="AT470" s="37">
        <v>9</v>
      </c>
      <c r="AU470" s="33" t="str">
        <f t="shared" si="11"/>
        <v>库存为9</v>
      </c>
      <c r="AV470" s="38" t="str">
        <f>IFERROR(时间!$B$4+AU470,"上周无销量")</f>
        <v>上周无销量</v>
      </c>
    </row>
    <row r="471" spans="1:48">
      <c r="A471" s="21" t="s">
        <v>1038</v>
      </c>
      <c r="B471" t="s">
        <v>1039</v>
      </c>
      <c r="C471" t="s">
        <v>1002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0</v>
      </c>
      <c r="J471" s="35">
        <v>0</v>
      </c>
      <c r="K471" s="35">
        <v>0</v>
      </c>
      <c r="L471" s="35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7">
        <v>0</v>
      </c>
      <c r="AS471" s="37">
        <v>0</v>
      </c>
      <c r="AT471" s="37">
        <v>0</v>
      </c>
      <c r="AU471" s="33" t="str">
        <f t="shared" si="11"/>
        <v>库存为0</v>
      </c>
      <c r="AV471" s="38" t="str">
        <f>IFERROR(时间!$B$4+AU471,"上周无销量")</f>
        <v>上周无销量</v>
      </c>
    </row>
    <row r="472" spans="1:48">
      <c r="A472" s="21" t="s">
        <v>1040</v>
      </c>
      <c r="B472" t="s">
        <v>1041</v>
      </c>
      <c r="C472" t="s">
        <v>1042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0</v>
      </c>
      <c r="J472" s="35">
        <v>0</v>
      </c>
      <c r="K472" s="35">
        <v>0</v>
      </c>
      <c r="L472" s="35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7">
        <v>0</v>
      </c>
      <c r="AS472" s="37">
        <v>0</v>
      </c>
      <c r="AT472" s="37">
        <v>0</v>
      </c>
      <c r="AU472" s="33" t="str">
        <f t="shared" si="11"/>
        <v>库存为0</v>
      </c>
      <c r="AV472" s="38" t="str">
        <f>IFERROR(时间!$B$4+AU472,"上周无销量")</f>
        <v>上周无销量</v>
      </c>
    </row>
    <row r="473" spans="1:48">
      <c r="A473" s="21" t="s">
        <v>1043</v>
      </c>
      <c r="B473" t="s">
        <v>1044</v>
      </c>
      <c r="C473" t="s">
        <v>826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0</v>
      </c>
      <c r="J473" s="35">
        <v>0</v>
      </c>
      <c r="K473" s="35">
        <v>0</v>
      </c>
      <c r="L473" s="35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7">
        <v>0</v>
      </c>
      <c r="AS473" s="37">
        <v>0</v>
      </c>
      <c r="AT473" s="37">
        <v>0</v>
      </c>
      <c r="AU473" s="33" t="str">
        <f t="shared" si="11"/>
        <v>库存为0</v>
      </c>
      <c r="AV473" s="38" t="str">
        <f>IFERROR(时间!$B$4+AU473,"上周无销量")</f>
        <v>上周无销量</v>
      </c>
    </row>
    <row r="474" spans="1:48">
      <c r="A474" s="21" t="s">
        <v>1045</v>
      </c>
      <c r="B474" t="s">
        <v>1046</v>
      </c>
      <c r="C474" t="s">
        <v>1042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19</v>
      </c>
      <c r="J474" s="35">
        <v>0</v>
      </c>
      <c r="K474" s="35">
        <v>0</v>
      </c>
      <c r="L474" s="35">
        <v>0</v>
      </c>
      <c r="M474">
        <v>19</v>
      </c>
      <c r="N474">
        <v>0</v>
      </c>
      <c r="O474">
        <v>19</v>
      </c>
      <c r="P474">
        <v>1092</v>
      </c>
      <c r="Q474">
        <v>2709</v>
      </c>
      <c r="R474">
        <v>2266</v>
      </c>
      <c r="S474">
        <v>1838</v>
      </c>
      <c r="T474">
        <v>4</v>
      </c>
      <c r="U474">
        <v>8</v>
      </c>
      <c r="V474">
        <v>5</v>
      </c>
      <c r="W474">
        <v>10</v>
      </c>
      <c r="X474" s="23">
        <v>0.00366300366300366</v>
      </c>
      <c r="Y474" s="23">
        <v>0.002953119232189</v>
      </c>
      <c r="Z474" s="23">
        <v>0.00220653133274492</v>
      </c>
      <c r="AA474" s="23">
        <v>0.00544069640914037</v>
      </c>
      <c r="AB474">
        <v>1.55</v>
      </c>
      <c r="AC474">
        <v>2.93</v>
      </c>
      <c r="AD474">
        <v>1.81</v>
      </c>
      <c r="AE474">
        <v>3.41</v>
      </c>
      <c r="AF474" s="23" t="s">
        <v>1047</v>
      </c>
      <c r="AG474" s="23" t="s">
        <v>1048</v>
      </c>
      <c r="AH474" s="23" t="s">
        <v>1049</v>
      </c>
      <c r="AI474" s="23" t="s">
        <v>1050</v>
      </c>
      <c r="AJ474">
        <v>10</v>
      </c>
      <c r="AK474">
        <v>18</v>
      </c>
      <c r="AL474">
        <v>15</v>
      </c>
      <c r="AM474">
        <v>16</v>
      </c>
      <c r="AN474" s="23">
        <v>0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19</v>
      </c>
      <c r="AU474" s="33" t="str">
        <f t="shared" si="11"/>
        <v>库存为19</v>
      </c>
      <c r="AV474" s="38" t="str">
        <f>IFERROR(时间!$B$4+AU474,"上周无销量")</f>
        <v>上周无销量</v>
      </c>
    </row>
    <row r="475" spans="1:48">
      <c r="A475" s="21" t="s">
        <v>1051</v>
      </c>
      <c r="B475" t="s">
        <v>1052</v>
      </c>
      <c r="C475" t="s">
        <v>1042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8</v>
      </c>
      <c r="J475" s="35">
        <v>0</v>
      </c>
      <c r="K475" s="35">
        <v>0</v>
      </c>
      <c r="L475" s="35">
        <v>0</v>
      </c>
      <c r="M475">
        <v>8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1</v>
      </c>
      <c r="AL475">
        <v>5</v>
      </c>
      <c r="AM475">
        <v>2</v>
      </c>
      <c r="AN475" s="23" t="s">
        <v>54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8</v>
      </c>
      <c r="AU475" s="33" t="str">
        <f t="shared" si="11"/>
        <v>库存为8</v>
      </c>
      <c r="AV475" s="38" t="str">
        <f>IFERROR(时间!$B$4+AU475,"上周无销量")</f>
        <v>上周无销量</v>
      </c>
    </row>
    <row r="476" spans="1:48">
      <c r="A476" s="21" t="s">
        <v>1053</v>
      </c>
      <c r="B476" t="s">
        <v>1052</v>
      </c>
      <c r="C476" t="s">
        <v>1042</v>
      </c>
      <c r="D476" s="33">
        <v>0</v>
      </c>
      <c r="E476" s="33">
        <v>15</v>
      </c>
      <c r="F476" s="33">
        <v>0</v>
      </c>
      <c r="G476" s="33">
        <v>0</v>
      </c>
      <c r="H476" s="34">
        <v>0</v>
      </c>
      <c r="I476">
        <v>6</v>
      </c>
      <c r="J476" s="35">
        <v>0</v>
      </c>
      <c r="K476" s="35">
        <v>0</v>
      </c>
      <c r="L476" s="35">
        <v>0</v>
      </c>
      <c r="M476">
        <v>6</v>
      </c>
      <c r="N476">
        <v>0</v>
      </c>
      <c r="O476">
        <v>0</v>
      </c>
      <c r="P476">
        <v>22</v>
      </c>
      <c r="Q476">
        <v>6</v>
      </c>
      <c r="R476">
        <v>35</v>
      </c>
      <c r="S476">
        <v>18</v>
      </c>
      <c r="T476">
        <v>0</v>
      </c>
      <c r="U476">
        <v>0</v>
      </c>
      <c r="V476">
        <v>0</v>
      </c>
      <c r="W476">
        <v>0</v>
      </c>
      <c r="X476" s="23">
        <v>0</v>
      </c>
      <c r="Y476" s="23">
        <v>0</v>
      </c>
      <c r="Z476" s="23">
        <v>0</v>
      </c>
      <c r="AA476" s="23">
        <v>0</v>
      </c>
      <c r="AB476">
        <v>0</v>
      </c>
      <c r="AC476">
        <v>0</v>
      </c>
      <c r="AD476">
        <v>0</v>
      </c>
      <c r="AE476">
        <v>0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1</v>
      </c>
      <c r="AL476">
        <v>5</v>
      </c>
      <c r="AM476">
        <v>2</v>
      </c>
      <c r="AN476" s="23" t="s">
        <v>54</v>
      </c>
      <c r="AO476" s="23">
        <v>15</v>
      </c>
      <c r="AP476" s="23">
        <v>0</v>
      </c>
      <c r="AQ476" s="23">
        <v>0</v>
      </c>
      <c r="AR476" s="37">
        <v>0</v>
      </c>
      <c r="AS476" s="37">
        <v>0</v>
      </c>
      <c r="AT476" s="37">
        <v>6</v>
      </c>
      <c r="AU476" s="33" t="str">
        <f t="shared" si="11"/>
        <v>库存为6</v>
      </c>
      <c r="AV476" s="38" t="str">
        <f>IFERROR(时间!$B$4+AU476,"上周无销量")</f>
        <v>上周无销量</v>
      </c>
    </row>
    <row r="477" spans="1:48">
      <c r="A477" s="21" t="s">
        <v>1054</v>
      </c>
      <c r="B477" t="s">
        <v>1055</v>
      </c>
      <c r="C477" t="s">
        <v>1042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0</v>
      </c>
      <c r="J477" s="35">
        <v>0</v>
      </c>
      <c r="K477" s="35">
        <v>5</v>
      </c>
      <c r="L477" s="35">
        <v>0</v>
      </c>
      <c r="M477">
        <v>5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1</v>
      </c>
      <c r="AL477">
        <v>2</v>
      </c>
      <c r="AM477">
        <v>2</v>
      </c>
      <c r="AN477" s="23" t="s">
        <v>54</v>
      </c>
      <c r="AO477" s="23">
        <v>0</v>
      </c>
      <c r="AP477" s="23">
        <v>0</v>
      </c>
      <c r="AQ477" s="23">
        <v>0</v>
      </c>
      <c r="AR477" s="37">
        <v>0</v>
      </c>
      <c r="AS477" s="37">
        <v>0</v>
      </c>
      <c r="AT477" s="37">
        <v>5</v>
      </c>
      <c r="AU477" s="33" t="str">
        <f t="shared" si="11"/>
        <v>库存为5</v>
      </c>
      <c r="AV477" s="38" t="str">
        <f>IFERROR(时间!$B$4+AU477,"上周无销量")</f>
        <v>上周无销量</v>
      </c>
    </row>
    <row r="478" spans="1:48">
      <c r="A478" s="21" t="s">
        <v>1056</v>
      </c>
      <c r="B478" t="s">
        <v>1055</v>
      </c>
      <c r="C478" t="s">
        <v>1042</v>
      </c>
      <c r="D478" s="33">
        <v>0</v>
      </c>
      <c r="E478" s="33">
        <v>28</v>
      </c>
      <c r="F478" s="33">
        <v>0</v>
      </c>
      <c r="G478" s="33">
        <v>0</v>
      </c>
      <c r="H478" s="34">
        <v>0</v>
      </c>
      <c r="I478">
        <v>11</v>
      </c>
      <c r="J478" s="35">
        <v>0</v>
      </c>
      <c r="K478" s="35">
        <v>0</v>
      </c>
      <c r="L478" s="35">
        <v>0</v>
      </c>
      <c r="M478">
        <v>11</v>
      </c>
      <c r="N478">
        <v>0</v>
      </c>
      <c r="O478">
        <v>0</v>
      </c>
      <c r="P478">
        <v>11</v>
      </c>
      <c r="Q478">
        <v>1</v>
      </c>
      <c r="R478">
        <v>18</v>
      </c>
      <c r="S478">
        <v>25</v>
      </c>
      <c r="T478">
        <v>0</v>
      </c>
      <c r="U478">
        <v>0</v>
      </c>
      <c r="V478">
        <v>0</v>
      </c>
      <c r="W478">
        <v>0</v>
      </c>
      <c r="X478" s="23">
        <v>0</v>
      </c>
      <c r="Y478" s="23">
        <v>0</v>
      </c>
      <c r="Z478" s="23">
        <v>0</v>
      </c>
      <c r="AA478" s="23">
        <v>0</v>
      </c>
      <c r="AB478">
        <v>0</v>
      </c>
      <c r="AC478">
        <v>0</v>
      </c>
      <c r="AD478">
        <v>0</v>
      </c>
      <c r="AE478">
        <v>0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1</v>
      </c>
      <c r="AL478">
        <v>2</v>
      </c>
      <c r="AM478">
        <v>2</v>
      </c>
      <c r="AN478" s="23" t="s">
        <v>54</v>
      </c>
      <c r="AO478" s="23">
        <v>28</v>
      </c>
      <c r="AP478" s="23">
        <v>0</v>
      </c>
      <c r="AQ478" s="23">
        <v>0</v>
      </c>
      <c r="AR478" s="37">
        <v>0</v>
      </c>
      <c r="AS478" s="37">
        <v>0</v>
      </c>
      <c r="AT478" s="37">
        <v>11</v>
      </c>
      <c r="AU478" s="33" t="str">
        <f t="shared" si="11"/>
        <v>库存为11</v>
      </c>
      <c r="AV478" s="38" t="str">
        <f>IFERROR(时间!$B$4+AU478,"上周无销量")</f>
        <v>上周无销量</v>
      </c>
    </row>
    <row r="479" spans="1:48">
      <c r="A479" s="21" t="s">
        <v>1057</v>
      </c>
      <c r="B479" t="s">
        <v>1058</v>
      </c>
      <c r="C479" t="s">
        <v>1042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0</v>
      </c>
      <c r="J479" s="35">
        <v>0</v>
      </c>
      <c r="K479" s="35">
        <v>11</v>
      </c>
      <c r="L479" s="35">
        <v>0</v>
      </c>
      <c r="M479">
        <v>11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1</v>
      </c>
      <c r="AL479">
        <v>5</v>
      </c>
      <c r="AM479">
        <v>2</v>
      </c>
      <c r="AN479" s="23" t="s">
        <v>54</v>
      </c>
      <c r="AO479" s="23">
        <v>0</v>
      </c>
      <c r="AP479" s="23">
        <v>0</v>
      </c>
      <c r="AQ479" s="23">
        <v>0</v>
      </c>
      <c r="AR479" s="37">
        <v>0</v>
      </c>
      <c r="AS479" s="37">
        <v>0</v>
      </c>
      <c r="AT479" s="37">
        <v>11</v>
      </c>
      <c r="AU479" s="33" t="str">
        <f t="shared" si="11"/>
        <v>库存为11</v>
      </c>
      <c r="AV479" s="38" t="str">
        <f>IFERROR(时间!$B$4+AU479,"上周无销量")</f>
        <v>上周无销量</v>
      </c>
    </row>
    <row r="480" spans="1:48">
      <c r="A480" s="21" t="s">
        <v>1059</v>
      </c>
      <c r="B480" t="s">
        <v>1058</v>
      </c>
      <c r="C480" t="s">
        <v>1042</v>
      </c>
      <c r="D480" s="33">
        <v>0</v>
      </c>
      <c r="E480" s="33">
        <v>30</v>
      </c>
      <c r="F480" s="33">
        <v>0</v>
      </c>
      <c r="G480" s="33">
        <v>0</v>
      </c>
      <c r="H480" s="34">
        <v>0</v>
      </c>
      <c r="I480">
        <v>8</v>
      </c>
      <c r="J480" s="35">
        <v>0</v>
      </c>
      <c r="K480" s="35">
        <v>0</v>
      </c>
      <c r="L480" s="35">
        <v>0</v>
      </c>
      <c r="M480">
        <v>8</v>
      </c>
      <c r="N480">
        <v>0</v>
      </c>
      <c r="O480">
        <v>0</v>
      </c>
      <c r="P480">
        <v>0</v>
      </c>
      <c r="Q480">
        <v>1</v>
      </c>
      <c r="R480">
        <v>4</v>
      </c>
      <c r="S480">
        <v>6</v>
      </c>
      <c r="T480">
        <v>0</v>
      </c>
      <c r="U480">
        <v>0</v>
      </c>
      <c r="V480">
        <v>0</v>
      </c>
      <c r="W480">
        <v>0</v>
      </c>
      <c r="X480" s="23" t="s">
        <v>54</v>
      </c>
      <c r="Y480" s="23">
        <v>0</v>
      </c>
      <c r="Z480" s="23">
        <v>0</v>
      </c>
      <c r="AA480" s="23">
        <v>0</v>
      </c>
      <c r="AB480">
        <v>0</v>
      </c>
      <c r="AC480">
        <v>0</v>
      </c>
      <c r="AD480">
        <v>0</v>
      </c>
      <c r="AE480">
        <v>0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1</v>
      </c>
      <c r="AL480">
        <v>5</v>
      </c>
      <c r="AM480">
        <v>2</v>
      </c>
      <c r="AN480" s="23" t="s">
        <v>54</v>
      </c>
      <c r="AO480" s="23">
        <v>30</v>
      </c>
      <c r="AP480" s="23">
        <v>0</v>
      </c>
      <c r="AQ480" s="23">
        <v>0</v>
      </c>
      <c r="AR480" s="37">
        <v>0</v>
      </c>
      <c r="AS480" s="37">
        <v>0</v>
      </c>
      <c r="AT480" s="37">
        <v>8</v>
      </c>
      <c r="AU480" s="33" t="str">
        <f t="shared" si="11"/>
        <v>库存为8</v>
      </c>
      <c r="AV480" s="38" t="str">
        <f>IFERROR(时间!$B$4+AU480,"上周无销量")</f>
        <v>上周无销量</v>
      </c>
    </row>
    <row r="481" spans="1:48">
      <c r="A481" s="21" t="s">
        <v>1060</v>
      </c>
      <c r="B481" t="s">
        <v>1061</v>
      </c>
      <c r="C481" t="s">
        <v>826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0</v>
      </c>
      <c r="J481" s="35">
        <v>0</v>
      </c>
      <c r="K481" s="35">
        <v>0</v>
      </c>
      <c r="L481" s="35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1</v>
      </c>
      <c r="AL481">
        <v>5</v>
      </c>
      <c r="AM481">
        <v>4</v>
      </c>
      <c r="AN481" s="23" t="s">
        <v>54</v>
      </c>
      <c r="AO481" s="23">
        <v>0</v>
      </c>
      <c r="AP481" s="23">
        <v>0</v>
      </c>
      <c r="AQ481" s="23">
        <v>0</v>
      </c>
      <c r="AR481" s="37">
        <v>0</v>
      </c>
      <c r="AS481" s="37">
        <v>0</v>
      </c>
      <c r="AT481" s="37">
        <v>0</v>
      </c>
      <c r="AU481" s="33" t="str">
        <f t="shared" si="11"/>
        <v>库存为0</v>
      </c>
      <c r="AV481" s="38" t="str">
        <f>IFERROR(时间!$B$4+AU481,"上周无销量")</f>
        <v>上周无销量</v>
      </c>
    </row>
    <row r="482" spans="1:48">
      <c r="A482" s="21" t="s">
        <v>1062</v>
      </c>
      <c r="B482" t="s">
        <v>1061</v>
      </c>
      <c r="C482" t="s">
        <v>1002</v>
      </c>
      <c r="D482" s="33">
        <v>0</v>
      </c>
      <c r="E482" s="33">
        <v>13</v>
      </c>
      <c r="F482" s="33">
        <v>0</v>
      </c>
      <c r="G482" s="33">
        <v>0</v>
      </c>
      <c r="H482" s="34">
        <v>0</v>
      </c>
      <c r="I482">
        <v>4</v>
      </c>
      <c r="J482" s="35">
        <v>0</v>
      </c>
      <c r="K482" s="35">
        <v>0</v>
      </c>
      <c r="L482" s="35">
        <v>0</v>
      </c>
      <c r="M482">
        <v>4</v>
      </c>
      <c r="N482">
        <v>0</v>
      </c>
      <c r="O482">
        <v>0</v>
      </c>
      <c r="P482">
        <v>19</v>
      </c>
      <c r="Q482">
        <v>19</v>
      </c>
      <c r="R482">
        <v>76</v>
      </c>
      <c r="S482">
        <v>91</v>
      </c>
      <c r="T482">
        <v>0</v>
      </c>
      <c r="U482">
        <v>0</v>
      </c>
      <c r="V482">
        <v>0</v>
      </c>
      <c r="W482">
        <v>0</v>
      </c>
      <c r="X482" s="23">
        <v>0</v>
      </c>
      <c r="Y482" s="23">
        <v>0</v>
      </c>
      <c r="Z482" s="23">
        <v>0</v>
      </c>
      <c r="AA482" s="23">
        <v>0</v>
      </c>
      <c r="AB482">
        <v>0</v>
      </c>
      <c r="AC482">
        <v>0</v>
      </c>
      <c r="AD482">
        <v>0</v>
      </c>
      <c r="AE482">
        <v>0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1</v>
      </c>
      <c r="AL482">
        <v>5</v>
      </c>
      <c r="AM482">
        <v>4</v>
      </c>
      <c r="AN482" s="23" t="s">
        <v>54</v>
      </c>
      <c r="AO482" s="23">
        <v>13</v>
      </c>
      <c r="AP482" s="23">
        <v>0</v>
      </c>
      <c r="AQ482" s="23">
        <v>0</v>
      </c>
      <c r="AR482" s="37">
        <v>0</v>
      </c>
      <c r="AS482" s="37">
        <v>0</v>
      </c>
      <c r="AT482" s="37">
        <v>4</v>
      </c>
      <c r="AU482" s="33" t="str">
        <f t="shared" si="11"/>
        <v>库存为4</v>
      </c>
      <c r="AV482" s="38" t="str">
        <f>IFERROR(时间!$B$4+AU482,"上周无销量")</f>
        <v>上周无销量</v>
      </c>
    </row>
    <row r="483" spans="1:48">
      <c r="A483" s="21" t="s">
        <v>1063</v>
      </c>
      <c r="B483" t="s">
        <v>1064</v>
      </c>
      <c r="C483" t="s">
        <v>1002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5</v>
      </c>
      <c r="J483" s="35">
        <v>0</v>
      </c>
      <c r="K483" s="35">
        <v>0</v>
      </c>
      <c r="L483" s="35">
        <v>0</v>
      </c>
      <c r="M483">
        <v>5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1</v>
      </c>
      <c r="AL483">
        <v>4</v>
      </c>
      <c r="AM483">
        <v>2</v>
      </c>
      <c r="AN483" s="23" t="s">
        <v>54</v>
      </c>
      <c r="AO483" s="23">
        <v>0</v>
      </c>
      <c r="AP483" s="23">
        <v>0</v>
      </c>
      <c r="AQ483" s="23">
        <v>0</v>
      </c>
      <c r="AR483" s="37">
        <v>0</v>
      </c>
      <c r="AS483" s="37">
        <v>0</v>
      </c>
      <c r="AT483" s="37">
        <v>5</v>
      </c>
      <c r="AU483" s="33" t="str">
        <f t="shared" si="11"/>
        <v>库存为5</v>
      </c>
      <c r="AV483" s="38" t="str">
        <f>IFERROR(时间!$B$4+AU483,"上周无销量")</f>
        <v>上周无销量</v>
      </c>
    </row>
    <row r="484" spans="1:48">
      <c r="A484" s="21" t="s">
        <v>1065</v>
      </c>
      <c r="B484" t="s">
        <v>1064</v>
      </c>
      <c r="C484" t="s">
        <v>1002</v>
      </c>
      <c r="D484" s="33">
        <v>0</v>
      </c>
      <c r="E484" s="33">
        <v>9</v>
      </c>
      <c r="F484" s="33">
        <v>0</v>
      </c>
      <c r="G484" s="33">
        <v>0</v>
      </c>
      <c r="H484" s="34">
        <v>0</v>
      </c>
      <c r="I484">
        <v>0</v>
      </c>
      <c r="J484" s="35">
        <v>0</v>
      </c>
      <c r="K484" s="35">
        <v>0</v>
      </c>
      <c r="L484" s="35">
        <v>0</v>
      </c>
      <c r="M484">
        <v>0</v>
      </c>
      <c r="N484">
        <v>0</v>
      </c>
      <c r="O484">
        <v>0</v>
      </c>
      <c r="P484">
        <v>0</v>
      </c>
      <c r="Q484">
        <v>1</v>
      </c>
      <c r="R484">
        <v>11</v>
      </c>
      <c r="S484">
        <v>6</v>
      </c>
      <c r="T484">
        <v>0</v>
      </c>
      <c r="U484">
        <v>0</v>
      </c>
      <c r="V484">
        <v>0</v>
      </c>
      <c r="W484">
        <v>0</v>
      </c>
      <c r="X484" s="23" t="s">
        <v>54</v>
      </c>
      <c r="Y484" s="23">
        <v>0</v>
      </c>
      <c r="Z484" s="23">
        <v>0</v>
      </c>
      <c r="AA484" s="23">
        <v>0</v>
      </c>
      <c r="AB484">
        <v>0</v>
      </c>
      <c r="AC484">
        <v>0</v>
      </c>
      <c r="AD484">
        <v>0</v>
      </c>
      <c r="AE484">
        <v>0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1</v>
      </c>
      <c r="AL484">
        <v>4</v>
      </c>
      <c r="AM484">
        <v>2</v>
      </c>
      <c r="AN484" s="23" t="s">
        <v>54</v>
      </c>
      <c r="AO484" s="23">
        <v>9</v>
      </c>
      <c r="AP484" s="23">
        <v>0</v>
      </c>
      <c r="AQ484" s="23">
        <v>0</v>
      </c>
      <c r="AR484" s="37">
        <v>0</v>
      </c>
      <c r="AS484" s="37">
        <v>0</v>
      </c>
      <c r="AT484" s="37">
        <v>0</v>
      </c>
      <c r="AU484" s="33" t="str">
        <f t="shared" si="11"/>
        <v>库存为0</v>
      </c>
      <c r="AV484" s="38" t="str">
        <f>IFERROR(时间!$B$4+AU484,"上周无销量")</f>
        <v>上周无销量</v>
      </c>
    </row>
    <row r="485" spans="1:48">
      <c r="A485" s="21" t="s">
        <v>1066</v>
      </c>
      <c r="B485" t="s">
        <v>1067</v>
      </c>
      <c r="C485" t="s">
        <v>1002</v>
      </c>
      <c r="D485" s="33">
        <v>0</v>
      </c>
      <c r="E485" s="33">
        <v>0</v>
      </c>
      <c r="F485" s="33">
        <v>0</v>
      </c>
      <c r="G485" s="33">
        <v>1</v>
      </c>
      <c r="H485" s="34">
        <v>15.99</v>
      </c>
      <c r="I485">
        <v>28</v>
      </c>
      <c r="J485" s="35">
        <v>0</v>
      </c>
      <c r="K485" s="35">
        <v>0</v>
      </c>
      <c r="L485" s="35">
        <v>0</v>
      </c>
      <c r="M485">
        <v>28</v>
      </c>
      <c r="N485">
        <v>0</v>
      </c>
      <c r="O485">
        <v>27</v>
      </c>
      <c r="P485">
        <v>528</v>
      </c>
      <c r="Q485">
        <v>1084</v>
      </c>
      <c r="R485">
        <v>1553</v>
      </c>
      <c r="S485">
        <v>1683</v>
      </c>
      <c r="T485">
        <v>0</v>
      </c>
      <c r="U485">
        <v>1</v>
      </c>
      <c r="V485">
        <v>5</v>
      </c>
      <c r="W485">
        <v>6</v>
      </c>
      <c r="X485" s="23">
        <v>0</v>
      </c>
      <c r="Y485" s="23">
        <v>0.000922509225092251</v>
      </c>
      <c r="Z485" s="23">
        <v>0.00321957501609787</v>
      </c>
      <c r="AA485" s="23">
        <v>0.0035650623885918</v>
      </c>
      <c r="AB485">
        <v>0</v>
      </c>
      <c r="AC485">
        <v>0.31</v>
      </c>
      <c r="AD485">
        <v>2</v>
      </c>
      <c r="AE485">
        <v>2.11</v>
      </c>
      <c r="AF485" s="23" t="s">
        <v>54</v>
      </c>
      <c r="AG485" s="23" t="s">
        <v>1068</v>
      </c>
      <c r="AH485" s="23" t="s">
        <v>1031</v>
      </c>
      <c r="AI485" s="23">
        <v>0.131957473420888</v>
      </c>
      <c r="AJ485">
        <v>16</v>
      </c>
      <c r="AK485">
        <v>12</v>
      </c>
      <c r="AL485">
        <v>8</v>
      </c>
      <c r="AM485">
        <v>11</v>
      </c>
      <c r="AN485" s="23">
        <v>0</v>
      </c>
      <c r="AO485" s="23">
        <v>0</v>
      </c>
      <c r="AP485" s="23">
        <v>0</v>
      </c>
      <c r="AQ485" s="23">
        <v>0.0909090909090909</v>
      </c>
      <c r="AR485" s="37">
        <v>0</v>
      </c>
      <c r="AS485" s="37">
        <v>0</v>
      </c>
      <c r="AT485" s="37">
        <v>28</v>
      </c>
      <c r="AU485" s="33" t="str">
        <f t="shared" si="11"/>
        <v>库存为28</v>
      </c>
      <c r="AV485" s="38" t="str">
        <f>IFERROR(时间!$B$4+AU485,"上周无销量")</f>
        <v>上周无销量</v>
      </c>
    </row>
    <row r="486" spans="1:48">
      <c r="A486" s="21" t="s">
        <v>1069</v>
      </c>
      <c r="B486" t="s">
        <v>1070</v>
      </c>
      <c r="C486" t="s">
        <v>1002</v>
      </c>
      <c r="D486" s="33">
        <v>3</v>
      </c>
      <c r="E486" s="33">
        <v>1</v>
      </c>
      <c r="F486" s="33">
        <v>0</v>
      </c>
      <c r="G486" s="33">
        <v>3</v>
      </c>
      <c r="H486" s="34">
        <v>15.99</v>
      </c>
      <c r="I486">
        <v>3</v>
      </c>
      <c r="J486" s="35">
        <v>0</v>
      </c>
      <c r="K486" s="35">
        <v>0</v>
      </c>
      <c r="L486" s="35">
        <v>0</v>
      </c>
      <c r="M486">
        <v>3</v>
      </c>
      <c r="N486">
        <v>0</v>
      </c>
      <c r="O486">
        <v>4</v>
      </c>
      <c r="P486">
        <v>0</v>
      </c>
      <c r="Q486">
        <v>93</v>
      </c>
      <c r="R486">
        <v>259</v>
      </c>
      <c r="S486">
        <v>183</v>
      </c>
      <c r="T486">
        <v>0</v>
      </c>
      <c r="U486">
        <v>1</v>
      </c>
      <c r="V486">
        <v>0</v>
      </c>
      <c r="W486">
        <v>0</v>
      </c>
      <c r="X486" s="23" t="s">
        <v>54</v>
      </c>
      <c r="Y486" s="23">
        <v>0.010752688172043</v>
      </c>
      <c r="Z486" s="23">
        <v>0</v>
      </c>
      <c r="AA486" s="23">
        <v>0</v>
      </c>
      <c r="AB486">
        <v>0</v>
      </c>
      <c r="AC486">
        <v>0.33</v>
      </c>
      <c r="AD486">
        <v>0</v>
      </c>
      <c r="AE486">
        <v>0</v>
      </c>
      <c r="AF486" s="23" t="s">
        <v>54</v>
      </c>
      <c r="AG486" s="23">
        <v>0.0206378986866792</v>
      </c>
      <c r="AH486" s="23" t="s">
        <v>54</v>
      </c>
      <c r="AI486" s="23" t="s">
        <v>54</v>
      </c>
      <c r="AJ486">
        <v>9</v>
      </c>
      <c r="AK486">
        <v>5</v>
      </c>
      <c r="AL486">
        <v>11</v>
      </c>
      <c r="AM486">
        <v>7</v>
      </c>
      <c r="AN486" s="23">
        <v>0.333333333333333</v>
      </c>
      <c r="AO486" s="23">
        <v>0.2</v>
      </c>
      <c r="AP486" s="23">
        <v>0</v>
      </c>
      <c r="AQ486" s="23">
        <v>0.428571428571429</v>
      </c>
      <c r="AR486" s="37">
        <v>0.428571428571429</v>
      </c>
      <c r="AS486" s="37">
        <v>25.7142857142857</v>
      </c>
      <c r="AT486" s="37">
        <v>-22.7142857142857</v>
      </c>
      <c r="AU486" s="33">
        <f t="shared" si="11"/>
        <v>7</v>
      </c>
      <c r="AV486" s="38">
        <f>IFERROR(时间!$B$4+AU486,"上周无销量")</f>
        <v>43346</v>
      </c>
    </row>
    <row r="487" spans="1:48">
      <c r="A487" s="21" t="s">
        <v>1071</v>
      </c>
      <c r="B487" t="s">
        <v>1072</v>
      </c>
      <c r="C487" t="s">
        <v>1002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0</v>
      </c>
      <c r="J487" s="35">
        <v>0</v>
      </c>
      <c r="K487" s="35">
        <v>0</v>
      </c>
      <c r="L487" s="35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7">
        <v>0</v>
      </c>
      <c r="AS487" s="37">
        <v>0</v>
      </c>
      <c r="AT487" s="37">
        <v>0</v>
      </c>
      <c r="AU487" s="33" t="str">
        <f t="shared" si="11"/>
        <v>库存为0</v>
      </c>
      <c r="AV487" s="38" t="str">
        <f>IFERROR(时间!$B$4+AU487,"上周无销量")</f>
        <v>上周无销量</v>
      </c>
    </row>
    <row r="488" spans="1:48">
      <c r="A488" s="21" t="s">
        <v>1073</v>
      </c>
      <c r="B488" t="s">
        <v>1074</v>
      </c>
      <c r="C488" t="s">
        <v>1002</v>
      </c>
      <c r="D488" s="33">
        <v>2</v>
      </c>
      <c r="E488" s="33">
        <v>0</v>
      </c>
      <c r="F488" s="33">
        <v>0</v>
      </c>
      <c r="G488" s="33">
        <v>0</v>
      </c>
      <c r="H488" s="34">
        <v>15.99</v>
      </c>
      <c r="I488">
        <v>11</v>
      </c>
      <c r="J488" s="35">
        <v>0</v>
      </c>
      <c r="K488" s="35">
        <v>0</v>
      </c>
      <c r="L488" s="35">
        <v>0</v>
      </c>
      <c r="M488">
        <v>11</v>
      </c>
      <c r="N488">
        <v>0</v>
      </c>
      <c r="O488">
        <v>8</v>
      </c>
      <c r="P488">
        <v>4199</v>
      </c>
      <c r="Q488">
        <v>7982</v>
      </c>
      <c r="R488">
        <v>15100</v>
      </c>
      <c r="S488">
        <v>19783</v>
      </c>
      <c r="T488">
        <v>20</v>
      </c>
      <c r="U488">
        <v>36</v>
      </c>
      <c r="V488">
        <v>55</v>
      </c>
      <c r="W488">
        <v>54</v>
      </c>
      <c r="X488" s="23">
        <v>0.00476303881876637</v>
      </c>
      <c r="Y488" s="23">
        <v>0.0045101478326234</v>
      </c>
      <c r="Z488" s="23">
        <v>0.00364238410596027</v>
      </c>
      <c r="AA488" s="23">
        <v>0.00272961633725926</v>
      </c>
      <c r="AB488">
        <v>6.55</v>
      </c>
      <c r="AC488">
        <v>13.95</v>
      </c>
      <c r="AD488">
        <v>20.84</v>
      </c>
      <c r="AE488">
        <v>19.23</v>
      </c>
      <c r="AF488" s="23">
        <v>0.204815509693558</v>
      </c>
      <c r="AG488" s="23" t="s">
        <v>1075</v>
      </c>
      <c r="AH488" s="23" t="s">
        <v>1076</v>
      </c>
      <c r="AI488" s="23" t="s">
        <v>1077</v>
      </c>
      <c r="AJ488">
        <v>27</v>
      </c>
      <c r="AK488">
        <v>45</v>
      </c>
      <c r="AL488">
        <v>34</v>
      </c>
      <c r="AM488">
        <v>32</v>
      </c>
      <c r="AN488" s="23">
        <v>0.0740740740740741</v>
      </c>
      <c r="AO488" s="23">
        <v>0</v>
      </c>
      <c r="AP488" s="23">
        <v>0</v>
      </c>
      <c r="AQ488" s="23">
        <v>0</v>
      </c>
      <c r="AR488" s="37">
        <v>0.285714285714286</v>
      </c>
      <c r="AS488" s="37">
        <v>17.1428571428571</v>
      </c>
      <c r="AT488" s="37">
        <v>-6.14285714285714</v>
      </c>
      <c r="AU488" s="33">
        <f t="shared" si="11"/>
        <v>38</v>
      </c>
      <c r="AV488" s="38">
        <f>IFERROR(时间!$B$4+AU488,"上周无销量")</f>
        <v>43377</v>
      </c>
    </row>
    <row r="489" spans="1:48">
      <c r="A489" s="21" t="s">
        <v>1078</v>
      </c>
      <c r="B489" t="s">
        <v>1079</v>
      </c>
      <c r="C489" t="s">
        <v>1002</v>
      </c>
      <c r="D489" s="33">
        <v>0</v>
      </c>
      <c r="E489" s="33">
        <v>0</v>
      </c>
      <c r="F489" s="33">
        <v>0</v>
      </c>
      <c r="G489" s="33">
        <v>1</v>
      </c>
      <c r="H489" s="34">
        <v>15.99</v>
      </c>
      <c r="I489">
        <v>2</v>
      </c>
      <c r="J489" s="35">
        <v>0</v>
      </c>
      <c r="K489" s="35">
        <v>0</v>
      </c>
      <c r="L489" s="35">
        <v>0</v>
      </c>
      <c r="M489">
        <v>2</v>
      </c>
      <c r="N489">
        <v>0</v>
      </c>
      <c r="O489">
        <v>2</v>
      </c>
      <c r="P489">
        <v>830</v>
      </c>
      <c r="Q489">
        <v>2838</v>
      </c>
      <c r="R489">
        <v>2791</v>
      </c>
      <c r="S489">
        <v>976</v>
      </c>
      <c r="T489">
        <v>2</v>
      </c>
      <c r="U489">
        <v>3</v>
      </c>
      <c r="V489">
        <v>2</v>
      </c>
      <c r="W489">
        <v>4</v>
      </c>
      <c r="X489" s="23">
        <v>0.00240963855421687</v>
      </c>
      <c r="Y489" s="23">
        <v>0.00105708245243129</v>
      </c>
      <c r="Z489" s="23">
        <v>0.000716589036187746</v>
      </c>
      <c r="AA489" s="23">
        <v>0.00409836065573771</v>
      </c>
      <c r="AB489">
        <v>0.95</v>
      </c>
      <c r="AC489">
        <v>0.72</v>
      </c>
      <c r="AD489">
        <v>0.4</v>
      </c>
      <c r="AE489">
        <v>2.1</v>
      </c>
      <c r="AF489" s="23" t="s">
        <v>1080</v>
      </c>
      <c r="AG489" s="23" t="s">
        <v>445</v>
      </c>
      <c r="AH489" s="23" t="s">
        <v>1081</v>
      </c>
      <c r="AI489" s="23">
        <v>0.131332082551595</v>
      </c>
      <c r="AJ489">
        <v>11</v>
      </c>
      <c r="AK489">
        <v>8</v>
      </c>
      <c r="AL489">
        <v>14</v>
      </c>
      <c r="AM489">
        <v>12</v>
      </c>
      <c r="AN489" s="23">
        <v>0</v>
      </c>
      <c r="AO489" s="23">
        <v>0</v>
      </c>
      <c r="AP489" s="23">
        <v>0</v>
      </c>
      <c r="AQ489" s="23">
        <v>0.0833333333333333</v>
      </c>
      <c r="AR489" s="37">
        <v>0</v>
      </c>
      <c r="AS489" s="37">
        <v>0</v>
      </c>
      <c r="AT489" s="37">
        <v>2</v>
      </c>
      <c r="AU489" s="33" t="str">
        <f t="shared" si="11"/>
        <v>库存为2</v>
      </c>
      <c r="AV489" s="38" t="str">
        <f>IFERROR(时间!$B$4+AU489,"上周无销量")</f>
        <v>上周无销量</v>
      </c>
    </row>
    <row r="490" spans="1:48">
      <c r="A490" s="21" t="s">
        <v>1082</v>
      </c>
      <c r="B490" t="s">
        <v>1083</v>
      </c>
      <c r="C490" t="s">
        <v>1002</v>
      </c>
      <c r="D490" s="33">
        <v>0</v>
      </c>
      <c r="E490" s="33">
        <v>0</v>
      </c>
      <c r="F490" s="33">
        <v>2</v>
      </c>
      <c r="G490" s="33">
        <v>0</v>
      </c>
      <c r="H490" s="34">
        <v>15.99</v>
      </c>
      <c r="I490">
        <v>0</v>
      </c>
      <c r="J490" s="35">
        <v>0</v>
      </c>
      <c r="K490" s="35">
        <v>0</v>
      </c>
      <c r="L490" s="35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1239</v>
      </c>
      <c r="S490">
        <v>2250</v>
      </c>
      <c r="T490">
        <v>0</v>
      </c>
      <c r="U490">
        <v>0</v>
      </c>
      <c r="V490">
        <v>13</v>
      </c>
      <c r="W490">
        <v>13</v>
      </c>
      <c r="X490" s="23" t="s">
        <v>54</v>
      </c>
      <c r="Y490" s="23" t="s">
        <v>54</v>
      </c>
      <c r="Z490" s="23">
        <v>0.0104923325262308</v>
      </c>
      <c r="AA490" s="23">
        <v>0.00577777777777778</v>
      </c>
      <c r="AB490">
        <v>0</v>
      </c>
      <c r="AC490">
        <v>0</v>
      </c>
      <c r="AD490">
        <v>4.37</v>
      </c>
      <c r="AE490">
        <v>4.82</v>
      </c>
      <c r="AF490" s="23" t="s">
        <v>54</v>
      </c>
      <c r="AG490" s="23" t="s">
        <v>54</v>
      </c>
      <c r="AH490" s="23">
        <v>0.136647904940588</v>
      </c>
      <c r="AI490" s="23" t="s">
        <v>1084</v>
      </c>
      <c r="AJ490">
        <v>0</v>
      </c>
      <c r="AK490">
        <v>0</v>
      </c>
      <c r="AL490">
        <v>15</v>
      </c>
      <c r="AM490">
        <v>14</v>
      </c>
      <c r="AN490" s="23" t="s">
        <v>54</v>
      </c>
      <c r="AO490" s="23" t="s">
        <v>54</v>
      </c>
      <c r="AP490" s="23">
        <v>0.133333333333333</v>
      </c>
      <c r="AQ490" s="23">
        <v>0</v>
      </c>
      <c r="AR490" s="37">
        <v>0</v>
      </c>
      <c r="AS490" s="37">
        <v>0</v>
      </c>
      <c r="AT490" s="37">
        <v>0</v>
      </c>
      <c r="AU490" s="33" t="str">
        <f t="shared" si="11"/>
        <v>库存为0</v>
      </c>
      <c r="AV490" s="38" t="str">
        <f>IFERROR(时间!$B$4+AU490,"上周无销量")</f>
        <v>上周无销量</v>
      </c>
    </row>
    <row r="491" spans="1:48">
      <c r="A491" s="21" t="s">
        <v>1085</v>
      </c>
      <c r="B491" t="s">
        <v>1086</v>
      </c>
      <c r="C491" t="s">
        <v>1002</v>
      </c>
      <c r="D491" s="33">
        <v>0</v>
      </c>
      <c r="E491" s="33">
        <v>0</v>
      </c>
      <c r="F491" s="33">
        <v>0</v>
      </c>
      <c r="G491" s="33">
        <v>2</v>
      </c>
      <c r="H491" s="34">
        <v>15.99</v>
      </c>
      <c r="I491">
        <v>25</v>
      </c>
      <c r="J491" s="35">
        <v>0</v>
      </c>
      <c r="K491" s="35">
        <v>0</v>
      </c>
      <c r="L491" s="35">
        <v>0</v>
      </c>
      <c r="M491">
        <v>25</v>
      </c>
      <c r="N491">
        <v>0</v>
      </c>
      <c r="O491">
        <v>24</v>
      </c>
      <c r="P491">
        <v>114</v>
      </c>
      <c r="Q491">
        <v>295</v>
      </c>
      <c r="R491">
        <v>411</v>
      </c>
      <c r="S491">
        <v>1062</v>
      </c>
      <c r="T491">
        <v>0</v>
      </c>
      <c r="U491">
        <v>0</v>
      </c>
      <c r="V491">
        <v>1</v>
      </c>
      <c r="W491">
        <v>5</v>
      </c>
      <c r="X491" s="23">
        <v>0</v>
      </c>
      <c r="Y491" s="23">
        <v>0</v>
      </c>
      <c r="Z491" s="23">
        <v>0.0024330900243309</v>
      </c>
      <c r="AA491" s="23">
        <v>0.00470809792843691</v>
      </c>
      <c r="AB491">
        <v>0</v>
      </c>
      <c r="AC491">
        <v>0</v>
      </c>
      <c r="AD491">
        <v>0.3</v>
      </c>
      <c r="AE491">
        <v>1.8</v>
      </c>
      <c r="AF491" s="23" t="s">
        <v>54</v>
      </c>
      <c r="AG491" s="23" t="s">
        <v>54</v>
      </c>
      <c r="AH491" s="23" t="s">
        <v>665</v>
      </c>
      <c r="AI491" s="23">
        <v>0.0562851782363977</v>
      </c>
      <c r="AJ491">
        <v>7</v>
      </c>
      <c r="AK491">
        <v>2</v>
      </c>
      <c r="AL491">
        <v>6</v>
      </c>
      <c r="AM491">
        <v>9</v>
      </c>
      <c r="AN491" s="23">
        <v>0</v>
      </c>
      <c r="AO491" s="23">
        <v>0</v>
      </c>
      <c r="AP491" s="23">
        <v>0</v>
      </c>
      <c r="AQ491" s="23">
        <v>0.222222222222222</v>
      </c>
      <c r="AR491" s="37">
        <v>0</v>
      </c>
      <c r="AS491" s="37">
        <v>0</v>
      </c>
      <c r="AT491" s="37">
        <v>25</v>
      </c>
      <c r="AU491" s="33" t="str">
        <f t="shared" si="11"/>
        <v>库存为25</v>
      </c>
      <c r="AV491" s="38" t="str">
        <f>IFERROR(时间!$B$4+AU491,"上周无销量")</f>
        <v>上周无销量</v>
      </c>
    </row>
    <row r="492" spans="1:48">
      <c r="A492" s="21" t="s">
        <v>1087</v>
      </c>
      <c r="B492" t="s">
        <v>1088</v>
      </c>
      <c r="C492" t="s">
        <v>1002</v>
      </c>
      <c r="D492" s="33">
        <v>0</v>
      </c>
      <c r="E492" s="33">
        <v>1</v>
      </c>
      <c r="F492" s="33">
        <v>0</v>
      </c>
      <c r="G492" s="33">
        <v>1</v>
      </c>
      <c r="H492" s="34">
        <v>15.99</v>
      </c>
      <c r="I492">
        <v>8</v>
      </c>
      <c r="J492" s="35">
        <v>0</v>
      </c>
      <c r="K492" s="35">
        <v>0</v>
      </c>
      <c r="L492" s="35">
        <v>0</v>
      </c>
      <c r="M492">
        <v>8</v>
      </c>
      <c r="N492">
        <v>0</v>
      </c>
      <c r="O492">
        <v>9</v>
      </c>
      <c r="P492">
        <v>74</v>
      </c>
      <c r="Q492">
        <v>337</v>
      </c>
      <c r="R492">
        <v>438</v>
      </c>
      <c r="S492">
        <v>531</v>
      </c>
      <c r="T492">
        <v>0</v>
      </c>
      <c r="U492">
        <v>1</v>
      </c>
      <c r="V492">
        <v>0</v>
      </c>
      <c r="W492">
        <v>4</v>
      </c>
      <c r="X492" s="23">
        <v>0</v>
      </c>
      <c r="Y492" s="23">
        <v>0.0029673590504451</v>
      </c>
      <c r="Z492" s="23">
        <v>0</v>
      </c>
      <c r="AA492" s="23">
        <v>0.00753295668549906</v>
      </c>
      <c r="AB492">
        <v>0</v>
      </c>
      <c r="AC492">
        <v>0.38</v>
      </c>
      <c r="AD492">
        <v>0</v>
      </c>
      <c r="AE492">
        <v>1.42</v>
      </c>
      <c r="AF492" s="23" t="s">
        <v>54</v>
      </c>
      <c r="AG492" s="23">
        <v>0.0237648530331457</v>
      </c>
      <c r="AH492" s="23" t="s">
        <v>54</v>
      </c>
      <c r="AI492" s="23">
        <v>0.0888055034396498</v>
      </c>
      <c r="AJ492">
        <v>11</v>
      </c>
      <c r="AK492">
        <v>12</v>
      </c>
      <c r="AL492">
        <v>13</v>
      </c>
      <c r="AM492">
        <v>2</v>
      </c>
      <c r="AN492" s="23">
        <v>0</v>
      </c>
      <c r="AO492" s="23">
        <v>0.0833333333333333</v>
      </c>
      <c r="AP492" s="23">
        <v>0</v>
      </c>
      <c r="AQ492" s="23">
        <v>0.5</v>
      </c>
      <c r="AR492" s="37">
        <v>0</v>
      </c>
      <c r="AS492" s="37">
        <v>0</v>
      </c>
      <c r="AT492" s="37">
        <v>8</v>
      </c>
      <c r="AU492" s="33" t="str">
        <f t="shared" si="11"/>
        <v>库存为8</v>
      </c>
      <c r="AV492" s="38" t="str">
        <f>IFERROR(时间!$B$4+AU492,"上周无销量")</f>
        <v>上周无销量</v>
      </c>
    </row>
    <row r="493" spans="1:48">
      <c r="A493" s="21" t="s">
        <v>1089</v>
      </c>
      <c r="B493" t="s">
        <v>1090</v>
      </c>
      <c r="C493" t="s">
        <v>1002</v>
      </c>
      <c r="D493" s="33">
        <v>0</v>
      </c>
      <c r="E493" s="33">
        <v>0</v>
      </c>
      <c r="F493" s="33">
        <v>1</v>
      </c>
      <c r="G493" s="33">
        <v>0</v>
      </c>
      <c r="H493" s="34">
        <v>15.99</v>
      </c>
      <c r="I493">
        <v>0</v>
      </c>
      <c r="J493" s="35">
        <v>0</v>
      </c>
      <c r="K493" s="35">
        <v>0</v>
      </c>
      <c r="L493" s="35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395</v>
      </c>
      <c r="S493">
        <v>1450</v>
      </c>
      <c r="T493">
        <v>0</v>
      </c>
      <c r="U493">
        <v>0</v>
      </c>
      <c r="V493">
        <v>0</v>
      </c>
      <c r="W493">
        <v>4</v>
      </c>
      <c r="X493" s="23" t="s">
        <v>54</v>
      </c>
      <c r="Y493" s="23" t="s">
        <v>54</v>
      </c>
      <c r="Z493" s="23">
        <v>0</v>
      </c>
      <c r="AA493" s="23">
        <v>0.00275862068965517</v>
      </c>
      <c r="AB493">
        <v>0</v>
      </c>
      <c r="AC493">
        <v>0</v>
      </c>
      <c r="AD493">
        <v>0</v>
      </c>
      <c r="AE493">
        <v>1.43</v>
      </c>
      <c r="AF493" s="23" t="s">
        <v>54</v>
      </c>
      <c r="AG493" s="23" t="s">
        <v>54</v>
      </c>
      <c r="AH493" s="23" t="s">
        <v>54</v>
      </c>
      <c r="AI493" s="23" t="s">
        <v>1091</v>
      </c>
      <c r="AJ493">
        <v>0</v>
      </c>
      <c r="AK493">
        <v>0</v>
      </c>
      <c r="AL493">
        <v>3</v>
      </c>
      <c r="AM493">
        <v>5</v>
      </c>
      <c r="AN493" s="23" t="s">
        <v>54</v>
      </c>
      <c r="AO493" s="23" t="s">
        <v>54</v>
      </c>
      <c r="AP493" s="23">
        <v>0.333333333333333</v>
      </c>
      <c r="AQ493" s="23">
        <v>0</v>
      </c>
      <c r="AR493" s="37">
        <v>0</v>
      </c>
      <c r="AS493" s="37">
        <v>0</v>
      </c>
      <c r="AT493" s="37">
        <v>0</v>
      </c>
      <c r="AU493" s="33" t="str">
        <f t="shared" si="11"/>
        <v>库存为0</v>
      </c>
      <c r="AV493" s="38" t="str">
        <f>IFERROR(时间!$B$4+AU493,"上周无销量")</f>
        <v>上周无销量</v>
      </c>
    </row>
    <row r="494" spans="1:48">
      <c r="A494" s="21" t="s">
        <v>1092</v>
      </c>
      <c r="B494" t="s">
        <v>1093</v>
      </c>
      <c r="C494" t="s">
        <v>1094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22</v>
      </c>
      <c r="J494" s="35">
        <v>0</v>
      </c>
      <c r="K494" s="35">
        <v>0</v>
      </c>
      <c r="L494" s="35">
        <v>0</v>
      </c>
      <c r="M494">
        <v>22</v>
      </c>
      <c r="N494">
        <v>0</v>
      </c>
      <c r="O494">
        <v>22</v>
      </c>
      <c r="P494">
        <v>516</v>
      </c>
      <c r="Q494">
        <v>416</v>
      </c>
      <c r="R494">
        <v>1006</v>
      </c>
      <c r="S494">
        <v>1571</v>
      </c>
      <c r="T494">
        <v>5</v>
      </c>
      <c r="U494">
        <v>2</v>
      </c>
      <c r="V494">
        <v>2</v>
      </c>
      <c r="W494">
        <v>2</v>
      </c>
      <c r="X494" s="23">
        <v>0.00968992248062015</v>
      </c>
      <c r="Y494" s="23">
        <v>0.00480769230769231</v>
      </c>
      <c r="Z494" s="23">
        <v>0.00198807157057654</v>
      </c>
      <c r="AA494" s="23">
        <v>0.00127307447485678</v>
      </c>
      <c r="AB494">
        <v>1.74</v>
      </c>
      <c r="AC494">
        <v>0.57</v>
      </c>
      <c r="AD494">
        <v>0.81</v>
      </c>
      <c r="AE494">
        <v>1.06</v>
      </c>
      <c r="AF494" s="23" t="s">
        <v>818</v>
      </c>
      <c r="AG494" s="23" t="s">
        <v>821</v>
      </c>
      <c r="AH494" s="23" t="s">
        <v>234</v>
      </c>
      <c r="AI494" s="23" t="s">
        <v>1095</v>
      </c>
      <c r="AJ494">
        <v>8</v>
      </c>
      <c r="AK494">
        <v>2</v>
      </c>
      <c r="AL494">
        <v>11</v>
      </c>
      <c r="AM494">
        <v>5</v>
      </c>
      <c r="AN494" s="23">
        <v>0</v>
      </c>
      <c r="AO494" s="23">
        <v>0</v>
      </c>
      <c r="AP494" s="23">
        <v>0</v>
      </c>
      <c r="AQ494" s="23">
        <v>0</v>
      </c>
      <c r="AR494" s="37">
        <v>0</v>
      </c>
      <c r="AS494" s="37">
        <v>0</v>
      </c>
      <c r="AT494" s="37">
        <v>22</v>
      </c>
      <c r="AU494" s="33" t="str">
        <f t="shared" si="11"/>
        <v>库存为22</v>
      </c>
      <c r="AV494" s="38" t="str">
        <f>IFERROR(时间!$B$4+AU494,"上周无销量")</f>
        <v>上周无销量</v>
      </c>
    </row>
    <row r="495" spans="1:48">
      <c r="A495" s="21" t="s">
        <v>1096</v>
      </c>
      <c r="B495" t="s">
        <v>1097</v>
      </c>
      <c r="C495" t="s">
        <v>826</v>
      </c>
      <c r="D495" s="33">
        <v>0</v>
      </c>
      <c r="E495" s="33">
        <v>0</v>
      </c>
      <c r="F495" s="33">
        <v>0</v>
      </c>
      <c r="G495" s="33">
        <v>1</v>
      </c>
      <c r="H495" s="34">
        <v>15.99</v>
      </c>
      <c r="I495">
        <v>9</v>
      </c>
      <c r="J495" s="35">
        <v>0</v>
      </c>
      <c r="K495" s="35">
        <v>0</v>
      </c>
      <c r="L495" s="35">
        <v>0</v>
      </c>
      <c r="M495">
        <v>9</v>
      </c>
      <c r="N495">
        <v>0</v>
      </c>
      <c r="O495">
        <v>9</v>
      </c>
      <c r="P495">
        <v>922</v>
      </c>
      <c r="Q495">
        <v>1270</v>
      </c>
      <c r="R495">
        <v>1478</v>
      </c>
      <c r="S495">
        <v>1310</v>
      </c>
      <c r="T495">
        <v>4</v>
      </c>
      <c r="U495">
        <v>3</v>
      </c>
      <c r="V495">
        <v>3</v>
      </c>
      <c r="W495">
        <v>4</v>
      </c>
      <c r="X495" s="23">
        <v>0.00433839479392625</v>
      </c>
      <c r="Y495" s="23">
        <v>0.00236220472440945</v>
      </c>
      <c r="Z495" s="23">
        <v>0.0020297699594046</v>
      </c>
      <c r="AA495" s="23">
        <v>0.00305343511450382</v>
      </c>
      <c r="AB495">
        <v>1.36</v>
      </c>
      <c r="AC495">
        <v>1.31</v>
      </c>
      <c r="AD495">
        <v>1.19</v>
      </c>
      <c r="AE495">
        <v>1.2</v>
      </c>
      <c r="AF495" s="23" t="s">
        <v>1032</v>
      </c>
      <c r="AG495" s="23" t="s">
        <v>1098</v>
      </c>
      <c r="AH495" s="23" t="s">
        <v>406</v>
      </c>
      <c r="AI495" s="23">
        <v>0.075046904315197</v>
      </c>
      <c r="AJ495">
        <v>19</v>
      </c>
      <c r="AK495">
        <v>19</v>
      </c>
      <c r="AL495">
        <v>22</v>
      </c>
      <c r="AM495">
        <v>4</v>
      </c>
      <c r="AN495" s="23">
        <v>0</v>
      </c>
      <c r="AO495" s="23">
        <v>0</v>
      </c>
      <c r="AP495" s="23">
        <v>0</v>
      </c>
      <c r="AQ495" s="23">
        <v>0.25</v>
      </c>
      <c r="AR495" s="37">
        <v>0</v>
      </c>
      <c r="AS495" s="37">
        <v>0</v>
      </c>
      <c r="AT495" s="37">
        <v>9</v>
      </c>
      <c r="AU495" s="33" t="str">
        <f t="shared" si="11"/>
        <v>库存为9</v>
      </c>
      <c r="AV495" s="38" t="str">
        <f>IFERROR(时间!$B$4+AU495,"上周无销量")</f>
        <v>上周无销量</v>
      </c>
    </row>
    <row r="496" spans="1:48">
      <c r="A496" s="21" t="s">
        <v>1099</v>
      </c>
      <c r="B496" t="s">
        <v>1100</v>
      </c>
      <c r="C496" t="s">
        <v>1094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0</v>
      </c>
      <c r="J496" s="35">
        <v>0</v>
      </c>
      <c r="K496" s="35">
        <v>0</v>
      </c>
      <c r="L496" s="35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7">
        <v>0</v>
      </c>
      <c r="AS496" s="37">
        <v>0</v>
      </c>
      <c r="AT496" s="37">
        <v>0</v>
      </c>
      <c r="AU496" s="33" t="str">
        <f t="shared" si="11"/>
        <v>库存为0</v>
      </c>
      <c r="AV496" s="38" t="str">
        <f>IFERROR(时间!$B$4+AU496,"上周无销量")</f>
        <v>上周无销量</v>
      </c>
    </row>
    <row r="497" spans="1:48">
      <c r="A497" s="21" t="s">
        <v>1101</v>
      </c>
      <c r="B497" t="s">
        <v>1102</v>
      </c>
      <c r="C497" t="s">
        <v>1094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7</v>
      </c>
      <c r="J497" s="35">
        <v>0</v>
      </c>
      <c r="K497" s="35">
        <v>1</v>
      </c>
      <c r="L497" s="35">
        <v>0</v>
      </c>
      <c r="M497">
        <v>8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1</v>
      </c>
      <c r="AL497">
        <v>4</v>
      </c>
      <c r="AM497">
        <v>2</v>
      </c>
      <c r="AN497" s="23" t="s">
        <v>54</v>
      </c>
      <c r="AO497" s="23">
        <v>0</v>
      </c>
      <c r="AP497" s="23">
        <v>0</v>
      </c>
      <c r="AQ497" s="23">
        <v>0</v>
      </c>
      <c r="AR497" s="37">
        <v>0</v>
      </c>
      <c r="AS497" s="37">
        <v>0</v>
      </c>
      <c r="AT497" s="37">
        <v>8</v>
      </c>
      <c r="AU497" s="33" t="str">
        <f t="shared" si="11"/>
        <v>库存为8</v>
      </c>
      <c r="AV497" s="38" t="str">
        <f>IFERROR(时间!$B$4+AU497,"上周无销量")</f>
        <v>上周无销量</v>
      </c>
    </row>
    <row r="498" spans="1:48">
      <c r="A498" s="21" t="s">
        <v>1103</v>
      </c>
      <c r="B498" t="s">
        <v>1102</v>
      </c>
      <c r="C498" t="s">
        <v>1094</v>
      </c>
      <c r="D498" s="33">
        <v>0</v>
      </c>
      <c r="E498" s="33">
        <v>14</v>
      </c>
      <c r="F498" s="33">
        <v>0</v>
      </c>
      <c r="G498" s="33">
        <v>0</v>
      </c>
      <c r="H498" s="34">
        <v>0</v>
      </c>
      <c r="I498">
        <v>0</v>
      </c>
      <c r="J498" s="35">
        <v>0</v>
      </c>
      <c r="K498" s="35">
        <v>0</v>
      </c>
      <c r="L498" s="35">
        <v>0</v>
      </c>
      <c r="M498">
        <v>0</v>
      </c>
      <c r="N498">
        <v>0</v>
      </c>
      <c r="O498">
        <v>0</v>
      </c>
      <c r="P498">
        <v>0</v>
      </c>
      <c r="Q498">
        <v>35</v>
      </c>
      <c r="R498">
        <v>74</v>
      </c>
      <c r="S498">
        <v>61</v>
      </c>
      <c r="T498">
        <v>0</v>
      </c>
      <c r="U498">
        <v>0</v>
      </c>
      <c r="V498">
        <v>0</v>
      </c>
      <c r="W498">
        <v>0</v>
      </c>
      <c r="X498" s="23" t="s">
        <v>54</v>
      </c>
      <c r="Y498" s="23">
        <v>0</v>
      </c>
      <c r="Z498" s="23">
        <v>0</v>
      </c>
      <c r="AA498" s="23">
        <v>0</v>
      </c>
      <c r="AB498">
        <v>0</v>
      </c>
      <c r="AC498">
        <v>0</v>
      </c>
      <c r="AD498">
        <v>0</v>
      </c>
      <c r="AE498">
        <v>0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1</v>
      </c>
      <c r="AL498">
        <v>4</v>
      </c>
      <c r="AM498">
        <v>2</v>
      </c>
      <c r="AN498" s="23" t="s">
        <v>54</v>
      </c>
      <c r="AO498" s="23">
        <v>14</v>
      </c>
      <c r="AP498" s="23">
        <v>0</v>
      </c>
      <c r="AQ498" s="23">
        <v>0</v>
      </c>
      <c r="AR498" s="37">
        <v>0</v>
      </c>
      <c r="AS498" s="37">
        <v>0</v>
      </c>
      <c r="AT498" s="37">
        <v>0</v>
      </c>
      <c r="AU498" s="33" t="str">
        <f t="shared" si="11"/>
        <v>库存为0</v>
      </c>
      <c r="AV498" s="38" t="str">
        <f>IFERROR(时间!$B$4+AU498,"上周无销量")</f>
        <v>上周无销量</v>
      </c>
    </row>
    <row r="499" spans="1:48">
      <c r="A499" s="21" t="s">
        <v>1104</v>
      </c>
      <c r="B499" t="s">
        <v>1105</v>
      </c>
      <c r="C499" t="s">
        <v>1094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0</v>
      </c>
      <c r="J499" s="35">
        <v>0</v>
      </c>
      <c r="K499" s="35">
        <v>0</v>
      </c>
      <c r="L499" s="35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1</v>
      </c>
      <c r="AL499">
        <v>4</v>
      </c>
      <c r="AM499">
        <v>2</v>
      </c>
      <c r="AN499" s="23" t="s">
        <v>54</v>
      </c>
      <c r="AO499" s="23">
        <v>0</v>
      </c>
      <c r="AP499" s="23">
        <v>0</v>
      </c>
      <c r="AQ499" s="23">
        <v>0</v>
      </c>
      <c r="AR499" s="37">
        <v>0</v>
      </c>
      <c r="AS499" s="37">
        <v>0</v>
      </c>
      <c r="AT499" s="37">
        <v>0</v>
      </c>
      <c r="AU499" s="33" t="str">
        <f t="shared" si="11"/>
        <v>库存为0</v>
      </c>
      <c r="AV499" s="38" t="str">
        <f>IFERROR(时间!$B$4+AU499,"上周无销量")</f>
        <v>上周无销量</v>
      </c>
    </row>
    <row r="500" spans="1:48">
      <c r="A500" s="21" t="s">
        <v>1106</v>
      </c>
      <c r="B500" t="s">
        <v>1105</v>
      </c>
      <c r="C500" t="s">
        <v>1094</v>
      </c>
      <c r="D500" s="33">
        <v>0</v>
      </c>
      <c r="E500" s="33">
        <v>29</v>
      </c>
      <c r="F500" s="33">
        <v>0</v>
      </c>
      <c r="G500" s="33">
        <v>0</v>
      </c>
      <c r="H500" s="34">
        <v>0</v>
      </c>
      <c r="I500">
        <v>0</v>
      </c>
      <c r="J500" s="35">
        <v>0</v>
      </c>
      <c r="K500" s="35">
        <v>0</v>
      </c>
      <c r="L500" s="35">
        <v>0</v>
      </c>
      <c r="M500">
        <v>0</v>
      </c>
      <c r="N500">
        <v>0</v>
      </c>
      <c r="O500">
        <v>0</v>
      </c>
      <c r="P500">
        <v>0</v>
      </c>
      <c r="Q500">
        <v>11</v>
      </c>
      <c r="R500">
        <v>52</v>
      </c>
      <c r="S500">
        <v>34</v>
      </c>
      <c r="T500">
        <v>0</v>
      </c>
      <c r="U500">
        <v>0</v>
      </c>
      <c r="V500">
        <v>0</v>
      </c>
      <c r="W500">
        <v>0</v>
      </c>
      <c r="X500" s="23" t="s">
        <v>54</v>
      </c>
      <c r="Y500" s="23">
        <v>0</v>
      </c>
      <c r="Z500" s="23">
        <v>0</v>
      </c>
      <c r="AA500" s="23">
        <v>0</v>
      </c>
      <c r="AB500">
        <v>0</v>
      </c>
      <c r="AC500">
        <v>0</v>
      </c>
      <c r="AD500">
        <v>0</v>
      </c>
      <c r="AE500">
        <v>0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1</v>
      </c>
      <c r="AL500">
        <v>4</v>
      </c>
      <c r="AM500">
        <v>2</v>
      </c>
      <c r="AN500" s="23" t="s">
        <v>54</v>
      </c>
      <c r="AO500" s="23">
        <v>29</v>
      </c>
      <c r="AP500" s="23">
        <v>0</v>
      </c>
      <c r="AQ500" s="23">
        <v>0</v>
      </c>
      <c r="AR500" s="37">
        <v>0</v>
      </c>
      <c r="AS500" s="37">
        <v>0</v>
      </c>
      <c r="AT500" s="37">
        <v>0</v>
      </c>
      <c r="AU500" s="33" t="str">
        <f t="shared" si="11"/>
        <v>库存为0</v>
      </c>
      <c r="AV500" s="38" t="str">
        <f>IFERROR(时间!$B$4+AU500,"上周无销量")</f>
        <v>上周无销量</v>
      </c>
    </row>
    <row r="501" spans="1:48">
      <c r="A501" s="21" t="s">
        <v>1107</v>
      </c>
      <c r="B501" t="s">
        <v>1108</v>
      </c>
      <c r="C501" t="s">
        <v>1094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0</v>
      </c>
      <c r="J501" s="35">
        <v>0</v>
      </c>
      <c r="K501" s="35">
        <v>0</v>
      </c>
      <c r="L501" s="35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3</v>
      </c>
      <c r="AM501">
        <v>2</v>
      </c>
      <c r="AN501" s="23" t="s">
        <v>54</v>
      </c>
      <c r="AO501" s="23" t="s">
        <v>54</v>
      </c>
      <c r="AP501" s="23">
        <v>0</v>
      </c>
      <c r="AQ501" s="23">
        <v>0</v>
      </c>
      <c r="AR501" s="37">
        <v>0</v>
      </c>
      <c r="AS501" s="37">
        <v>0</v>
      </c>
      <c r="AT501" s="37">
        <v>0</v>
      </c>
      <c r="AU501" s="33" t="str">
        <f t="shared" si="11"/>
        <v>库存为0</v>
      </c>
      <c r="AV501" s="38" t="str">
        <f>IFERROR(时间!$B$4+AU501,"上周无销量")</f>
        <v>上周无销量</v>
      </c>
    </row>
    <row r="502" spans="1:48">
      <c r="A502" s="21" t="s">
        <v>1109</v>
      </c>
      <c r="B502" t="s">
        <v>1108</v>
      </c>
      <c r="C502" t="s">
        <v>1094</v>
      </c>
      <c r="D502" s="33">
        <v>0</v>
      </c>
      <c r="E502" s="33">
        <v>27</v>
      </c>
      <c r="F502" s="33">
        <v>0</v>
      </c>
      <c r="G502" s="33">
        <v>0</v>
      </c>
      <c r="H502" s="34">
        <v>0</v>
      </c>
      <c r="I502">
        <v>8</v>
      </c>
      <c r="J502" s="35">
        <v>0</v>
      </c>
      <c r="K502" s="35">
        <v>0</v>
      </c>
      <c r="L502" s="35">
        <v>0</v>
      </c>
      <c r="M502">
        <v>8</v>
      </c>
      <c r="N502">
        <v>0</v>
      </c>
      <c r="O502">
        <v>0</v>
      </c>
      <c r="P502">
        <v>136</v>
      </c>
      <c r="Q502">
        <v>82</v>
      </c>
      <c r="R502">
        <v>79</v>
      </c>
      <c r="S502">
        <v>96</v>
      </c>
      <c r="T502">
        <v>0</v>
      </c>
      <c r="U502">
        <v>0</v>
      </c>
      <c r="V502">
        <v>0</v>
      </c>
      <c r="W502">
        <v>0</v>
      </c>
      <c r="X502" s="23">
        <v>0</v>
      </c>
      <c r="Y502" s="23">
        <v>0</v>
      </c>
      <c r="Z502" s="23">
        <v>0</v>
      </c>
      <c r="AA502" s="23">
        <v>0</v>
      </c>
      <c r="AB502">
        <v>0</v>
      </c>
      <c r="AC502">
        <v>0</v>
      </c>
      <c r="AD502">
        <v>0</v>
      </c>
      <c r="AE502">
        <v>0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3</v>
      </c>
      <c r="AM502">
        <v>2</v>
      </c>
      <c r="AN502" s="23" t="s">
        <v>54</v>
      </c>
      <c r="AO502" s="23" t="s">
        <v>54</v>
      </c>
      <c r="AP502" s="23">
        <v>0</v>
      </c>
      <c r="AQ502" s="23">
        <v>0</v>
      </c>
      <c r="AR502" s="37">
        <v>0</v>
      </c>
      <c r="AS502" s="37">
        <v>0</v>
      </c>
      <c r="AT502" s="37">
        <v>8</v>
      </c>
      <c r="AU502" s="33" t="str">
        <f t="shared" si="11"/>
        <v>库存为8</v>
      </c>
      <c r="AV502" s="38" t="str">
        <f>IFERROR(时间!$B$4+AU502,"上周无销量")</f>
        <v>上周无销量</v>
      </c>
    </row>
    <row r="503" spans="1:48">
      <c r="A503" s="21" t="s">
        <v>1110</v>
      </c>
      <c r="B503" t="s">
        <v>1111</v>
      </c>
      <c r="C503" t="s">
        <v>1028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0</v>
      </c>
      <c r="J503" s="35">
        <v>0</v>
      </c>
      <c r="K503" s="35">
        <v>0</v>
      </c>
      <c r="L503" s="35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1</v>
      </c>
      <c r="AL503">
        <v>2</v>
      </c>
      <c r="AM503">
        <v>2</v>
      </c>
      <c r="AN503" s="23" t="s">
        <v>54</v>
      </c>
      <c r="AO503" s="23">
        <v>0</v>
      </c>
      <c r="AP503" s="23">
        <v>0</v>
      </c>
      <c r="AQ503" s="23">
        <v>0</v>
      </c>
      <c r="AR503" s="37">
        <v>0</v>
      </c>
      <c r="AS503" s="37">
        <v>0</v>
      </c>
      <c r="AT503" s="37">
        <v>0</v>
      </c>
      <c r="AU503" s="33" t="str">
        <f t="shared" si="11"/>
        <v>库存为0</v>
      </c>
      <c r="AV503" s="38" t="str">
        <f>IFERROR(时间!$B$4+AU503,"上周无销量")</f>
        <v>上周无销量</v>
      </c>
    </row>
    <row r="504" spans="1:48">
      <c r="A504" s="21" t="s">
        <v>1112</v>
      </c>
      <c r="B504" t="s">
        <v>1111</v>
      </c>
      <c r="C504" t="s">
        <v>1113</v>
      </c>
      <c r="D504" s="33">
        <v>0</v>
      </c>
      <c r="E504" s="33">
        <v>14</v>
      </c>
      <c r="F504" s="33">
        <v>0</v>
      </c>
      <c r="G504" s="33">
        <v>0</v>
      </c>
      <c r="H504" s="34">
        <v>0</v>
      </c>
      <c r="I504">
        <v>0</v>
      </c>
      <c r="J504" s="35">
        <v>0</v>
      </c>
      <c r="K504" s="35">
        <v>0</v>
      </c>
      <c r="L504" s="35">
        <v>0</v>
      </c>
      <c r="M504">
        <v>0</v>
      </c>
      <c r="N504">
        <v>0</v>
      </c>
      <c r="O504">
        <v>0</v>
      </c>
      <c r="P504">
        <v>9</v>
      </c>
      <c r="Q504">
        <v>18</v>
      </c>
      <c r="R504">
        <v>74</v>
      </c>
      <c r="S504">
        <v>67</v>
      </c>
      <c r="T504">
        <v>1</v>
      </c>
      <c r="U504">
        <v>0</v>
      </c>
      <c r="V504">
        <v>0</v>
      </c>
      <c r="W504">
        <v>0</v>
      </c>
      <c r="X504" s="23">
        <v>0.111111111111111</v>
      </c>
      <c r="Y504" s="23">
        <v>0</v>
      </c>
      <c r="Z504" s="23">
        <v>0</v>
      </c>
      <c r="AA504" s="23">
        <v>0</v>
      </c>
      <c r="AB504">
        <v>0.12</v>
      </c>
      <c r="AC504">
        <v>0</v>
      </c>
      <c r="AD504">
        <v>0</v>
      </c>
      <c r="AE504">
        <v>0</v>
      </c>
      <c r="AF504" s="23" t="s">
        <v>296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1</v>
      </c>
      <c r="AL504">
        <v>2</v>
      </c>
      <c r="AM504">
        <v>2</v>
      </c>
      <c r="AN504" s="23" t="s">
        <v>54</v>
      </c>
      <c r="AO504" s="23">
        <v>14</v>
      </c>
      <c r="AP504" s="23">
        <v>0</v>
      </c>
      <c r="AQ504" s="23">
        <v>0</v>
      </c>
      <c r="AR504" s="37">
        <v>0</v>
      </c>
      <c r="AS504" s="37">
        <v>0</v>
      </c>
      <c r="AT504" s="37">
        <v>0</v>
      </c>
      <c r="AU504" s="33" t="str">
        <f t="shared" si="11"/>
        <v>库存为0</v>
      </c>
      <c r="AV504" s="38" t="str">
        <f>IFERROR(时间!$B$4+AU504,"上周无销量")</f>
        <v>上周无销量</v>
      </c>
    </row>
    <row r="505" spans="1:48">
      <c r="A505" s="21" t="s">
        <v>1114</v>
      </c>
      <c r="B505" t="s">
        <v>1115</v>
      </c>
      <c r="C505" t="s">
        <v>1113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0</v>
      </c>
      <c r="J505" s="35">
        <v>0</v>
      </c>
      <c r="K505" s="35">
        <v>0</v>
      </c>
      <c r="L505" s="35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1</v>
      </c>
      <c r="AL505">
        <v>5</v>
      </c>
      <c r="AM505">
        <v>2</v>
      </c>
      <c r="AN505" s="23" t="s">
        <v>54</v>
      </c>
      <c r="AO505" s="23">
        <v>0</v>
      </c>
      <c r="AP505" s="23">
        <v>0</v>
      </c>
      <c r="AQ505" s="23">
        <v>0</v>
      </c>
      <c r="AR505" s="37">
        <v>0</v>
      </c>
      <c r="AS505" s="37">
        <v>0</v>
      </c>
      <c r="AT505" s="37">
        <v>0</v>
      </c>
      <c r="AU505" s="33" t="str">
        <f t="shared" si="11"/>
        <v>库存为0</v>
      </c>
      <c r="AV505" s="38" t="str">
        <f>IFERROR(时间!$B$4+AU505,"上周无销量")</f>
        <v>上周无销量</v>
      </c>
    </row>
    <row r="506" spans="1:48">
      <c r="A506" s="21" t="s">
        <v>1116</v>
      </c>
      <c r="B506" t="s">
        <v>1115</v>
      </c>
      <c r="C506" t="s">
        <v>1117</v>
      </c>
      <c r="D506" s="33">
        <v>0</v>
      </c>
      <c r="E506" s="33">
        <v>10</v>
      </c>
      <c r="F506" s="33">
        <v>0</v>
      </c>
      <c r="G506" s="33">
        <v>0</v>
      </c>
      <c r="H506" s="34">
        <v>0</v>
      </c>
      <c r="I506">
        <v>3</v>
      </c>
      <c r="J506" s="35">
        <v>0</v>
      </c>
      <c r="K506" s="35">
        <v>0</v>
      </c>
      <c r="L506" s="35">
        <v>0</v>
      </c>
      <c r="M506">
        <v>3</v>
      </c>
      <c r="N506">
        <v>0</v>
      </c>
      <c r="O506">
        <v>0</v>
      </c>
      <c r="P506">
        <v>2</v>
      </c>
      <c r="Q506">
        <v>1</v>
      </c>
      <c r="R506">
        <v>6</v>
      </c>
      <c r="S506">
        <v>1</v>
      </c>
      <c r="T506">
        <v>0</v>
      </c>
      <c r="U506">
        <v>0</v>
      </c>
      <c r="V506">
        <v>0</v>
      </c>
      <c r="W506">
        <v>0</v>
      </c>
      <c r="X506" s="23">
        <v>0</v>
      </c>
      <c r="Y506" s="23">
        <v>0</v>
      </c>
      <c r="Z506" s="23">
        <v>0</v>
      </c>
      <c r="AA506" s="23">
        <v>0</v>
      </c>
      <c r="AB506">
        <v>0</v>
      </c>
      <c r="AC506">
        <v>0</v>
      </c>
      <c r="AD506">
        <v>0</v>
      </c>
      <c r="AE506">
        <v>0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1</v>
      </c>
      <c r="AL506">
        <v>5</v>
      </c>
      <c r="AM506">
        <v>2</v>
      </c>
      <c r="AN506" s="23" t="s">
        <v>54</v>
      </c>
      <c r="AO506" s="23">
        <v>10</v>
      </c>
      <c r="AP506" s="23">
        <v>0</v>
      </c>
      <c r="AQ506" s="23">
        <v>0</v>
      </c>
      <c r="AR506" s="37">
        <v>0</v>
      </c>
      <c r="AS506" s="37">
        <v>0</v>
      </c>
      <c r="AT506" s="37">
        <v>3</v>
      </c>
      <c r="AU506" s="33" t="str">
        <f t="shared" si="11"/>
        <v>库存为3</v>
      </c>
      <c r="AV506" s="38" t="str">
        <f>IFERROR(时间!$B$4+AU506,"上周无销量")</f>
        <v>上周无销量</v>
      </c>
    </row>
    <row r="507" spans="1:48">
      <c r="A507" s="21" t="s">
        <v>1118</v>
      </c>
      <c r="B507" t="s">
        <v>1119</v>
      </c>
      <c r="C507" t="s">
        <v>1120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25</v>
      </c>
      <c r="J507" s="35">
        <v>0</v>
      </c>
      <c r="K507" s="35">
        <v>0</v>
      </c>
      <c r="L507" s="35">
        <v>0</v>
      </c>
      <c r="M507">
        <v>25</v>
      </c>
      <c r="N507">
        <v>0</v>
      </c>
      <c r="O507">
        <v>25</v>
      </c>
      <c r="P507">
        <v>0</v>
      </c>
      <c r="Q507">
        <v>493</v>
      </c>
      <c r="R507">
        <v>3472</v>
      </c>
      <c r="S507">
        <v>2465</v>
      </c>
      <c r="T507">
        <v>0</v>
      </c>
      <c r="U507">
        <v>3</v>
      </c>
      <c r="V507">
        <v>5</v>
      </c>
      <c r="W507">
        <v>11</v>
      </c>
      <c r="X507" s="23" t="s">
        <v>54</v>
      </c>
      <c r="Y507" s="23">
        <v>0.00608519269776876</v>
      </c>
      <c r="Z507" s="23">
        <v>0.00144009216589862</v>
      </c>
      <c r="AA507" s="23">
        <v>0.00446247464503043</v>
      </c>
      <c r="AB507">
        <v>0</v>
      </c>
      <c r="AC507">
        <v>1.42</v>
      </c>
      <c r="AD507">
        <v>1.79</v>
      </c>
      <c r="AE507">
        <v>5.87</v>
      </c>
      <c r="AF507" s="23" t="s">
        <v>54</v>
      </c>
      <c r="AG507" s="23" t="s">
        <v>1121</v>
      </c>
      <c r="AH507" s="23" t="s">
        <v>1122</v>
      </c>
      <c r="AI507" s="23" t="s">
        <v>1123</v>
      </c>
      <c r="AJ507">
        <v>3</v>
      </c>
      <c r="AK507">
        <v>7</v>
      </c>
      <c r="AL507">
        <v>7</v>
      </c>
      <c r="AM507">
        <v>7</v>
      </c>
      <c r="AN507" s="23">
        <v>0</v>
      </c>
      <c r="AO507" s="23">
        <v>0</v>
      </c>
      <c r="AP507" s="23">
        <v>0</v>
      </c>
      <c r="AQ507" s="23">
        <v>0</v>
      </c>
      <c r="AR507" s="37">
        <v>0</v>
      </c>
      <c r="AS507" s="37">
        <v>0</v>
      </c>
      <c r="AT507" s="37">
        <v>25</v>
      </c>
      <c r="AU507" s="33" t="str">
        <f t="shared" si="11"/>
        <v>库存为25</v>
      </c>
      <c r="AV507" s="38" t="str">
        <f>IFERROR(时间!$B$4+AU507,"上周无销量")</f>
        <v>上周无销量</v>
      </c>
    </row>
    <row r="508" spans="1:48">
      <c r="A508" s="21" t="s">
        <v>1124</v>
      </c>
      <c r="B508" t="s">
        <v>1125</v>
      </c>
      <c r="C508" t="s">
        <v>1120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46</v>
      </c>
      <c r="J508" s="35">
        <v>0</v>
      </c>
      <c r="K508" s="35">
        <v>0</v>
      </c>
      <c r="L508" s="35">
        <v>0</v>
      </c>
      <c r="M508">
        <v>46</v>
      </c>
      <c r="N508">
        <v>0</v>
      </c>
      <c r="O508">
        <v>46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5</v>
      </c>
      <c r="AK508">
        <v>5</v>
      </c>
      <c r="AL508">
        <v>7</v>
      </c>
      <c r="AM508">
        <v>1</v>
      </c>
      <c r="AN508" s="23">
        <v>0</v>
      </c>
      <c r="AO508" s="23">
        <v>0</v>
      </c>
      <c r="AP508" s="23">
        <v>0</v>
      </c>
      <c r="AQ508" s="23">
        <v>0</v>
      </c>
      <c r="AR508" s="37">
        <v>0</v>
      </c>
      <c r="AS508" s="37">
        <v>0</v>
      </c>
      <c r="AT508" s="37">
        <v>46</v>
      </c>
      <c r="AU508" s="33" t="str">
        <f t="shared" si="11"/>
        <v>库存为46</v>
      </c>
      <c r="AV508" s="38" t="str">
        <f>IFERROR(时间!$B$4+AU508,"上周无销量")</f>
        <v>上周无销量</v>
      </c>
    </row>
    <row r="509" spans="1:48">
      <c r="A509" s="21" t="s">
        <v>1126</v>
      </c>
      <c r="B509" t="s">
        <v>1127</v>
      </c>
      <c r="C509" t="s">
        <v>1128</v>
      </c>
      <c r="D509" s="33">
        <v>0</v>
      </c>
      <c r="E509" s="33">
        <v>0</v>
      </c>
      <c r="F509" s="33">
        <v>0</v>
      </c>
      <c r="G509" s="33">
        <v>1</v>
      </c>
      <c r="H509" s="34">
        <v>15.99</v>
      </c>
      <c r="I509">
        <v>17</v>
      </c>
      <c r="J509" s="35">
        <v>0</v>
      </c>
      <c r="K509" s="35">
        <v>0</v>
      </c>
      <c r="L509" s="35">
        <v>0</v>
      </c>
      <c r="M509">
        <v>17</v>
      </c>
      <c r="N509">
        <v>0</v>
      </c>
      <c r="O509">
        <v>17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7</v>
      </c>
      <c r="AK509">
        <v>11</v>
      </c>
      <c r="AL509">
        <v>7</v>
      </c>
      <c r="AM509">
        <v>3</v>
      </c>
      <c r="AN509" s="23">
        <v>0</v>
      </c>
      <c r="AO509" s="23">
        <v>0</v>
      </c>
      <c r="AP509" s="23">
        <v>0</v>
      </c>
      <c r="AQ509" s="23">
        <v>0.333333333333333</v>
      </c>
      <c r="AR509" s="37">
        <v>0</v>
      </c>
      <c r="AS509" s="37">
        <v>0</v>
      </c>
      <c r="AT509" s="37">
        <v>17</v>
      </c>
      <c r="AU509" s="33" t="str">
        <f t="shared" si="11"/>
        <v>库存为17</v>
      </c>
      <c r="AV509" s="38" t="str">
        <f>IFERROR(时间!$B$4+AU509,"上周无销量")</f>
        <v>上周无销量</v>
      </c>
    </row>
    <row r="510" spans="1:48">
      <c r="A510" s="21" t="s">
        <v>1129</v>
      </c>
      <c r="B510" t="s">
        <v>1130</v>
      </c>
      <c r="C510" t="s">
        <v>1128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18</v>
      </c>
      <c r="J510" s="35">
        <v>0</v>
      </c>
      <c r="K510" s="35">
        <v>0</v>
      </c>
      <c r="L510" s="35">
        <v>0</v>
      </c>
      <c r="M510">
        <v>18</v>
      </c>
      <c r="N510">
        <v>0</v>
      </c>
      <c r="O510">
        <v>18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4</v>
      </c>
      <c r="AK510">
        <v>4</v>
      </c>
      <c r="AL510">
        <v>7</v>
      </c>
      <c r="AM510">
        <v>1</v>
      </c>
      <c r="AN510" s="23">
        <v>0</v>
      </c>
      <c r="AO510" s="23">
        <v>0</v>
      </c>
      <c r="AP510" s="23">
        <v>0</v>
      </c>
      <c r="AQ510" s="23">
        <v>0</v>
      </c>
      <c r="AR510" s="37">
        <v>0</v>
      </c>
      <c r="AS510" s="37">
        <v>0</v>
      </c>
      <c r="AT510" s="37">
        <v>18</v>
      </c>
      <c r="AU510" s="33" t="str">
        <f t="shared" si="11"/>
        <v>库存为18</v>
      </c>
      <c r="AV510" s="38" t="str">
        <f>IFERROR(时间!$B$4+AU510,"上周无销量")</f>
        <v>上周无销量</v>
      </c>
    </row>
    <row r="511" spans="1:48">
      <c r="A511" s="21" t="s">
        <v>1131</v>
      </c>
      <c r="B511" t="s">
        <v>1132</v>
      </c>
      <c r="C511" t="s">
        <v>1128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20</v>
      </c>
      <c r="J511" s="35">
        <v>0</v>
      </c>
      <c r="K511" s="35">
        <v>0</v>
      </c>
      <c r="L511" s="35">
        <v>0</v>
      </c>
      <c r="M511">
        <v>20</v>
      </c>
      <c r="N511">
        <v>0</v>
      </c>
      <c r="O511">
        <v>20</v>
      </c>
      <c r="P511">
        <v>0</v>
      </c>
      <c r="Q511">
        <v>1225</v>
      </c>
      <c r="R511">
        <v>952</v>
      </c>
      <c r="S511">
        <v>564</v>
      </c>
      <c r="T511">
        <v>0</v>
      </c>
      <c r="U511">
        <v>10</v>
      </c>
      <c r="V511">
        <v>7</v>
      </c>
      <c r="W511">
        <v>6</v>
      </c>
      <c r="X511" s="23" t="s">
        <v>54</v>
      </c>
      <c r="Y511" s="23">
        <v>0.00816326530612245</v>
      </c>
      <c r="Z511" s="23">
        <v>0.00735294117647059</v>
      </c>
      <c r="AA511" s="23">
        <v>0.0106382978723404</v>
      </c>
      <c r="AB511">
        <v>0</v>
      </c>
      <c r="AC511">
        <v>3.17</v>
      </c>
      <c r="AD511">
        <v>2.77</v>
      </c>
      <c r="AE511">
        <v>2.24</v>
      </c>
      <c r="AF511" s="23" t="s">
        <v>54</v>
      </c>
      <c r="AG511" s="23" t="s">
        <v>1133</v>
      </c>
      <c r="AH511" s="23" t="s">
        <v>1134</v>
      </c>
      <c r="AI511" s="23" t="s">
        <v>1135</v>
      </c>
      <c r="AJ511">
        <v>3</v>
      </c>
      <c r="AK511">
        <v>12</v>
      </c>
      <c r="AL511">
        <v>15</v>
      </c>
      <c r="AM511">
        <v>4</v>
      </c>
      <c r="AN511" s="23">
        <v>0</v>
      </c>
      <c r="AO511" s="23">
        <v>0</v>
      </c>
      <c r="AP511" s="23">
        <v>0</v>
      </c>
      <c r="AQ511" s="23">
        <v>0</v>
      </c>
      <c r="AR511" s="37">
        <v>0</v>
      </c>
      <c r="AS511" s="37">
        <v>0</v>
      </c>
      <c r="AT511" s="37">
        <v>20</v>
      </c>
      <c r="AU511" s="33" t="str">
        <f t="shared" si="11"/>
        <v>库存为20</v>
      </c>
      <c r="AV511" s="38" t="str">
        <f>IFERROR(时间!$B$4+AU511,"上周无销量")</f>
        <v>上周无销量</v>
      </c>
    </row>
    <row r="512" spans="1:48">
      <c r="A512" s="21" t="s">
        <v>1136</v>
      </c>
      <c r="B512" t="s">
        <v>1137</v>
      </c>
      <c r="C512" t="s">
        <v>1128</v>
      </c>
      <c r="D512" s="33">
        <v>1</v>
      </c>
      <c r="E512" s="33">
        <v>0</v>
      </c>
      <c r="F512" s="33">
        <v>0</v>
      </c>
      <c r="G512" s="33">
        <v>0</v>
      </c>
      <c r="H512" s="34">
        <v>15.99</v>
      </c>
      <c r="I512">
        <v>13</v>
      </c>
      <c r="J512" s="35">
        <v>0</v>
      </c>
      <c r="K512" s="35">
        <v>0</v>
      </c>
      <c r="L512" s="35">
        <v>0</v>
      </c>
      <c r="M512">
        <v>13</v>
      </c>
      <c r="N512">
        <v>0</v>
      </c>
      <c r="O512">
        <v>13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10</v>
      </c>
      <c r="AK512">
        <v>6</v>
      </c>
      <c r="AL512">
        <v>7</v>
      </c>
      <c r="AM512">
        <v>3</v>
      </c>
      <c r="AN512" s="23">
        <v>0.1</v>
      </c>
      <c r="AO512" s="23">
        <v>0</v>
      </c>
      <c r="AP512" s="23">
        <v>0</v>
      </c>
      <c r="AQ512" s="23">
        <v>0</v>
      </c>
      <c r="AR512" s="37">
        <v>0.142857142857143</v>
      </c>
      <c r="AS512" s="37">
        <v>8.57142857142857</v>
      </c>
      <c r="AT512" s="37">
        <v>4.42857142857143</v>
      </c>
      <c r="AU512" s="33">
        <f t="shared" si="11"/>
        <v>91</v>
      </c>
      <c r="AV512" s="38">
        <f>IFERROR(时间!$B$4+AU512,"上周无销量")</f>
        <v>43430</v>
      </c>
    </row>
    <row r="513" spans="1:48">
      <c r="A513" s="21" t="s">
        <v>1138</v>
      </c>
      <c r="B513" t="s">
        <v>1139</v>
      </c>
      <c r="C513" t="s">
        <v>1128</v>
      </c>
      <c r="D513" s="33">
        <v>1</v>
      </c>
      <c r="E513" s="33">
        <v>0</v>
      </c>
      <c r="F513" s="33">
        <v>0</v>
      </c>
      <c r="G513" s="33">
        <v>0</v>
      </c>
      <c r="H513" s="34">
        <v>15.99</v>
      </c>
      <c r="I513">
        <v>8</v>
      </c>
      <c r="J513" s="35">
        <v>0</v>
      </c>
      <c r="K513" s="35">
        <v>0</v>
      </c>
      <c r="L513" s="35">
        <v>0</v>
      </c>
      <c r="M513">
        <v>8</v>
      </c>
      <c r="N513">
        <v>0</v>
      </c>
      <c r="O513">
        <v>8</v>
      </c>
      <c r="P513">
        <v>0</v>
      </c>
      <c r="Q513">
        <v>76</v>
      </c>
      <c r="R513">
        <v>426</v>
      </c>
      <c r="S513">
        <v>202</v>
      </c>
      <c r="T513">
        <v>0</v>
      </c>
      <c r="U513">
        <v>0</v>
      </c>
      <c r="V513">
        <v>0</v>
      </c>
      <c r="W513">
        <v>0</v>
      </c>
      <c r="X513" s="23" t="s">
        <v>54</v>
      </c>
      <c r="Y513" s="23">
        <v>0</v>
      </c>
      <c r="Z513" s="23">
        <v>0</v>
      </c>
      <c r="AA513" s="23">
        <v>0</v>
      </c>
      <c r="AB513">
        <v>0</v>
      </c>
      <c r="AC513">
        <v>0</v>
      </c>
      <c r="AD513">
        <v>0</v>
      </c>
      <c r="AE513">
        <v>0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16</v>
      </c>
      <c r="AK513">
        <v>8</v>
      </c>
      <c r="AL513">
        <v>4</v>
      </c>
      <c r="AM513">
        <v>4</v>
      </c>
      <c r="AN513" s="23">
        <v>0.0625</v>
      </c>
      <c r="AO513" s="23">
        <v>0</v>
      </c>
      <c r="AP513" s="23">
        <v>0</v>
      </c>
      <c r="AQ513" s="23">
        <v>0</v>
      </c>
      <c r="AR513" s="37">
        <v>0.142857142857143</v>
      </c>
      <c r="AS513" s="37">
        <v>8.57142857142857</v>
      </c>
      <c r="AT513" s="37">
        <v>-0.571428571428571</v>
      </c>
      <c r="AU513" s="33">
        <f t="shared" si="11"/>
        <v>56</v>
      </c>
      <c r="AV513" s="38">
        <f>IFERROR(时间!$B$4+AU513,"上周无销量")</f>
        <v>43395</v>
      </c>
    </row>
    <row r="514" spans="1:48">
      <c r="A514" s="21" t="s">
        <v>1140</v>
      </c>
      <c r="B514" t="s">
        <v>1141</v>
      </c>
      <c r="C514" t="s">
        <v>1128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5</v>
      </c>
      <c r="J514" s="35">
        <v>0</v>
      </c>
      <c r="K514" s="35">
        <v>0</v>
      </c>
      <c r="L514" s="35">
        <v>0</v>
      </c>
      <c r="M514">
        <v>5</v>
      </c>
      <c r="N514">
        <v>0</v>
      </c>
      <c r="O514">
        <v>5</v>
      </c>
      <c r="P514">
        <v>0</v>
      </c>
      <c r="Q514">
        <v>112</v>
      </c>
      <c r="R514">
        <v>320</v>
      </c>
      <c r="S514">
        <v>1274</v>
      </c>
      <c r="T514">
        <v>0</v>
      </c>
      <c r="U514">
        <v>0</v>
      </c>
      <c r="V514">
        <v>0</v>
      </c>
      <c r="W514">
        <v>1</v>
      </c>
      <c r="X514" s="23" t="s">
        <v>54</v>
      </c>
      <c r="Y514" s="23">
        <v>0</v>
      </c>
      <c r="Z514" s="23">
        <v>0</v>
      </c>
      <c r="AA514" s="23">
        <v>0.000784929356357928</v>
      </c>
      <c r="AB514">
        <v>0</v>
      </c>
      <c r="AC514">
        <v>0</v>
      </c>
      <c r="AD514">
        <v>0</v>
      </c>
      <c r="AE514">
        <v>0.12</v>
      </c>
      <c r="AF514" s="23" t="s">
        <v>54</v>
      </c>
      <c r="AG514" s="23" t="s">
        <v>54</v>
      </c>
      <c r="AH514" s="23" t="s">
        <v>54</v>
      </c>
      <c r="AI514" s="23" t="s">
        <v>296</v>
      </c>
      <c r="AJ514">
        <v>9</v>
      </c>
      <c r="AK514">
        <v>2</v>
      </c>
      <c r="AL514">
        <v>12</v>
      </c>
      <c r="AM514">
        <v>5</v>
      </c>
      <c r="AN514" s="23">
        <v>0</v>
      </c>
      <c r="AO514" s="23">
        <v>0</v>
      </c>
      <c r="AP514" s="23">
        <v>0</v>
      </c>
      <c r="AQ514" s="23">
        <v>0</v>
      </c>
      <c r="AR514" s="37">
        <v>0</v>
      </c>
      <c r="AS514" s="37">
        <v>0</v>
      </c>
      <c r="AT514" s="37">
        <v>5</v>
      </c>
      <c r="AU514" s="33" t="str">
        <f t="shared" si="11"/>
        <v>库存为5</v>
      </c>
      <c r="AV514" s="38" t="str">
        <f>IFERROR(时间!$B$4+AU514,"上周无销量")</f>
        <v>上周无销量</v>
      </c>
    </row>
    <row r="515" spans="1:48">
      <c r="A515" s="21" t="s">
        <v>1142</v>
      </c>
      <c r="B515" t="s">
        <v>1143</v>
      </c>
      <c r="C515" t="s">
        <v>1128</v>
      </c>
      <c r="D515" s="33">
        <v>0</v>
      </c>
      <c r="E515" s="33">
        <v>1</v>
      </c>
      <c r="F515" s="33">
        <v>0</v>
      </c>
      <c r="G515" s="33">
        <v>0</v>
      </c>
      <c r="H515" s="34">
        <v>15.99</v>
      </c>
      <c r="I515">
        <v>17</v>
      </c>
      <c r="J515" s="35">
        <v>0</v>
      </c>
      <c r="K515" s="35">
        <v>0</v>
      </c>
      <c r="L515" s="35">
        <v>0</v>
      </c>
      <c r="M515">
        <v>17</v>
      </c>
      <c r="N515">
        <v>0</v>
      </c>
      <c r="O515">
        <v>16</v>
      </c>
      <c r="P515">
        <v>0</v>
      </c>
      <c r="Q515">
        <v>339</v>
      </c>
      <c r="R515">
        <v>339</v>
      </c>
      <c r="S515">
        <v>325</v>
      </c>
      <c r="T515">
        <v>0</v>
      </c>
      <c r="U515">
        <v>0</v>
      </c>
      <c r="V515">
        <v>0</v>
      </c>
      <c r="W515">
        <v>0</v>
      </c>
      <c r="X515" s="23" t="s">
        <v>54</v>
      </c>
      <c r="Y515" s="23">
        <v>0</v>
      </c>
      <c r="Z515" s="23">
        <v>0</v>
      </c>
      <c r="AA515" s="23">
        <v>0</v>
      </c>
      <c r="AB515">
        <v>0</v>
      </c>
      <c r="AC515">
        <v>0</v>
      </c>
      <c r="AD515">
        <v>0</v>
      </c>
      <c r="AE515">
        <v>0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9</v>
      </c>
      <c r="AK515">
        <v>11</v>
      </c>
      <c r="AL515">
        <v>9</v>
      </c>
      <c r="AM515">
        <v>2</v>
      </c>
      <c r="AN515" s="23">
        <v>0</v>
      </c>
      <c r="AO515" s="23">
        <v>0.0909090909090909</v>
      </c>
      <c r="AP515" s="23">
        <v>0</v>
      </c>
      <c r="AQ515" s="23">
        <v>0</v>
      </c>
      <c r="AR515" s="37">
        <v>0</v>
      </c>
      <c r="AS515" s="37">
        <v>0</v>
      </c>
      <c r="AT515" s="37">
        <v>17</v>
      </c>
      <c r="AU515" s="33" t="str">
        <f t="shared" si="11"/>
        <v>库存为17</v>
      </c>
      <c r="AV515" s="38" t="str">
        <f>IFERROR(时间!$B$4+AU515,"上周无销量")</f>
        <v>上周无销量</v>
      </c>
    </row>
    <row r="516" spans="1:48">
      <c r="A516" s="21" t="s">
        <v>1144</v>
      </c>
      <c r="B516" t="s">
        <v>1145</v>
      </c>
      <c r="C516" t="s">
        <v>1128</v>
      </c>
      <c r="D516" s="33">
        <v>1</v>
      </c>
      <c r="E516" s="33">
        <v>0</v>
      </c>
      <c r="F516" s="33">
        <v>0</v>
      </c>
      <c r="G516" s="33">
        <v>0</v>
      </c>
      <c r="H516" s="34">
        <v>10</v>
      </c>
      <c r="I516">
        <v>13</v>
      </c>
      <c r="J516" s="35">
        <v>0</v>
      </c>
      <c r="K516" s="35">
        <v>0</v>
      </c>
      <c r="L516" s="35">
        <v>0</v>
      </c>
      <c r="M516">
        <v>13</v>
      </c>
      <c r="N516">
        <v>0</v>
      </c>
      <c r="O516">
        <v>13</v>
      </c>
      <c r="P516">
        <v>0</v>
      </c>
      <c r="Q516">
        <v>39</v>
      </c>
      <c r="R516">
        <v>254</v>
      </c>
      <c r="S516">
        <v>67</v>
      </c>
      <c r="T516">
        <v>0</v>
      </c>
      <c r="U516">
        <v>0</v>
      </c>
      <c r="V516">
        <v>1</v>
      </c>
      <c r="W516">
        <v>0</v>
      </c>
      <c r="X516" s="23" t="s">
        <v>54</v>
      </c>
      <c r="Y516" s="23">
        <v>0</v>
      </c>
      <c r="Z516" s="23">
        <v>0.00393700787401575</v>
      </c>
      <c r="AA516" s="23">
        <v>0</v>
      </c>
      <c r="AB516">
        <v>0</v>
      </c>
      <c r="AC516">
        <v>0</v>
      </c>
      <c r="AD516">
        <v>0.29</v>
      </c>
      <c r="AE516">
        <v>0</v>
      </c>
      <c r="AF516" s="23" t="s">
        <v>54</v>
      </c>
      <c r="AG516" s="23" t="s">
        <v>54</v>
      </c>
      <c r="AH516" s="23" t="s">
        <v>232</v>
      </c>
      <c r="AI516" s="23" t="s">
        <v>54</v>
      </c>
      <c r="AJ516">
        <v>6</v>
      </c>
      <c r="AK516">
        <v>5</v>
      </c>
      <c r="AL516">
        <v>10</v>
      </c>
      <c r="AM516">
        <v>5</v>
      </c>
      <c r="AN516" s="23">
        <v>0.166666666666667</v>
      </c>
      <c r="AO516" s="23">
        <v>0</v>
      </c>
      <c r="AP516" s="23">
        <v>0</v>
      </c>
      <c r="AQ516" s="23">
        <v>0</v>
      </c>
      <c r="AR516" s="37">
        <v>0.142857142857143</v>
      </c>
      <c r="AS516" s="37">
        <v>8.57142857142857</v>
      </c>
      <c r="AT516" s="37">
        <v>4.42857142857143</v>
      </c>
      <c r="AU516" s="33">
        <f t="shared" si="11"/>
        <v>91</v>
      </c>
      <c r="AV516" s="38">
        <f>IFERROR(时间!$B$4+AU516,"上周无销量")</f>
        <v>43430</v>
      </c>
    </row>
    <row r="517" spans="1:48">
      <c r="A517" s="21" t="s">
        <v>1146</v>
      </c>
      <c r="B517" t="s">
        <v>1147</v>
      </c>
      <c r="C517" t="s">
        <v>1002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9</v>
      </c>
      <c r="J517" s="35">
        <v>0</v>
      </c>
      <c r="K517" s="35">
        <v>0</v>
      </c>
      <c r="L517" s="35">
        <v>0</v>
      </c>
      <c r="M517">
        <v>9</v>
      </c>
      <c r="N517">
        <v>0</v>
      </c>
      <c r="O517">
        <v>9</v>
      </c>
      <c r="P517">
        <v>0</v>
      </c>
      <c r="Q517">
        <v>33</v>
      </c>
      <c r="R517">
        <v>92</v>
      </c>
      <c r="S517">
        <v>68</v>
      </c>
      <c r="T517">
        <v>0</v>
      </c>
      <c r="U517">
        <v>0</v>
      </c>
      <c r="V517">
        <v>0</v>
      </c>
      <c r="W517">
        <v>0</v>
      </c>
      <c r="X517" s="23" t="s">
        <v>54</v>
      </c>
      <c r="Y517" s="23">
        <v>0</v>
      </c>
      <c r="Z517" s="23">
        <v>0</v>
      </c>
      <c r="AA517" s="23">
        <v>0</v>
      </c>
      <c r="AB517">
        <v>0</v>
      </c>
      <c r="AC517">
        <v>0</v>
      </c>
      <c r="AD517">
        <v>0</v>
      </c>
      <c r="AE517">
        <v>0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7</v>
      </c>
      <c r="AK517">
        <v>6</v>
      </c>
      <c r="AL517">
        <v>7</v>
      </c>
      <c r="AM517">
        <v>3</v>
      </c>
      <c r="AN517" s="23">
        <v>0</v>
      </c>
      <c r="AO517" s="23">
        <v>0</v>
      </c>
      <c r="AP517" s="23">
        <v>0</v>
      </c>
      <c r="AQ517" s="23">
        <v>0</v>
      </c>
      <c r="AR517" s="37">
        <v>0</v>
      </c>
      <c r="AS517" s="37">
        <v>0</v>
      </c>
      <c r="AT517" s="37">
        <v>9</v>
      </c>
      <c r="AU517" s="33" t="str">
        <f t="shared" ref="AU517:AU566" si="12">IF(AR517="","库存为"&amp;M517,IF(AS517=0,"库存为"&amp;M517,INT(M517/AR517)))</f>
        <v>库存为9</v>
      </c>
      <c r="AV517" s="38" t="str">
        <f>IFERROR(时间!$B$4+AU517,"上周无销量")</f>
        <v>上周无销量</v>
      </c>
    </row>
    <row r="518" spans="1:48">
      <c r="A518" s="21" t="s">
        <v>1148</v>
      </c>
      <c r="B518" t="s">
        <v>1149</v>
      </c>
      <c r="C518" t="s">
        <v>1002</v>
      </c>
      <c r="D518" s="33">
        <v>0</v>
      </c>
      <c r="E518" s="33">
        <v>1</v>
      </c>
      <c r="F518" s="33">
        <v>0</v>
      </c>
      <c r="G518" s="33">
        <v>0</v>
      </c>
      <c r="H518" s="34">
        <v>15.99</v>
      </c>
      <c r="I518">
        <v>3</v>
      </c>
      <c r="J518" s="35">
        <v>0</v>
      </c>
      <c r="K518" s="35">
        <v>0</v>
      </c>
      <c r="L518" s="35">
        <v>0</v>
      </c>
      <c r="M518">
        <v>3</v>
      </c>
      <c r="N518">
        <v>0</v>
      </c>
      <c r="O518">
        <v>3</v>
      </c>
      <c r="P518">
        <v>0</v>
      </c>
      <c r="Q518">
        <v>16</v>
      </c>
      <c r="R518">
        <v>243</v>
      </c>
      <c r="S518">
        <v>77</v>
      </c>
      <c r="T518">
        <v>0</v>
      </c>
      <c r="U518">
        <v>0</v>
      </c>
      <c r="V518">
        <v>1</v>
      </c>
      <c r="W518">
        <v>1</v>
      </c>
      <c r="X518" s="23" t="s">
        <v>54</v>
      </c>
      <c r="Y518" s="23">
        <v>0</v>
      </c>
      <c r="Z518" s="23">
        <v>0.00411522633744856</v>
      </c>
      <c r="AA518" s="23">
        <v>0.012987012987013</v>
      </c>
      <c r="AB518">
        <v>0</v>
      </c>
      <c r="AC518">
        <v>0</v>
      </c>
      <c r="AD518">
        <v>0.49</v>
      </c>
      <c r="AE518">
        <v>0.3</v>
      </c>
      <c r="AF518" s="23" t="s">
        <v>54</v>
      </c>
      <c r="AG518" s="23" t="s">
        <v>54</v>
      </c>
      <c r="AH518" s="23" t="s">
        <v>277</v>
      </c>
      <c r="AI518" s="23" t="s">
        <v>665</v>
      </c>
      <c r="AJ518">
        <v>12</v>
      </c>
      <c r="AK518">
        <v>8</v>
      </c>
      <c r="AL518">
        <v>9</v>
      </c>
      <c r="AM518">
        <v>4</v>
      </c>
      <c r="AN518" s="23">
        <v>0</v>
      </c>
      <c r="AO518" s="23">
        <v>0.125</v>
      </c>
      <c r="AP518" s="23">
        <v>0</v>
      </c>
      <c r="AQ518" s="23">
        <v>0</v>
      </c>
      <c r="AR518" s="37">
        <v>0</v>
      </c>
      <c r="AS518" s="37">
        <v>0</v>
      </c>
      <c r="AT518" s="37">
        <v>3</v>
      </c>
      <c r="AU518" s="33" t="str">
        <f t="shared" si="12"/>
        <v>库存为3</v>
      </c>
      <c r="AV518" s="38" t="str">
        <f>IFERROR(时间!$B$4+AU518,"上周无销量")</f>
        <v>上周无销量</v>
      </c>
    </row>
    <row r="519" spans="1:48">
      <c r="A519" s="21" t="s">
        <v>1150</v>
      </c>
      <c r="B519" t="s">
        <v>1151</v>
      </c>
      <c r="C519" t="s">
        <v>1002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17</v>
      </c>
      <c r="J519" s="35">
        <v>0</v>
      </c>
      <c r="K519" s="35">
        <v>0</v>
      </c>
      <c r="L519" s="35">
        <v>0</v>
      </c>
      <c r="M519">
        <v>17</v>
      </c>
      <c r="N519">
        <v>0</v>
      </c>
      <c r="O519">
        <v>16</v>
      </c>
      <c r="P519">
        <v>489</v>
      </c>
      <c r="Q519">
        <v>990</v>
      </c>
      <c r="R519">
        <v>2827</v>
      </c>
      <c r="S519">
        <v>978</v>
      </c>
      <c r="T519">
        <v>1</v>
      </c>
      <c r="U519">
        <v>2</v>
      </c>
      <c r="V519">
        <v>5</v>
      </c>
      <c r="W519">
        <v>3</v>
      </c>
      <c r="X519" s="23">
        <v>0.00204498977505112</v>
      </c>
      <c r="Y519" s="23">
        <v>0.00202020202020202</v>
      </c>
      <c r="Z519" s="23">
        <v>0.00176865935620799</v>
      </c>
      <c r="AA519" s="23">
        <v>0.00306748466257669</v>
      </c>
      <c r="AB519">
        <v>0.39</v>
      </c>
      <c r="AC519">
        <v>0.42</v>
      </c>
      <c r="AD519">
        <v>1.6</v>
      </c>
      <c r="AE519">
        <v>1</v>
      </c>
      <c r="AF519" s="23" t="s">
        <v>1152</v>
      </c>
      <c r="AG519" s="23" t="s">
        <v>1003</v>
      </c>
      <c r="AH519" s="23" t="s">
        <v>1153</v>
      </c>
      <c r="AI519" s="23" t="s">
        <v>1154</v>
      </c>
      <c r="AJ519">
        <v>11</v>
      </c>
      <c r="AK519">
        <v>9</v>
      </c>
      <c r="AL519">
        <v>16</v>
      </c>
      <c r="AM519">
        <v>11</v>
      </c>
      <c r="AN519" s="23">
        <v>0</v>
      </c>
      <c r="AO519" s="23">
        <v>0</v>
      </c>
      <c r="AP519" s="23">
        <v>0</v>
      </c>
      <c r="AQ519" s="23">
        <v>0</v>
      </c>
      <c r="AR519" s="37">
        <v>0</v>
      </c>
      <c r="AS519" s="37">
        <v>0</v>
      </c>
      <c r="AT519" s="37">
        <v>17</v>
      </c>
      <c r="AU519" s="33" t="str">
        <f t="shared" si="12"/>
        <v>库存为17</v>
      </c>
      <c r="AV519" s="38" t="str">
        <f>IFERROR(时间!$B$4+AU519,"上周无销量")</f>
        <v>上周无销量</v>
      </c>
    </row>
    <row r="520" spans="1:48">
      <c r="A520" s="21" t="s">
        <v>1155</v>
      </c>
      <c r="B520" t="s">
        <v>1156</v>
      </c>
      <c r="C520" t="s">
        <v>1157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0</v>
      </c>
      <c r="J520" s="35">
        <v>0</v>
      </c>
      <c r="K520" s="35">
        <v>0</v>
      </c>
      <c r="L520" s="35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3</v>
      </c>
      <c r="AM520">
        <v>3</v>
      </c>
      <c r="AN520" s="23" t="s">
        <v>54</v>
      </c>
      <c r="AO520" s="23" t="s">
        <v>54</v>
      </c>
      <c r="AP520" s="23">
        <v>0</v>
      </c>
      <c r="AQ520" s="23">
        <v>0</v>
      </c>
      <c r="AR520" s="37">
        <v>0</v>
      </c>
      <c r="AS520" s="37">
        <v>0</v>
      </c>
      <c r="AT520" s="37">
        <v>0</v>
      </c>
      <c r="AU520" s="33" t="str">
        <f t="shared" si="12"/>
        <v>库存为0</v>
      </c>
      <c r="AV520" s="38" t="str">
        <f>IFERROR(时间!$B$4+AU520,"上周无销量")</f>
        <v>上周无销量</v>
      </c>
    </row>
    <row r="521" spans="1:48">
      <c r="A521" s="21" t="s">
        <v>1158</v>
      </c>
      <c r="B521" t="s">
        <v>1159</v>
      </c>
      <c r="C521" t="s">
        <v>1160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0</v>
      </c>
      <c r="J521" s="35">
        <v>0</v>
      </c>
      <c r="K521" s="35">
        <v>0</v>
      </c>
      <c r="L521" s="35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3</v>
      </c>
      <c r="AM521">
        <v>2</v>
      </c>
      <c r="AN521" s="23" t="s">
        <v>54</v>
      </c>
      <c r="AO521" s="23" t="s">
        <v>54</v>
      </c>
      <c r="AP521" s="23">
        <v>0</v>
      </c>
      <c r="AQ521" s="23">
        <v>0</v>
      </c>
      <c r="AR521" s="37">
        <v>0</v>
      </c>
      <c r="AS521" s="37">
        <v>0</v>
      </c>
      <c r="AT521" s="37">
        <v>0</v>
      </c>
      <c r="AU521" s="33" t="str">
        <f t="shared" si="12"/>
        <v>库存为0</v>
      </c>
      <c r="AV521" s="38" t="str">
        <f>IFERROR(时间!$B$4+AU521,"上周无销量")</f>
        <v>上周无销量</v>
      </c>
    </row>
    <row r="522" spans="1:48">
      <c r="A522" s="21" t="s">
        <v>1161</v>
      </c>
      <c r="B522" t="s">
        <v>1162</v>
      </c>
      <c r="C522" t="s">
        <v>1160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0</v>
      </c>
      <c r="J522" s="35">
        <v>0</v>
      </c>
      <c r="K522" s="35">
        <v>0</v>
      </c>
      <c r="L522" s="35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1</v>
      </c>
      <c r="AM522">
        <v>2</v>
      </c>
      <c r="AN522" s="23" t="s">
        <v>54</v>
      </c>
      <c r="AO522" s="23" t="s">
        <v>54</v>
      </c>
      <c r="AP522" s="23">
        <v>0</v>
      </c>
      <c r="AQ522" s="23">
        <v>0</v>
      </c>
      <c r="AR522" s="37">
        <v>0</v>
      </c>
      <c r="AS522" s="37">
        <v>0</v>
      </c>
      <c r="AT522" s="37">
        <v>0</v>
      </c>
      <c r="AU522" s="33" t="str">
        <f t="shared" si="12"/>
        <v>库存为0</v>
      </c>
      <c r="AV522" s="38" t="str">
        <f>IFERROR(时间!$B$4+AU522,"上周无销量")</f>
        <v>上周无销量</v>
      </c>
    </row>
    <row r="523" spans="1:48">
      <c r="A523" s="21" t="s">
        <v>1163</v>
      </c>
      <c r="B523" t="s">
        <v>1164</v>
      </c>
      <c r="C523" t="s">
        <v>1160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0</v>
      </c>
      <c r="J523" s="35">
        <v>0</v>
      </c>
      <c r="K523" s="35">
        <v>0</v>
      </c>
      <c r="L523" s="35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4</v>
      </c>
      <c r="AM523">
        <v>1</v>
      </c>
      <c r="AN523" s="23" t="s">
        <v>54</v>
      </c>
      <c r="AO523" s="23" t="s">
        <v>54</v>
      </c>
      <c r="AP523" s="23">
        <v>0</v>
      </c>
      <c r="AQ523" s="23">
        <v>0</v>
      </c>
      <c r="AR523" s="37">
        <v>0</v>
      </c>
      <c r="AS523" s="37">
        <v>0</v>
      </c>
      <c r="AT523" s="37">
        <v>0</v>
      </c>
      <c r="AU523" s="33" t="str">
        <f t="shared" si="12"/>
        <v>库存为0</v>
      </c>
      <c r="AV523" s="38" t="str">
        <f>IFERROR(时间!$B$4+AU523,"上周无销量")</f>
        <v>上周无销量</v>
      </c>
    </row>
    <row r="524" spans="1:48">
      <c r="A524" s="21" t="s">
        <v>1165</v>
      </c>
      <c r="B524" t="s">
        <v>1166</v>
      </c>
      <c r="C524" t="s">
        <v>1160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0</v>
      </c>
      <c r="J524" s="35">
        <v>0</v>
      </c>
      <c r="K524" s="35">
        <v>0</v>
      </c>
      <c r="L524" s="35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4</v>
      </c>
      <c r="AM524">
        <v>2</v>
      </c>
      <c r="AN524" s="23" t="s">
        <v>54</v>
      </c>
      <c r="AO524" s="23" t="s">
        <v>54</v>
      </c>
      <c r="AP524" s="23">
        <v>0</v>
      </c>
      <c r="AQ524" s="23">
        <v>0</v>
      </c>
      <c r="AR524" s="37">
        <v>0</v>
      </c>
      <c r="AS524" s="37">
        <v>0</v>
      </c>
      <c r="AT524" s="37">
        <v>0</v>
      </c>
      <c r="AU524" s="33" t="str">
        <f t="shared" si="12"/>
        <v>库存为0</v>
      </c>
      <c r="AV524" s="38" t="str">
        <f>IFERROR(时间!$B$4+AU524,"上周无销量")</f>
        <v>上周无销量</v>
      </c>
    </row>
    <row r="525" spans="1:48">
      <c r="A525" s="21" t="s">
        <v>1167</v>
      </c>
      <c r="B525" t="s">
        <v>1168</v>
      </c>
      <c r="C525" t="s">
        <v>1160</v>
      </c>
      <c r="D525" s="33">
        <v>0</v>
      </c>
      <c r="E525" s="33">
        <v>0</v>
      </c>
      <c r="F525" s="33">
        <v>0</v>
      </c>
      <c r="G525" s="33">
        <v>0</v>
      </c>
      <c r="H525" s="34">
        <v>0</v>
      </c>
      <c r="I525">
        <v>0</v>
      </c>
      <c r="J525" s="35">
        <v>0</v>
      </c>
      <c r="K525" s="35">
        <v>0</v>
      </c>
      <c r="L525" s="35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3</v>
      </c>
      <c r="AM525">
        <v>2</v>
      </c>
      <c r="AN525" s="23" t="s">
        <v>54</v>
      </c>
      <c r="AO525" s="23" t="s">
        <v>54</v>
      </c>
      <c r="AP525" s="23">
        <v>0</v>
      </c>
      <c r="AQ525" s="23">
        <v>0</v>
      </c>
      <c r="AR525" s="37">
        <v>0</v>
      </c>
      <c r="AS525" s="37">
        <v>0</v>
      </c>
      <c r="AT525" s="37">
        <v>0</v>
      </c>
      <c r="AU525" s="33" t="str">
        <f t="shared" si="12"/>
        <v>库存为0</v>
      </c>
      <c r="AV525" s="38" t="str">
        <f>IFERROR(时间!$B$4+AU525,"上周无销量")</f>
        <v>上周无销量</v>
      </c>
    </row>
    <row r="526" spans="1:48">
      <c r="A526" s="21" t="s">
        <v>1169</v>
      </c>
      <c r="B526" t="s">
        <v>1170</v>
      </c>
      <c r="C526" t="s">
        <v>1160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0</v>
      </c>
      <c r="J526" s="35">
        <v>0</v>
      </c>
      <c r="K526" s="35">
        <v>0</v>
      </c>
      <c r="L526" s="35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3</v>
      </c>
      <c r="AM526">
        <v>3</v>
      </c>
      <c r="AN526" s="23" t="s">
        <v>54</v>
      </c>
      <c r="AO526" s="23" t="s">
        <v>54</v>
      </c>
      <c r="AP526" s="23">
        <v>0</v>
      </c>
      <c r="AQ526" s="23">
        <v>0</v>
      </c>
      <c r="AR526" s="37">
        <v>0</v>
      </c>
      <c r="AS526" s="37">
        <v>0</v>
      </c>
      <c r="AT526" s="37">
        <v>0</v>
      </c>
      <c r="AU526" s="33" t="str">
        <f t="shared" si="12"/>
        <v>库存为0</v>
      </c>
      <c r="AV526" s="38" t="str">
        <f>IFERROR(时间!$B$4+AU526,"上周无销量")</f>
        <v>上周无销量</v>
      </c>
    </row>
    <row r="527" spans="1:48">
      <c r="A527" s="21" t="s">
        <v>1171</v>
      </c>
      <c r="B527" t="s">
        <v>1172</v>
      </c>
      <c r="C527" t="s">
        <v>1160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0</v>
      </c>
      <c r="J527" s="35">
        <v>0</v>
      </c>
      <c r="K527" s="35">
        <v>0</v>
      </c>
      <c r="L527" s="35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1</v>
      </c>
      <c r="AL527">
        <v>5</v>
      </c>
      <c r="AM527">
        <v>2</v>
      </c>
      <c r="AN527" s="23" t="s">
        <v>54</v>
      </c>
      <c r="AO527" s="23">
        <v>0</v>
      </c>
      <c r="AP527" s="23">
        <v>0</v>
      </c>
      <c r="AQ527" s="23">
        <v>0</v>
      </c>
      <c r="AR527" s="37">
        <v>0</v>
      </c>
      <c r="AS527" s="37">
        <v>0</v>
      </c>
      <c r="AT527" s="37">
        <v>0</v>
      </c>
      <c r="AU527" s="33" t="str">
        <f t="shared" si="12"/>
        <v>库存为0</v>
      </c>
      <c r="AV527" s="38" t="str">
        <f>IFERROR(时间!$B$4+AU527,"上周无销量")</f>
        <v>上周无销量</v>
      </c>
    </row>
    <row r="528" spans="1:48">
      <c r="A528" s="21" t="s">
        <v>1173</v>
      </c>
      <c r="B528" t="s">
        <v>1174</v>
      </c>
      <c r="C528" t="s">
        <v>1160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0</v>
      </c>
      <c r="J528" s="35">
        <v>0</v>
      </c>
      <c r="K528" s="35">
        <v>0</v>
      </c>
      <c r="L528" s="35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6</v>
      </c>
      <c r="AM528">
        <v>1</v>
      </c>
      <c r="AN528" s="23" t="s">
        <v>54</v>
      </c>
      <c r="AO528" s="23" t="s">
        <v>54</v>
      </c>
      <c r="AP528" s="23">
        <v>0</v>
      </c>
      <c r="AQ528" s="23">
        <v>0</v>
      </c>
      <c r="AR528" s="37">
        <v>0</v>
      </c>
      <c r="AS528" s="37">
        <v>0</v>
      </c>
      <c r="AT528" s="37">
        <v>0</v>
      </c>
      <c r="AU528" s="33" t="str">
        <f t="shared" si="12"/>
        <v>库存为0</v>
      </c>
      <c r="AV528" s="38" t="str">
        <f>IFERROR(时间!$B$4+AU528,"上周无销量")</f>
        <v>上周无销量</v>
      </c>
    </row>
    <row r="529" spans="1:48">
      <c r="A529" s="21" t="s">
        <v>1175</v>
      </c>
      <c r="B529" t="s">
        <v>1176</v>
      </c>
      <c r="C529" t="s">
        <v>1160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0</v>
      </c>
      <c r="J529" s="35">
        <v>0</v>
      </c>
      <c r="K529" s="35">
        <v>0</v>
      </c>
      <c r="L529" s="35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4</v>
      </c>
      <c r="AM529">
        <v>3</v>
      </c>
      <c r="AN529" s="23" t="s">
        <v>54</v>
      </c>
      <c r="AO529" s="23" t="s">
        <v>54</v>
      </c>
      <c r="AP529" s="23">
        <v>0</v>
      </c>
      <c r="AQ529" s="23">
        <v>0</v>
      </c>
      <c r="AR529" s="37">
        <v>0</v>
      </c>
      <c r="AS529" s="37">
        <v>0</v>
      </c>
      <c r="AT529" s="37">
        <v>0</v>
      </c>
      <c r="AU529" s="33" t="str">
        <f t="shared" si="12"/>
        <v>库存为0</v>
      </c>
      <c r="AV529" s="38" t="str">
        <f>IFERROR(时间!$B$4+AU529,"上周无销量")</f>
        <v>上周无销量</v>
      </c>
    </row>
    <row r="530" spans="1:48">
      <c r="A530" s="21" t="s">
        <v>1177</v>
      </c>
      <c r="B530" t="s">
        <v>1178</v>
      </c>
      <c r="C530" t="s">
        <v>1160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0</v>
      </c>
      <c r="J530" s="35">
        <v>0</v>
      </c>
      <c r="K530" s="35">
        <v>0</v>
      </c>
      <c r="L530" s="35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2</v>
      </c>
      <c r="AM530">
        <v>4</v>
      </c>
      <c r="AN530" s="23" t="s">
        <v>54</v>
      </c>
      <c r="AO530" s="23" t="s">
        <v>54</v>
      </c>
      <c r="AP530" s="23">
        <v>0</v>
      </c>
      <c r="AQ530" s="23">
        <v>0</v>
      </c>
      <c r="AR530" s="37">
        <v>0</v>
      </c>
      <c r="AS530" s="37">
        <v>0</v>
      </c>
      <c r="AT530" s="37">
        <v>0</v>
      </c>
      <c r="AU530" s="33" t="str">
        <f t="shared" si="12"/>
        <v>库存为0</v>
      </c>
      <c r="AV530" s="38" t="str">
        <f>IFERROR(时间!$B$4+AU530,"上周无销量")</f>
        <v>上周无销量</v>
      </c>
    </row>
    <row r="531" spans="1:48">
      <c r="A531" s="21" t="s">
        <v>1179</v>
      </c>
      <c r="B531" t="s">
        <v>1156</v>
      </c>
      <c r="C531" t="s">
        <v>1157</v>
      </c>
      <c r="D531" s="33">
        <v>0</v>
      </c>
      <c r="E531" s="33">
        <v>1</v>
      </c>
      <c r="F531" s="33">
        <v>0</v>
      </c>
      <c r="G531" s="33">
        <v>0</v>
      </c>
      <c r="H531" s="34">
        <v>0</v>
      </c>
      <c r="I531">
        <v>0</v>
      </c>
      <c r="J531" s="35">
        <v>0</v>
      </c>
      <c r="K531" s="35">
        <v>0</v>
      </c>
      <c r="L531" s="35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3</v>
      </c>
      <c r="AM531">
        <v>3</v>
      </c>
      <c r="AN531" s="23" t="s">
        <v>54</v>
      </c>
      <c r="AO531" s="23" t="s">
        <v>54</v>
      </c>
      <c r="AP531" s="23">
        <v>0</v>
      </c>
      <c r="AQ531" s="23">
        <v>0</v>
      </c>
      <c r="AR531" s="37">
        <v>0</v>
      </c>
      <c r="AS531" s="37">
        <v>0</v>
      </c>
      <c r="AT531" s="37">
        <v>0</v>
      </c>
      <c r="AU531" s="33" t="str">
        <f t="shared" si="12"/>
        <v>库存为0</v>
      </c>
      <c r="AV531" s="38" t="str">
        <f>IFERROR(时间!$B$4+AU531,"上周无销量")</f>
        <v>上周无销量</v>
      </c>
    </row>
    <row r="532" spans="1:48">
      <c r="A532" s="21" t="s">
        <v>1180</v>
      </c>
      <c r="B532" t="s">
        <v>1181</v>
      </c>
      <c r="C532" t="s">
        <v>1157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1</v>
      </c>
      <c r="J532" s="35">
        <v>0</v>
      </c>
      <c r="K532" s="35">
        <v>0</v>
      </c>
      <c r="L532" s="35">
        <v>0</v>
      </c>
      <c r="M532">
        <v>1</v>
      </c>
      <c r="N532">
        <v>0</v>
      </c>
      <c r="O532">
        <v>1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2</v>
      </c>
      <c r="AK532">
        <v>2</v>
      </c>
      <c r="AL532">
        <v>2</v>
      </c>
      <c r="AM532">
        <v>2</v>
      </c>
      <c r="AN532" s="23">
        <v>0</v>
      </c>
      <c r="AO532" s="23">
        <v>0</v>
      </c>
      <c r="AP532" s="23">
        <v>0</v>
      </c>
      <c r="AQ532" s="23">
        <v>0</v>
      </c>
      <c r="AR532" s="37">
        <v>0</v>
      </c>
      <c r="AS532" s="37">
        <v>0</v>
      </c>
      <c r="AT532" s="37">
        <v>1</v>
      </c>
      <c r="AU532" s="33" t="str">
        <f t="shared" si="12"/>
        <v>库存为1</v>
      </c>
      <c r="AV532" s="38" t="str">
        <f>IFERROR(时间!$B$4+AU532,"上周无销量")</f>
        <v>上周无销量</v>
      </c>
    </row>
    <row r="533" spans="1:48">
      <c r="A533" s="21" t="s">
        <v>1182</v>
      </c>
      <c r="B533" t="s">
        <v>1183</v>
      </c>
      <c r="C533" t="s">
        <v>1157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1</v>
      </c>
      <c r="J533" s="35">
        <v>0</v>
      </c>
      <c r="K533" s="35">
        <v>0</v>
      </c>
      <c r="L533" s="35">
        <v>0</v>
      </c>
      <c r="M533">
        <v>1</v>
      </c>
      <c r="N533">
        <v>0</v>
      </c>
      <c r="O533">
        <v>1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3</v>
      </c>
      <c r="AK533">
        <v>3</v>
      </c>
      <c r="AL533">
        <v>4</v>
      </c>
      <c r="AM533">
        <v>4</v>
      </c>
      <c r="AN533" s="23">
        <v>0</v>
      </c>
      <c r="AO533" s="23">
        <v>0</v>
      </c>
      <c r="AP533" s="23">
        <v>0</v>
      </c>
      <c r="AQ533" s="23">
        <v>0</v>
      </c>
      <c r="AR533" s="37">
        <v>0</v>
      </c>
      <c r="AS533" s="37">
        <v>0</v>
      </c>
      <c r="AT533" s="37">
        <v>1</v>
      </c>
      <c r="AU533" s="33" t="str">
        <f t="shared" si="12"/>
        <v>库存为1</v>
      </c>
      <c r="AV533" s="38" t="str">
        <f>IFERROR(时间!$B$4+AU533,"上周无销量")</f>
        <v>上周无销量</v>
      </c>
    </row>
    <row r="534" spans="1:48">
      <c r="A534" s="21" t="s">
        <v>1184</v>
      </c>
      <c r="B534" t="s">
        <v>1185</v>
      </c>
      <c r="C534" t="s">
        <v>1157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1</v>
      </c>
      <c r="J534" s="35">
        <v>0</v>
      </c>
      <c r="K534" s="35">
        <v>0</v>
      </c>
      <c r="L534" s="35">
        <v>0</v>
      </c>
      <c r="M534">
        <v>1</v>
      </c>
      <c r="N534">
        <v>0</v>
      </c>
      <c r="O534">
        <v>1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8</v>
      </c>
      <c r="AK534">
        <v>3</v>
      </c>
      <c r="AL534">
        <v>2</v>
      </c>
      <c r="AM534">
        <v>4</v>
      </c>
      <c r="AN534" s="23">
        <v>0</v>
      </c>
      <c r="AO534" s="23">
        <v>0</v>
      </c>
      <c r="AP534" s="23">
        <v>0</v>
      </c>
      <c r="AQ534" s="23">
        <v>0</v>
      </c>
      <c r="AR534" s="37">
        <v>0</v>
      </c>
      <c r="AS534" s="37">
        <v>0</v>
      </c>
      <c r="AT534" s="37">
        <v>1</v>
      </c>
      <c r="AU534" s="33" t="str">
        <f t="shared" si="12"/>
        <v>库存为1</v>
      </c>
      <c r="AV534" s="38" t="str">
        <f>IFERROR(时间!$B$4+AU534,"上周无销量")</f>
        <v>上周无销量</v>
      </c>
    </row>
    <row r="535" spans="1:48">
      <c r="A535" s="21" t="s">
        <v>1186</v>
      </c>
      <c r="B535" t="s">
        <v>1187</v>
      </c>
      <c r="C535" t="s">
        <v>1160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1</v>
      </c>
      <c r="J535" s="35">
        <v>0</v>
      </c>
      <c r="K535" s="35">
        <v>0</v>
      </c>
      <c r="L535" s="35">
        <v>0</v>
      </c>
      <c r="M535">
        <v>1</v>
      </c>
      <c r="N535">
        <v>0</v>
      </c>
      <c r="O535">
        <v>1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7</v>
      </c>
      <c r="AK535">
        <v>4</v>
      </c>
      <c r="AL535">
        <v>2</v>
      </c>
      <c r="AM535">
        <v>3</v>
      </c>
      <c r="AN535" s="23">
        <v>0</v>
      </c>
      <c r="AO535" s="23">
        <v>0</v>
      </c>
      <c r="AP535" s="23">
        <v>0</v>
      </c>
      <c r="AQ535" s="23">
        <v>0</v>
      </c>
      <c r="AR535" s="37">
        <v>0</v>
      </c>
      <c r="AS535" s="37">
        <v>0</v>
      </c>
      <c r="AT535" s="37">
        <v>1</v>
      </c>
      <c r="AU535" s="33" t="str">
        <f t="shared" si="12"/>
        <v>库存为1</v>
      </c>
      <c r="AV535" s="38" t="str">
        <f>IFERROR(时间!$B$4+AU535,"上周无销量")</f>
        <v>上周无销量</v>
      </c>
    </row>
    <row r="536" spans="1:48">
      <c r="A536" s="21" t="s">
        <v>1188</v>
      </c>
      <c r="B536" t="s">
        <v>1159</v>
      </c>
      <c r="C536" t="s">
        <v>1160</v>
      </c>
      <c r="D536" s="33">
        <v>0</v>
      </c>
      <c r="E536" s="33">
        <v>4</v>
      </c>
      <c r="F536" s="33">
        <v>0</v>
      </c>
      <c r="G536" s="33">
        <v>0</v>
      </c>
      <c r="H536" s="34">
        <v>0</v>
      </c>
      <c r="I536">
        <v>0</v>
      </c>
      <c r="J536" s="35">
        <v>0</v>
      </c>
      <c r="K536" s="35">
        <v>0</v>
      </c>
      <c r="L536" s="35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3</v>
      </c>
      <c r="AM536">
        <v>2</v>
      </c>
      <c r="AN536" s="23" t="s">
        <v>54</v>
      </c>
      <c r="AO536" s="23" t="s">
        <v>54</v>
      </c>
      <c r="AP536" s="23">
        <v>0</v>
      </c>
      <c r="AQ536" s="23">
        <v>0</v>
      </c>
      <c r="AR536" s="37">
        <v>0</v>
      </c>
      <c r="AS536" s="37">
        <v>0</v>
      </c>
      <c r="AT536" s="37">
        <v>0</v>
      </c>
      <c r="AU536" s="33" t="str">
        <f t="shared" si="12"/>
        <v>库存为0</v>
      </c>
      <c r="AV536" s="38" t="str">
        <f>IFERROR(时间!$B$4+AU536,"上周无销量")</f>
        <v>上周无销量</v>
      </c>
    </row>
    <row r="537" spans="1:48">
      <c r="A537" s="21" t="s">
        <v>1189</v>
      </c>
      <c r="B537" t="s">
        <v>1162</v>
      </c>
      <c r="C537" t="s">
        <v>1160</v>
      </c>
      <c r="D537" s="33">
        <v>0</v>
      </c>
      <c r="E537" s="33">
        <v>2</v>
      </c>
      <c r="F537" s="33">
        <v>0</v>
      </c>
      <c r="G537" s="33">
        <v>0</v>
      </c>
      <c r="H537" s="34">
        <v>0</v>
      </c>
      <c r="I537">
        <v>0</v>
      </c>
      <c r="J537" s="35">
        <v>0</v>
      </c>
      <c r="K537" s="35">
        <v>0</v>
      </c>
      <c r="L537" s="35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1</v>
      </c>
      <c r="AM537">
        <v>2</v>
      </c>
      <c r="AN537" s="23" t="s">
        <v>54</v>
      </c>
      <c r="AO537" s="23" t="s">
        <v>54</v>
      </c>
      <c r="AP537" s="23">
        <v>0</v>
      </c>
      <c r="AQ537" s="23">
        <v>0</v>
      </c>
      <c r="AR537" s="37">
        <v>0</v>
      </c>
      <c r="AS537" s="37">
        <v>0</v>
      </c>
      <c r="AT537" s="37">
        <v>0</v>
      </c>
      <c r="AU537" s="33" t="str">
        <f t="shared" si="12"/>
        <v>库存为0</v>
      </c>
      <c r="AV537" s="38" t="str">
        <f>IFERROR(时间!$B$4+AU537,"上周无销量")</f>
        <v>上周无销量</v>
      </c>
    </row>
    <row r="538" spans="1:48">
      <c r="A538" s="21" t="s">
        <v>1190</v>
      </c>
      <c r="B538" t="s">
        <v>1164</v>
      </c>
      <c r="C538" t="s">
        <v>1160</v>
      </c>
      <c r="D538" s="33">
        <v>0</v>
      </c>
      <c r="E538" s="33">
        <v>4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4</v>
      </c>
      <c r="AM538">
        <v>1</v>
      </c>
      <c r="AN538" s="23" t="s">
        <v>54</v>
      </c>
      <c r="AO538" s="23" t="s">
        <v>54</v>
      </c>
      <c r="AP538" s="23">
        <v>0</v>
      </c>
      <c r="AQ538" s="23">
        <v>0</v>
      </c>
      <c r="AR538" s="37">
        <v>0</v>
      </c>
      <c r="AS538" s="37">
        <v>0</v>
      </c>
      <c r="AT538" s="37">
        <v>0</v>
      </c>
      <c r="AU538" s="33" t="str">
        <f t="shared" si="12"/>
        <v>库存为0</v>
      </c>
      <c r="AV538" s="38" t="str">
        <f>IFERROR(时间!$B$4+AU538,"上周无销量")</f>
        <v>上周无销量</v>
      </c>
    </row>
    <row r="539" spans="1:48">
      <c r="A539" s="21" t="s">
        <v>1191</v>
      </c>
      <c r="B539" t="s">
        <v>1166</v>
      </c>
      <c r="C539" t="s">
        <v>1160</v>
      </c>
      <c r="D539" s="33">
        <v>0</v>
      </c>
      <c r="E539" s="33">
        <v>5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4</v>
      </c>
      <c r="AM539">
        <v>2</v>
      </c>
      <c r="AN539" s="23" t="s">
        <v>54</v>
      </c>
      <c r="AO539" s="23" t="s">
        <v>54</v>
      </c>
      <c r="AP539" s="23">
        <v>0</v>
      </c>
      <c r="AQ539" s="23">
        <v>0</v>
      </c>
      <c r="AR539" s="37">
        <v>0</v>
      </c>
      <c r="AS539" s="37">
        <v>0</v>
      </c>
      <c r="AT539" s="37">
        <v>0</v>
      </c>
      <c r="AU539" s="33" t="str">
        <f t="shared" si="12"/>
        <v>库存为0</v>
      </c>
      <c r="AV539" s="38" t="str">
        <f>IFERROR(时间!$B$4+AU539,"上周无销量")</f>
        <v>上周无销量</v>
      </c>
    </row>
    <row r="540" spans="1:48">
      <c r="A540" s="21" t="s">
        <v>1192</v>
      </c>
      <c r="B540" t="s">
        <v>1168</v>
      </c>
      <c r="C540" t="s">
        <v>1160</v>
      </c>
      <c r="D540" s="33">
        <v>0</v>
      </c>
      <c r="E540" s="33">
        <v>1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3</v>
      </c>
      <c r="AM540">
        <v>2</v>
      </c>
      <c r="AN540" s="23" t="s">
        <v>54</v>
      </c>
      <c r="AO540" s="23" t="s">
        <v>54</v>
      </c>
      <c r="AP540" s="23">
        <v>0</v>
      </c>
      <c r="AQ540" s="23">
        <v>0</v>
      </c>
      <c r="AR540" s="37">
        <v>0</v>
      </c>
      <c r="AS540" s="37">
        <v>0</v>
      </c>
      <c r="AT540" s="37">
        <v>0</v>
      </c>
      <c r="AU540" s="33" t="str">
        <f t="shared" si="12"/>
        <v>库存为0</v>
      </c>
      <c r="AV540" s="38" t="str">
        <f>IFERROR(时间!$B$4+AU540,"上周无销量")</f>
        <v>上周无销量</v>
      </c>
    </row>
    <row r="541" spans="1:48">
      <c r="A541" s="21" t="s">
        <v>1193</v>
      </c>
      <c r="B541" t="s">
        <v>1170</v>
      </c>
      <c r="C541" t="s">
        <v>1160</v>
      </c>
      <c r="D541" s="33">
        <v>0</v>
      </c>
      <c r="E541" s="33">
        <v>3</v>
      </c>
      <c r="F541" s="33">
        <v>0</v>
      </c>
      <c r="G541" s="33">
        <v>0</v>
      </c>
      <c r="H541" s="34">
        <v>0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3</v>
      </c>
      <c r="AM541">
        <v>3</v>
      </c>
      <c r="AN541" s="23" t="s">
        <v>54</v>
      </c>
      <c r="AO541" s="23" t="s">
        <v>54</v>
      </c>
      <c r="AP541" s="23">
        <v>0</v>
      </c>
      <c r="AQ541" s="23">
        <v>0</v>
      </c>
      <c r="AR541" s="37">
        <v>0</v>
      </c>
      <c r="AS541" s="37">
        <v>0</v>
      </c>
      <c r="AT541" s="37">
        <v>0</v>
      </c>
      <c r="AU541" s="33" t="str">
        <f t="shared" si="12"/>
        <v>库存为0</v>
      </c>
      <c r="AV541" s="38" t="str">
        <f>IFERROR(时间!$B$4+AU541,"上周无销量")</f>
        <v>上周无销量</v>
      </c>
    </row>
    <row r="542" spans="1:48">
      <c r="A542" s="21" t="s">
        <v>1194</v>
      </c>
      <c r="B542" t="s">
        <v>1172</v>
      </c>
      <c r="C542" t="s">
        <v>1160</v>
      </c>
      <c r="D542" s="33">
        <v>0</v>
      </c>
      <c r="E542" s="33">
        <v>4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1</v>
      </c>
      <c r="AL542">
        <v>5</v>
      </c>
      <c r="AM542">
        <v>2</v>
      </c>
      <c r="AN542" s="23" t="s">
        <v>54</v>
      </c>
      <c r="AO542" s="23">
        <v>4</v>
      </c>
      <c r="AP542" s="23">
        <v>0</v>
      </c>
      <c r="AQ542" s="23">
        <v>0</v>
      </c>
      <c r="AR542" s="37">
        <v>0</v>
      </c>
      <c r="AS542" s="37">
        <v>0</v>
      </c>
      <c r="AT542" s="37">
        <v>0</v>
      </c>
      <c r="AU542" s="33" t="str">
        <f t="shared" si="12"/>
        <v>库存为0</v>
      </c>
      <c r="AV542" s="38" t="str">
        <f>IFERROR(时间!$B$4+AU542,"上周无销量")</f>
        <v>上周无销量</v>
      </c>
    </row>
    <row r="543" spans="1:48">
      <c r="A543" s="21" t="s">
        <v>1195</v>
      </c>
      <c r="B543" t="s">
        <v>1174</v>
      </c>
      <c r="C543" t="s">
        <v>1160</v>
      </c>
      <c r="D543" s="33">
        <v>0</v>
      </c>
      <c r="E543" s="33">
        <v>2</v>
      </c>
      <c r="F543" s="33">
        <v>0</v>
      </c>
      <c r="G543" s="33">
        <v>0</v>
      </c>
      <c r="H543" s="34">
        <v>0</v>
      </c>
      <c r="I543">
        <v>0</v>
      </c>
      <c r="J543" s="35">
        <v>0</v>
      </c>
      <c r="K543" s="35">
        <v>0</v>
      </c>
      <c r="L543" s="35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6</v>
      </c>
      <c r="AM543">
        <v>1</v>
      </c>
      <c r="AN543" s="23" t="s">
        <v>54</v>
      </c>
      <c r="AO543" s="23" t="s">
        <v>54</v>
      </c>
      <c r="AP543" s="23">
        <v>0</v>
      </c>
      <c r="AQ543" s="23">
        <v>0</v>
      </c>
      <c r="AR543" s="37">
        <v>0</v>
      </c>
      <c r="AS543" s="37">
        <v>0</v>
      </c>
      <c r="AT543" s="37">
        <v>0</v>
      </c>
      <c r="AU543" s="33" t="str">
        <f t="shared" si="12"/>
        <v>库存为0</v>
      </c>
      <c r="AV543" s="38" t="str">
        <f>IFERROR(时间!$B$4+AU543,"上周无销量")</f>
        <v>上周无销量</v>
      </c>
    </row>
    <row r="544" spans="1:48">
      <c r="A544" s="21" t="s">
        <v>1196</v>
      </c>
      <c r="B544" t="s">
        <v>1176</v>
      </c>
      <c r="C544" t="s">
        <v>1160</v>
      </c>
      <c r="D544" s="33">
        <v>0</v>
      </c>
      <c r="E544" s="33">
        <v>1</v>
      </c>
      <c r="F544" s="33">
        <v>0</v>
      </c>
      <c r="G544" s="33">
        <v>0</v>
      </c>
      <c r="H544" s="34">
        <v>0</v>
      </c>
      <c r="I544">
        <v>0</v>
      </c>
      <c r="J544" s="35">
        <v>0</v>
      </c>
      <c r="K544" s="35">
        <v>0</v>
      </c>
      <c r="L544" s="35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4</v>
      </c>
      <c r="AM544">
        <v>3</v>
      </c>
      <c r="AN544" s="23" t="s">
        <v>54</v>
      </c>
      <c r="AO544" s="23" t="s">
        <v>54</v>
      </c>
      <c r="AP544" s="23">
        <v>0</v>
      </c>
      <c r="AQ544" s="23">
        <v>0</v>
      </c>
      <c r="AR544" s="37">
        <v>0</v>
      </c>
      <c r="AS544" s="37">
        <v>0</v>
      </c>
      <c r="AT544" s="37">
        <v>0</v>
      </c>
      <c r="AU544" s="33" t="str">
        <f t="shared" si="12"/>
        <v>库存为0</v>
      </c>
      <c r="AV544" s="38" t="str">
        <f>IFERROR(时间!$B$4+AU544,"上周无销量")</f>
        <v>上周无销量</v>
      </c>
    </row>
    <row r="545" spans="1:48">
      <c r="A545" s="21" t="s">
        <v>1197</v>
      </c>
      <c r="B545" t="s">
        <v>1178</v>
      </c>
      <c r="C545" t="s">
        <v>1160</v>
      </c>
      <c r="D545" s="33">
        <v>0</v>
      </c>
      <c r="E545" s="33">
        <v>2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2</v>
      </c>
      <c r="AM545">
        <v>4</v>
      </c>
      <c r="AN545" s="23" t="s">
        <v>54</v>
      </c>
      <c r="AO545" s="23" t="s">
        <v>54</v>
      </c>
      <c r="AP545" s="23">
        <v>0</v>
      </c>
      <c r="AQ545" s="23">
        <v>0</v>
      </c>
      <c r="AR545" s="37">
        <v>0</v>
      </c>
      <c r="AS545" s="37">
        <v>0</v>
      </c>
      <c r="AT545" s="37">
        <v>0</v>
      </c>
      <c r="AU545" s="33" t="str">
        <f t="shared" si="12"/>
        <v>库存为0</v>
      </c>
      <c r="AV545" s="38" t="str">
        <f>IFERROR(时间!$B$4+AU545,"上周无销量")</f>
        <v>上周无销量</v>
      </c>
    </row>
    <row r="546" spans="1:48">
      <c r="A546" s="21" t="s">
        <v>1198</v>
      </c>
      <c r="B546" t="s">
        <v>1199</v>
      </c>
      <c r="C546" t="s">
        <v>1200</v>
      </c>
      <c r="D546" s="33">
        <v>0</v>
      </c>
      <c r="E546" s="33">
        <v>0</v>
      </c>
      <c r="F546" s="33">
        <v>0</v>
      </c>
      <c r="G546" s="33">
        <v>1</v>
      </c>
      <c r="H546" s="34">
        <v>13.99</v>
      </c>
      <c r="I546">
        <v>7</v>
      </c>
      <c r="J546" s="35">
        <v>0</v>
      </c>
      <c r="K546" s="35">
        <v>0</v>
      </c>
      <c r="L546" s="35">
        <v>0</v>
      </c>
      <c r="M546">
        <v>7</v>
      </c>
      <c r="N546">
        <v>0</v>
      </c>
      <c r="O546">
        <v>7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9</v>
      </c>
      <c r="AK546">
        <v>14</v>
      </c>
      <c r="AL546">
        <v>19</v>
      </c>
      <c r="AM546">
        <v>16</v>
      </c>
      <c r="AN546" s="23">
        <v>0</v>
      </c>
      <c r="AO546" s="23">
        <v>0</v>
      </c>
      <c r="AP546" s="23">
        <v>0</v>
      </c>
      <c r="AQ546" s="23">
        <v>0.0625</v>
      </c>
      <c r="AR546" s="37">
        <v>0</v>
      </c>
      <c r="AS546" s="37">
        <v>0</v>
      </c>
      <c r="AT546" s="37">
        <v>7</v>
      </c>
      <c r="AU546" s="33" t="str">
        <f t="shared" si="12"/>
        <v>库存为7</v>
      </c>
      <c r="AV546" s="38" t="str">
        <f>IFERROR(时间!$B$4+AU546,"上周无销量")</f>
        <v>上周无销量</v>
      </c>
    </row>
    <row r="547" spans="1:48">
      <c r="A547" s="21" t="s">
        <v>1201</v>
      </c>
      <c r="B547" t="s">
        <v>1202</v>
      </c>
      <c r="C547" t="s">
        <v>1203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1</v>
      </c>
      <c r="J547" s="35">
        <v>0</v>
      </c>
      <c r="K547" s="35">
        <v>0</v>
      </c>
      <c r="L547" s="35">
        <v>0</v>
      </c>
      <c r="M547">
        <v>1</v>
      </c>
      <c r="N547">
        <v>0</v>
      </c>
      <c r="O547">
        <v>1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5</v>
      </c>
      <c r="AK547">
        <v>3</v>
      </c>
      <c r="AL547">
        <v>3</v>
      </c>
      <c r="AM547">
        <v>3</v>
      </c>
      <c r="AN547" s="23">
        <v>0</v>
      </c>
      <c r="AO547" s="23">
        <v>0</v>
      </c>
      <c r="AP547" s="23">
        <v>0</v>
      </c>
      <c r="AQ547" s="23">
        <v>0</v>
      </c>
      <c r="AR547" s="37">
        <v>0</v>
      </c>
      <c r="AS547" s="37">
        <v>0</v>
      </c>
      <c r="AT547" s="37">
        <v>1</v>
      </c>
      <c r="AU547" s="33" t="str">
        <f t="shared" si="12"/>
        <v>库存为1</v>
      </c>
      <c r="AV547" s="38" t="str">
        <f>IFERROR(时间!$B$4+AU547,"上周无销量")</f>
        <v>上周无销量</v>
      </c>
    </row>
    <row r="548" spans="1:48">
      <c r="A548" s="21" t="s">
        <v>1204</v>
      </c>
      <c r="B548" t="s">
        <v>1205</v>
      </c>
      <c r="C548" t="s">
        <v>1206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5</v>
      </c>
      <c r="J548" s="35">
        <v>0</v>
      </c>
      <c r="K548" s="35">
        <v>0</v>
      </c>
      <c r="L548" s="35">
        <v>0</v>
      </c>
      <c r="M548">
        <v>5</v>
      </c>
      <c r="N548">
        <v>0</v>
      </c>
      <c r="O548">
        <v>5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5</v>
      </c>
      <c r="AK548">
        <v>5</v>
      </c>
      <c r="AL548">
        <v>2</v>
      </c>
      <c r="AM548">
        <v>2</v>
      </c>
      <c r="AN548" s="23">
        <v>0</v>
      </c>
      <c r="AO548" s="23">
        <v>0</v>
      </c>
      <c r="AP548" s="23">
        <v>0</v>
      </c>
      <c r="AQ548" s="23">
        <v>0</v>
      </c>
      <c r="AR548" s="37">
        <v>0</v>
      </c>
      <c r="AS548" s="37">
        <v>0</v>
      </c>
      <c r="AT548" s="37">
        <v>5</v>
      </c>
      <c r="AU548" s="33" t="str">
        <f t="shared" si="12"/>
        <v>库存为5</v>
      </c>
      <c r="AV548" s="38" t="str">
        <f>IFERROR(时间!$B$4+AU548,"上周无销量")</f>
        <v>上周无销量</v>
      </c>
    </row>
    <row r="549" spans="1:48">
      <c r="A549" s="21" t="s">
        <v>1207</v>
      </c>
      <c r="B549" t="s">
        <v>1208</v>
      </c>
      <c r="C549" t="s">
        <v>1206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4</v>
      </c>
      <c r="J549" s="35">
        <v>0</v>
      </c>
      <c r="K549" s="35">
        <v>0</v>
      </c>
      <c r="L549" s="35">
        <v>0</v>
      </c>
      <c r="M549">
        <v>4</v>
      </c>
      <c r="N549">
        <v>0</v>
      </c>
      <c r="O549">
        <v>4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3</v>
      </c>
      <c r="AK549">
        <v>3</v>
      </c>
      <c r="AL549">
        <v>3</v>
      </c>
      <c r="AM549">
        <v>2</v>
      </c>
      <c r="AN549" s="23">
        <v>0</v>
      </c>
      <c r="AO549" s="23">
        <v>0</v>
      </c>
      <c r="AP549" s="23">
        <v>0</v>
      </c>
      <c r="AQ549" s="23">
        <v>0</v>
      </c>
      <c r="AR549" s="37">
        <v>0</v>
      </c>
      <c r="AS549" s="37">
        <v>0</v>
      </c>
      <c r="AT549" s="37">
        <v>4</v>
      </c>
      <c r="AU549" s="33" t="str">
        <f t="shared" si="12"/>
        <v>库存为4</v>
      </c>
      <c r="AV549" s="38" t="str">
        <f>IFERROR(时间!$B$4+AU549,"上周无销量")</f>
        <v>上周无销量</v>
      </c>
    </row>
    <row r="550" spans="1:48">
      <c r="A550" s="21" t="s">
        <v>1209</v>
      </c>
      <c r="B550" t="s">
        <v>1210</v>
      </c>
      <c r="C550" t="s">
        <v>1206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10</v>
      </c>
      <c r="J550" s="35">
        <v>0</v>
      </c>
      <c r="K550" s="35">
        <v>0</v>
      </c>
      <c r="L550" s="35">
        <v>0</v>
      </c>
      <c r="M550">
        <v>10</v>
      </c>
      <c r="N550">
        <v>0</v>
      </c>
      <c r="O550">
        <v>10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10</v>
      </c>
      <c r="AU550" s="33" t="str">
        <f t="shared" si="12"/>
        <v>库存为10</v>
      </c>
      <c r="AV550" s="38" t="str">
        <f>IFERROR(时间!$B$4+AU550,"上周无销量")</f>
        <v>上周无销量</v>
      </c>
    </row>
    <row r="551" spans="1:48">
      <c r="A551" s="21" t="s">
        <v>1211</v>
      </c>
      <c r="B551" t="s">
        <v>1212</v>
      </c>
      <c r="C551" t="s">
        <v>1213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2</v>
      </c>
      <c r="J551" s="35">
        <v>0</v>
      </c>
      <c r="K551" s="35">
        <v>0</v>
      </c>
      <c r="L551" s="35">
        <v>0</v>
      </c>
      <c r="M551">
        <v>2</v>
      </c>
      <c r="N551">
        <v>0</v>
      </c>
      <c r="O551">
        <v>2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5</v>
      </c>
      <c r="AK551">
        <v>3</v>
      </c>
      <c r="AL551">
        <v>2</v>
      </c>
      <c r="AM551">
        <v>4</v>
      </c>
      <c r="AN551" s="23">
        <v>0</v>
      </c>
      <c r="AO551" s="23">
        <v>0</v>
      </c>
      <c r="AP551" s="23">
        <v>0</v>
      </c>
      <c r="AQ551" s="23">
        <v>0</v>
      </c>
      <c r="AR551" s="37">
        <v>0</v>
      </c>
      <c r="AS551" s="37">
        <v>0</v>
      </c>
      <c r="AT551" s="37">
        <v>2</v>
      </c>
      <c r="AU551" s="33" t="str">
        <f t="shared" si="12"/>
        <v>库存为2</v>
      </c>
      <c r="AV551" s="38" t="str">
        <f>IFERROR(时间!$B$4+AU551,"上周无销量")</f>
        <v>上周无销量</v>
      </c>
    </row>
    <row r="552" spans="1:48">
      <c r="A552" s="21" t="s">
        <v>1214</v>
      </c>
      <c r="B552" t="s">
        <v>1215</v>
      </c>
      <c r="C552" t="s">
        <v>1216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1</v>
      </c>
      <c r="AK552">
        <v>1</v>
      </c>
      <c r="AL552">
        <v>2</v>
      </c>
      <c r="AM552">
        <v>2</v>
      </c>
      <c r="AN552" s="23">
        <v>0</v>
      </c>
      <c r="AO552" s="23">
        <v>0</v>
      </c>
      <c r="AP552" s="23">
        <v>0</v>
      </c>
      <c r="AQ552" s="23">
        <v>0</v>
      </c>
      <c r="AR552" s="37">
        <v>0</v>
      </c>
      <c r="AS552" s="37">
        <v>0</v>
      </c>
      <c r="AT552" s="37">
        <v>0</v>
      </c>
      <c r="AU552" s="33" t="str">
        <f t="shared" si="12"/>
        <v>库存为0</v>
      </c>
      <c r="AV552" s="38" t="str">
        <f>IFERROR(时间!$B$4+AU552,"上周无销量")</f>
        <v>上周无销量</v>
      </c>
    </row>
    <row r="553" spans="1:48">
      <c r="A553" s="21" t="s">
        <v>1217</v>
      </c>
      <c r="B553" t="s">
        <v>1218</v>
      </c>
      <c r="C553" t="s">
        <v>1219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1</v>
      </c>
      <c r="AK553">
        <v>0</v>
      </c>
      <c r="AL553">
        <v>15</v>
      </c>
      <c r="AM553">
        <v>0</v>
      </c>
      <c r="AN553" s="23">
        <v>0</v>
      </c>
      <c r="AO553" s="23" t="s">
        <v>54</v>
      </c>
      <c r="AP553" s="23">
        <v>0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2"/>
        <v>库存为0</v>
      </c>
      <c r="AV553" s="38" t="str">
        <f>IFERROR(时间!$B$4+AU553,"上周无销量")</f>
        <v>上周无销量</v>
      </c>
    </row>
    <row r="554" spans="1:48">
      <c r="A554" s="21" t="s">
        <v>1220</v>
      </c>
      <c r="B554" t="s">
        <v>1221</v>
      </c>
      <c r="C554" t="s">
        <v>1216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38</v>
      </c>
      <c r="J554" s="35">
        <v>0</v>
      </c>
      <c r="K554" s="35">
        <v>0</v>
      </c>
      <c r="L554" s="35">
        <v>0</v>
      </c>
      <c r="M554">
        <v>38</v>
      </c>
      <c r="N554">
        <v>0</v>
      </c>
      <c r="O554">
        <v>38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1</v>
      </c>
      <c r="AK554">
        <v>4</v>
      </c>
      <c r="AL554">
        <v>6</v>
      </c>
      <c r="AM554">
        <v>0</v>
      </c>
      <c r="AN554" s="23">
        <v>0</v>
      </c>
      <c r="AO554" s="23">
        <v>0</v>
      </c>
      <c r="AP554" s="23">
        <v>0</v>
      </c>
      <c r="AQ554" s="23" t="s">
        <v>54</v>
      </c>
      <c r="AR554" s="37">
        <v>0</v>
      </c>
      <c r="AS554" s="37">
        <v>0</v>
      </c>
      <c r="AT554" s="37">
        <v>38</v>
      </c>
      <c r="AU554" s="33" t="str">
        <f t="shared" si="12"/>
        <v>库存为38</v>
      </c>
      <c r="AV554" s="38" t="str">
        <f>IFERROR(时间!$B$4+AU554,"上周无销量")</f>
        <v>上周无销量</v>
      </c>
    </row>
    <row r="555" spans="1:48">
      <c r="A555" s="21" t="s">
        <v>1222</v>
      </c>
      <c r="B555" t="s">
        <v>1223</v>
      </c>
      <c r="C555" t="s">
        <v>1216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44</v>
      </c>
      <c r="J555" s="35">
        <v>0</v>
      </c>
      <c r="K555" s="35">
        <v>0</v>
      </c>
      <c r="L555" s="35">
        <v>0</v>
      </c>
      <c r="M555">
        <v>44</v>
      </c>
      <c r="N555">
        <v>0</v>
      </c>
      <c r="O555">
        <v>44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2</v>
      </c>
      <c r="AK555">
        <v>2</v>
      </c>
      <c r="AL555">
        <v>3</v>
      </c>
      <c r="AM555">
        <v>1</v>
      </c>
      <c r="AN555" s="23">
        <v>0</v>
      </c>
      <c r="AO555" s="23">
        <v>0</v>
      </c>
      <c r="AP555" s="23">
        <v>0</v>
      </c>
      <c r="AQ555" s="23">
        <v>0</v>
      </c>
      <c r="AR555" s="37">
        <v>0</v>
      </c>
      <c r="AS555" s="37">
        <v>0</v>
      </c>
      <c r="AT555" s="37">
        <v>44</v>
      </c>
      <c r="AU555" s="33" t="str">
        <f t="shared" si="12"/>
        <v>库存为44</v>
      </c>
      <c r="AV555" s="38" t="str">
        <f>IFERROR(时间!$B$4+AU555,"上周无销量")</f>
        <v>上周无销量</v>
      </c>
    </row>
    <row r="556" spans="1:48">
      <c r="A556" s="21" t="s">
        <v>1224</v>
      </c>
      <c r="B556" t="s">
        <v>1225</v>
      </c>
      <c r="C556" t="s">
        <v>1216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115</v>
      </c>
      <c r="J556" s="35">
        <v>0</v>
      </c>
      <c r="K556" s="35">
        <v>0</v>
      </c>
      <c r="L556" s="35">
        <v>0</v>
      </c>
      <c r="M556">
        <v>115</v>
      </c>
      <c r="N556">
        <v>0</v>
      </c>
      <c r="O556">
        <v>115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3</v>
      </c>
      <c r="AK556">
        <v>4</v>
      </c>
      <c r="AL556">
        <v>5</v>
      </c>
      <c r="AM556">
        <v>3</v>
      </c>
      <c r="AN556" s="23">
        <v>0</v>
      </c>
      <c r="AO556" s="23">
        <v>0</v>
      </c>
      <c r="AP556" s="23">
        <v>0</v>
      </c>
      <c r="AQ556" s="23">
        <v>0</v>
      </c>
      <c r="AR556" s="37">
        <v>0</v>
      </c>
      <c r="AS556" s="37">
        <v>0</v>
      </c>
      <c r="AT556" s="37">
        <v>115</v>
      </c>
      <c r="AU556" s="33" t="str">
        <f t="shared" si="12"/>
        <v>库存为115</v>
      </c>
      <c r="AV556" s="38" t="str">
        <f>IFERROR(时间!$B$4+AU556,"上周无销量")</f>
        <v>上周无销量</v>
      </c>
    </row>
    <row r="557" spans="1:48">
      <c r="A557" s="21" t="s">
        <v>1226</v>
      </c>
      <c r="B557" t="s">
        <v>1227</v>
      </c>
      <c r="C557" t="s">
        <v>1216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10</v>
      </c>
      <c r="J557" s="35">
        <v>0</v>
      </c>
      <c r="K557" s="35">
        <v>0</v>
      </c>
      <c r="L557" s="35">
        <v>0</v>
      </c>
      <c r="M557">
        <v>10</v>
      </c>
      <c r="N557">
        <v>0</v>
      </c>
      <c r="O557">
        <v>10</v>
      </c>
      <c r="P557">
        <v>0</v>
      </c>
      <c r="Q557">
        <v>84</v>
      </c>
      <c r="R557">
        <v>185</v>
      </c>
      <c r="S557">
        <v>241</v>
      </c>
      <c r="T557">
        <v>0</v>
      </c>
      <c r="U557">
        <v>0</v>
      </c>
      <c r="V557">
        <v>1</v>
      </c>
      <c r="W557">
        <v>0</v>
      </c>
      <c r="X557" s="23" t="s">
        <v>54</v>
      </c>
      <c r="Y557" s="23">
        <v>0</v>
      </c>
      <c r="Z557" s="23">
        <v>0.00540540540540541</v>
      </c>
      <c r="AA557" s="23">
        <v>0</v>
      </c>
      <c r="AB557">
        <v>0</v>
      </c>
      <c r="AC557">
        <v>0</v>
      </c>
      <c r="AD557">
        <v>0.19</v>
      </c>
      <c r="AE557">
        <v>0</v>
      </c>
      <c r="AF557" s="23" t="s">
        <v>54</v>
      </c>
      <c r="AG557" s="23" t="s">
        <v>54</v>
      </c>
      <c r="AH557" s="23" t="s">
        <v>353</v>
      </c>
      <c r="AI557" s="23" t="s">
        <v>54</v>
      </c>
      <c r="AJ557">
        <v>1</v>
      </c>
      <c r="AK557">
        <v>5</v>
      </c>
      <c r="AL557">
        <v>6</v>
      </c>
      <c r="AM557">
        <v>4</v>
      </c>
      <c r="AN557" s="23">
        <v>0</v>
      </c>
      <c r="AO557" s="23">
        <v>0</v>
      </c>
      <c r="AP557" s="23">
        <v>0</v>
      </c>
      <c r="AQ557" s="23">
        <v>0</v>
      </c>
      <c r="AR557" s="37">
        <v>0</v>
      </c>
      <c r="AS557" s="37">
        <v>0</v>
      </c>
      <c r="AT557" s="37">
        <v>10</v>
      </c>
      <c r="AU557" s="33" t="str">
        <f t="shared" si="12"/>
        <v>库存为10</v>
      </c>
      <c r="AV557" s="38" t="str">
        <f>IFERROR(时间!$B$4+AU557,"上周无销量")</f>
        <v>上周无销量</v>
      </c>
    </row>
    <row r="558" spans="1:48">
      <c r="A558" s="21" t="s">
        <v>1228</v>
      </c>
      <c r="B558" t="s">
        <v>1229</v>
      </c>
      <c r="C558" t="s">
        <v>1230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4</v>
      </c>
      <c r="J558" s="35">
        <v>0</v>
      </c>
      <c r="K558" s="35">
        <v>0</v>
      </c>
      <c r="L558" s="35">
        <v>0</v>
      </c>
      <c r="M558">
        <v>4</v>
      </c>
      <c r="N558">
        <v>0</v>
      </c>
      <c r="O558">
        <v>4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1</v>
      </c>
      <c r="AK558">
        <v>5</v>
      </c>
      <c r="AL558">
        <v>4</v>
      </c>
      <c r="AM558">
        <v>3</v>
      </c>
      <c r="AN558" s="23">
        <v>0</v>
      </c>
      <c r="AO558" s="23">
        <v>0</v>
      </c>
      <c r="AP558" s="23">
        <v>0</v>
      </c>
      <c r="AQ558" s="23">
        <v>0</v>
      </c>
      <c r="AR558" s="37">
        <v>0</v>
      </c>
      <c r="AS558" s="37">
        <v>0</v>
      </c>
      <c r="AT558" s="37">
        <v>4</v>
      </c>
      <c r="AU558" s="33" t="str">
        <f t="shared" si="12"/>
        <v>库存为4</v>
      </c>
      <c r="AV558" s="38" t="str">
        <f>IFERROR(时间!$B$4+AU558,"上周无销量")</f>
        <v>上周无销量</v>
      </c>
    </row>
    <row r="559" spans="1:48">
      <c r="A559" s="21" t="s">
        <v>1231</v>
      </c>
      <c r="B559" t="s">
        <v>1232</v>
      </c>
      <c r="C559" t="s">
        <v>1216</v>
      </c>
      <c r="D559" s="33">
        <v>0</v>
      </c>
      <c r="E559" s="33">
        <v>0</v>
      </c>
      <c r="F559" s="33">
        <v>0</v>
      </c>
      <c r="G559" s="33">
        <v>1</v>
      </c>
      <c r="H559" s="34">
        <v>8.99</v>
      </c>
      <c r="I559">
        <v>8</v>
      </c>
      <c r="J559" s="35">
        <v>0</v>
      </c>
      <c r="K559" s="35">
        <v>0</v>
      </c>
      <c r="L559" s="35">
        <v>0</v>
      </c>
      <c r="M559">
        <v>8</v>
      </c>
      <c r="N559">
        <v>0</v>
      </c>
      <c r="O559">
        <v>8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1</v>
      </c>
      <c r="AK559">
        <v>4</v>
      </c>
      <c r="AL559">
        <v>7</v>
      </c>
      <c r="AM559">
        <v>5</v>
      </c>
      <c r="AN559" s="23">
        <v>0</v>
      </c>
      <c r="AO559" s="23">
        <v>0</v>
      </c>
      <c r="AP559" s="23">
        <v>0</v>
      </c>
      <c r="AQ559" s="23">
        <v>0.2</v>
      </c>
      <c r="AR559" s="37">
        <v>0</v>
      </c>
      <c r="AS559" s="37">
        <v>0</v>
      </c>
      <c r="AT559" s="37">
        <v>8</v>
      </c>
      <c r="AU559" s="33" t="str">
        <f t="shared" si="12"/>
        <v>库存为8</v>
      </c>
      <c r="AV559" s="38" t="str">
        <f>IFERROR(时间!$B$4+AU559,"上周无销量")</f>
        <v>上周无销量</v>
      </c>
    </row>
    <row r="560" spans="1:48">
      <c r="A560" s="21" t="s">
        <v>1233</v>
      </c>
      <c r="B560" t="s">
        <v>1215</v>
      </c>
      <c r="C560" t="s">
        <v>1216</v>
      </c>
      <c r="D560" s="33">
        <v>0</v>
      </c>
      <c r="E560" s="33">
        <v>33</v>
      </c>
      <c r="F560" s="33">
        <v>0</v>
      </c>
      <c r="G560" s="33">
        <v>0</v>
      </c>
      <c r="H560" s="34">
        <v>0</v>
      </c>
      <c r="I560">
        <v>24</v>
      </c>
      <c r="J560" s="35">
        <v>0</v>
      </c>
      <c r="K560" s="35">
        <v>0</v>
      </c>
      <c r="L560" s="35">
        <v>0</v>
      </c>
      <c r="M560">
        <v>24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1</v>
      </c>
      <c r="AK560">
        <v>1</v>
      </c>
      <c r="AL560">
        <v>2</v>
      </c>
      <c r="AM560">
        <v>2</v>
      </c>
      <c r="AN560" s="23">
        <v>0</v>
      </c>
      <c r="AO560" s="23">
        <v>33</v>
      </c>
      <c r="AP560" s="23">
        <v>0</v>
      </c>
      <c r="AQ560" s="23">
        <v>0</v>
      </c>
      <c r="AR560" s="37">
        <v>0</v>
      </c>
      <c r="AS560" s="37">
        <v>0</v>
      </c>
      <c r="AT560" s="37">
        <v>24</v>
      </c>
      <c r="AU560" s="33" t="str">
        <f t="shared" si="12"/>
        <v>库存为24</v>
      </c>
      <c r="AV560" s="38" t="str">
        <f>IFERROR(时间!$B$4+AU560,"上周无销量")</f>
        <v>上周无销量</v>
      </c>
    </row>
    <row r="561" spans="1:48">
      <c r="A561" s="21" t="s">
        <v>1234</v>
      </c>
      <c r="B561" t="s">
        <v>1235</v>
      </c>
      <c r="C561" t="s">
        <v>1216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9</v>
      </c>
      <c r="J561" s="35">
        <v>0</v>
      </c>
      <c r="K561" s="35">
        <v>0</v>
      </c>
      <c r="L561" s="35">
        <v>0</v>
      </c>
      <c r="M561">
        <v>9</v>
      </c>
      <c r="N561">
        <v>0</v>
      </c>
      <c r="O561">
        <v>9</v>
      </c>
      <c r="P561">
        <v>0</v>
      </c>
      <c r="Q561">
        <v>29</v>
      </c>
      <c r="R561">
        <v>65</v>
      </c>
      <c r="S561">
        <v>115</v>
      </c>
      <c r="T561">
        <v>0</v>
      </c>
      <c r="U561">
        <v>0</v>
      </c>
      <c r="V561">
        <v>0</v>
      </c>
      <c r="W561">
        <v>0</v>
      </c>
      <c r="X561" s="23" t="s">
        <v>54</v>
      </c>
      <c r="Y561" s="23">
        <v>0</v>
      </c>
      <c r="Z561" s="23">
        <v>0</v>
      </c>
      <c r="AA561" s="23">
        <v>0</v>
      </c>
      <c r="AB561">
        <v>0</v>
      </c>
      <c r="AC561">
        <v>0</v>
      </c>
      <c r="AD561">
        <v>0</v>
      </c>
      <c r="AE561">
        <v>0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1</v>
      </c>
      <c r="AK561">
        <v>1</v>
      </c>
      <c r="AL561">
        <v>2</v>
      </c>
      <c r="AM561">
        <v>2</v>
      </c>
      <c r="AN561" s="23">
        <v>0</v>
      </c>
      <c r="AO561" s="23">
        <v>0</v>
      </c>
      <c r="AP561" s="23">
        <v>0</v>
      </c>
      <c r="AQ561" s="23">
        <v>0</v>
      </c>
      <c r="AR561" s="37">
        <v>0</v>
      </c>
      <c r="AS561" s="37">
        <v>0</v>
      </c>
      <c r="AT561" s="37">
        <v>9</v>
      </c>
      <c r="AU561" s="33" t="str">
        <f t="shared" si="12"/>
        <v>库存为9</v>
      </c>
      <c r="AV561" s="38" t="str">
        <f>IFERROR(时间!$B$4+AU561,"上周无销量")</f>
        <v>上周无销量</v>
      </c>
    </row>
    <row r="562" spans="1:48">
      <c r="A562" s="21" t="s">
        <v>1236</v>
      </c>
      <c r="B562" t="s">
        <v>1237</v>
      </c>
      <c r="C562" t="s">
        <v>1219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37</v>
      </c>
      <c r="J562" s="35">
        <v>0</v>
      </c>
      <c r="K562" s="35">
        <v>0</v>
      </c>
      <c r="L562" s="35">
        <v>0</v>
      </c>
      <c r="M562">
        <v>37</v>
      </c>
      <c r="N562">
        <v>0</v>
      </c>
      <c r="O562">
        <v>36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1</v>
      </c>
      <c r="AK562">
        <v>5</v>
      </c>
      <c r="AL562">
        <v>7</v>
      </c>
      <c r="AM562">
        <v>1</v>
      </c>
      <c r="AN562" s="23">
        <v>0</v>
      </c>
      <c r="AO562" s="23">
        <v>0</v>
      </c>
      <c r="AP562" s="23">
        <v>0</v>
      </c>
      <c r="AQ562" s="23">
        <v>0</v>
      </c>
      <c r="AR562" s="37">
        <v>0</v>
      </c>
      <c r="AS562" s="37">
        <v>0</v>
      </c>
      <c r="AT562" s="37">
        <v>37</v>
      </c>
      <c r="AU562" s="33" t="str">
        <f t="shared" si="12"/>
        <v>库存为37</v>
      </c>
      <c r="AV562" s="38" t="str">
        <f>IFERROR(时间!$B$4+AU562,"上周无销量")</f>
        <v>上周无销量</v>
      </c>
    </row>
    <row r="563" spans="1:48">
      <c r="A563" s="21" t="s">
        <v>1238</v>
      </c>
      <c r="B563" t="s">
        <v>1239</v>
      </c>
      <c r="C563" t="s">
        <v>1219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40</v>
      </c>
      <c r="J563" s="35">
        <v>0</v>
      </c>
      <c r="K563" s="35">
        <v>0</v>
      </c>
      <c r="L563" s="35">
        <v>0</v>
      </c>
      <c r="M563">
        <v>40</v>
      </c>
      <c r="N563">
        <v>0</v>
      </c>
      <c r="O563">
        <v>40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2</v>
      </c>
      <c r="AK563">
        <v>3</v>
      </c>
      <c r="AL563">
        <v>3</v>
      </c>
      <c r="AM563">
        <v>0</v>
      </c>
      <c r="AN563" s="23">
        <v>0</v>
      </c>
      <c r="AO563" s="23">
        <v>0</v>
      </c>
      <c r="AP563" s="23">
        <v>0</v>
      </c>
      <c r="AQ563" s="23" t="s">
        <v>54</v>
      </c>
      <c r="AR563" s="37">
        <v>0</v>
      </c>
      <c r="AS563" s="37">
        <v>0</v>
      </c>
      <c r="AT563" s="37">
        <v>40</v>
      </c>
      <c r="AU563" s="33" t="str">
        <f t="shared" si="12"/>
        <v>库存为40</v>
      </c>
      <c r="AV563" s="38" t="str">
        <f>IFERROR(时间!$B$4+AU563,"上周无销量")</f>
        <v>上周无销量</v>
      </c>
    </row>
    <row r="564" spans="1:48">
      <c r="A564" s="21" t="s">
        <v>1240</v>
      </c>
      <c r="B564" t="s">
        <v>1218</v>
      </c>
      <c r="C564" t="s">
        <v>1219</v>
      </c>
      <c r="D564" s="33">
        <v>0</v>
      </c>
      <c r="E564" s="33">
        <v>23</v>
      </c>
      <c r="F564" s="33">
        <v>1</v>
      </c>
      <c r="G564" s="33">
        <v>0</v>
      </c>
      <c r="H564" s="34">
        <v>0.374583333333333</v>
      </c>
      <c r="I564">
        <v>23</v>
      </c>
      <c r="J564" s="35">
        <v>0</v>
      </c>
      <c r="K564" s="35">
        <v>0</v>
      </c>
      <c r="L564" s="35">
        <v>0</v>
      </c>
      <c r="M564">
        <v>23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1</v>
      </c>
      <c r="AK564">
        <v>0</v>
      </c>
      <c r="AL564">
        <v>15</v>
      </c>
      <c r="AM564">
        <v>0</v>
      </c>
      <c r="AN564" s="23">
        <v>0</v>
      </c>
      <c r="AO564" s="23" t="s">
        <v>54</v>
      </c>
      <c r="AP564" s="23">
        <v>0.0666666666666667</v>
      </c>
      <c r="AQ564" s="23" t="s">
        <v>54</v>
      </c>
      <c r="AR564" s="37">
        <v>0</v>
      </c>
      <c r="AS564" s="37">
        <v>0</v>
      </c>
      <c r="AT564" s="37">
        <v>23</v>
      </c>
      <c r="AU564" s="33" t="str">
        <f t="shared" si="12"/>
        <v>库存为23</v>
      </c>
      <c r="AV564" s="38" t="str">
        <f>IFERROR(时间!$B$4+AU564,"上周无销量")</f>
        <v>上周无销量</v>
      </c>
    </row>
    <row r="565" spans="1:48">
      <c r="A565" s="21" t="s">
        <v>1241</v>
      </c>
      <c r="B565" t="s">
        <v>1242</v>
      </c>
      <c r="C565" t="s">
        <v>1243</v>
      </c>
      <c r="D565" s="33">
        <v>0</v>
      </c>
      <c r="E565" s="33">
        <v>1</v>
      </c>
      <c r="F565" s="33">
        <v>0</v>
      </c>
      <c r="G565" s="33">
        <v>0</v>
      </c>
      <c r="H565" s="34">
        <v>8</v>
      </c>
      <c r="I565">
        <v>2</v>
      </c>
      <c r="J565" s="35">
        <v>0</v>
      </c>
      <c r="K565" s="35">
        <v>0</v>
      </c>
      <c r="L565" s="35">
        <v>0</v>
      </c>
      <c r="M565">
        <v>2</v>
      </c>
      <c r="N565">
        <v>0</v>
      </c>
      <c r="O565">
        <v>2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10</v>
      </c>
      <c r="AK565">
        <v>8</v>
      </c>
      <c r="AL565">
        <v>2</v>
      </c>
      <c r="AM565">
        <v>0</v>
      </c>
      <c r="AN565" s="23">
        <v>0</v>
      </c>
      <c r="AO565" s="23">
        <v>0.125</v>
      </c>
      <c r="AP565" s="23">
        <v>0</v>
      </c>
      <c r="AQ565" s="23" t="s">
        <v>54</v>
      </c>
      <c r="AR565" s="37">
        <v>0</v>
      </c>
      <c r="AS565" s="37">
        <v>0</v>
      </c>
      <c r="AT565" s="37">
        <v>2</v>
      </c>
      <c r="AU565" s="33" t="str">
        <f t="shared" si="12"/>
        <v>库存为2</v>
      </c>
      <c r="AV565" s="38" t="str">
        <f>IFERROR(时间!$B$4+AU565,"上周无销量")</f>
        <v>上周无销量</v>
      </c>
    </row>
    <row r="566" spans="1:48">
      <c r="A566" s="21" t="s">
        <v>1244</v>
      </c>
      <c r="B566" t="s">
        <v>1245</v>
      </c>
      <c r="C566" t="s">
        <v>1243</v>
      </c>
      <c r="D566" s="33">
        <v>0</v>
      </c>
      <c r="E566" s="33">
        <v>1</v>
      </c>
      <c r="F566" s="33">
        <v>0</v>
      </c>
      <c r="G566" s="33">
        <v>0</v>
      </c>
      <c r="H566" s="34">
        <v>8</v>
      </c>
      <c r="I566">
        <v>2</v>
      </c>
      <c r="J566" s="35">
        <v>0</v>
      </c>
      <c r="K566" s="35">
        <v>0</v>
      </c>
      <c r="L566" s="35">
        <v>0</v>
      </c>
      <c r="M566">
        <v>2</v>
      </c>
      <c r="N566">
        <v>0</v>
      </c>
      <c r="O566">
        <v>2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7</v>
      </c>
      <c r="AK566">
        <v>4</v>
      </c>
      <c r="AL566">
        <v>1</v>
      </c>
      <c r="AM566">
        <v>2</v>
      </c>
      <c r="AN566" s="23">
        <v>0</v>
      </c>
      <c r="AO566" s="23">
        <v>0.25</v>
      </c>
      <c r="AP566" s="23">
        <v>0</v>
      </c>
      <c r="AQ566" s="23">
        <v>0</v>
      </c>
      <c r="AR566" s="37">
        <v>0</v>
      </c>
      <c r="AS566" s="37">
        <v>0</v>
      </c>
      <c r="AT566" s="37">
        <v>2</v>
      </c>
      <c r="AU566" s="33" t="str">
        <f t="shared" si="12"/>
        <v>库存为2</v>
      </c>
      <c r="AV566" s="38" t="str">
        <f>IFERROR(时间!$B$4+AU566,"上周无销量")</f>
        <v>上周无销量</v>
      </c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C6:C566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638" operator="lessThan">
      <formula>20</formula>
    </cfRule>
    <cfRule type="cellIs" dxfId="1" priority="19637" operator="greaterThan">
      <formula>120</formula>
    </cfRule>
    <cfRule type="containsText" dxfId="2" priority="19636" operator="between" text="库存为">
      <formula>NOT(ISERROR(SEARCH("库存为",AU2)))</formula>
    </cfRule>
  </conditionalFormatting>
  <conditionalFormatting sqref="AU6">
    <cfRule type="cellIs" dxfId="0" priority="1683" operator="lessThan">
      <formula>20</formula>
    </cfRule>
    <cfRule type="cellIs" dxfId="1" priority="1122" operator="greaterThan">
      <formula>120</formula>
    </cfRule>
    <cfRule type="containsText" dxfId="2" priority="561" operator="between" text="库存为">
      <formula>NOT(ISERROR(SEARCH("库存为",AU6)))</formula>
    </cfRule>
  </conditionalFormatting>
  <conditionalFormatting sqref="AU7">
    <cfRule type="cellIs" dxfId="0" priority="1682" operator="lessThan">
      <formula>20</formula>
    </cfRule>
    <cfRule type="cellIs" dxfId="1" priority="1121" operator="greaterThan">
      <formula>120</formula>
    </cfRule>
    <cfRule type="containsText" dxfId="2" priority="560" operator="between" text="库存为">
      <formula>NOT(ISERROR(SEARCH("库存为",AU7)))</formula>
    </cfRule>
  </conditionalFormatting>
  <conditionalFormatting sqref="AU8">
    <cfRule type="cellIs" dxfId="0" priority="1681" operator="lessThan">
      <formula>20</formula>
    </cfRule>
    <cfRule type="cellIs" dxfId="1" priority="1120" operator="greaterThan">
      <formula>120</formula>
    </cfRule>
    <cfRule type="containsText" dxfId="2" priority="559" operator="between" text="库存为">
      <formula>NOT(ISERROR(SEARCH("库存为",AU8)))</formula>
    </cfRule>
  </conditionalFormatting>
  <conditionalFormatting sqref="AU9">
    <cfRule type="cellIs" dxfId="0" priority="1680" operator="lessThan">
      <formula>20</formula>
    </cfRule>
    <cfRule type="cellIs" dxfId="1" priority="1119" operator="greaterThan">
      <formula>120</formula>
    </cfRule>
    <cfRule type="containsText" dxfId="2" priority="558" operator="between" text="库存为">
      <formula>NOT(ISERROR(SEARCH("库存为",AU9)))</formula>
    </cfRule>
  </conditionalFormatting>
  <conditionalFormatting sqref="AU10">
    <cfRule type="cellIs" dxfId="0" priority="1679" operator="lessThan">
      <formula>20</formula>
    </cfRule>
    <cfRule type="cellIs" dxfId="1" priority="1118" operator="greaterThan">
      <formula>120</formula>
    </cfRule>
    <cfRule type="containsText" dxfId="2" priority="557" operator="between" text="库存为">
      <formula>NOT(ISERROR(SEARCH("库存为",AU10)))</formula>
    </cfRule>
  </conditionalFormatting>
  <conditionalFormatting sqref="AU11">
    <cfRule type="cellIs" dxfId="0" priority="1678" operator="lessThan">
      <formula>20</formula>
    </cfRule>
    <cfRule type="cellIs" dxfId="1" priority="1117" operator="greaterThan">
      <formula>120</formula>
    </cfRule>
    <cfRule type="containsText" dxfId="2" priority="556" operator="between" text="库存为">
      <formula>NOT(ISERROR(SEARCH("库存为",AU11)))</formula>
    </cfRule>
  </conditionalFormatting>
  <conditionalFormatting sqref="AU12">
    <cfRule type="cellIs" dxfId="0" priority="1677" operator="lessThan">
      <formula>20</formula>
    </cfRule>
    <cfRule type="cellIs" dxfId="1" priority="1116" operator="greaterThan">
      <formula>120</formula>
    </cfRule>
    <cfRule type="containsText" dxfId="2" priority="555" operator="between" text="库存为">
      <formula>NOT(ISERROR(SEARCH("库存为",AU12)))</formula>
    </cfRule>
  </conditionalFormatting>
  <conditionalFormatting sqref="AU13">
    <cfRule type="cellIs" dxfId="0" priority="1676" operator="lessThan">
      <formula>20</formula>
    </cfRule>
    <cfRule type="cellIs" dxfId="1" priority="1115" operator="greaterThan">
      <formula>120</formula>
    </cfRule>
    <cfRule type="containsText" dxfId="2" priority="554" operator="between" text="库存为">
      <formula>NOT(ISERROR(SEARCH("库存为",AU13)))</formula>
    </cfRule>
  </conditionalFormatting>
  <conditionalFormatting sqref="AU14">
    <cfRule type="cellIs" dxfId="0" priority="1675" operator="lessThan">
      <formula>20</formula>
    </cfRule>
    <cfRule type="cellIs" dxfId="1" priority="1114" operator="greaterThan">
      <formula>120</formula>
    </cfRule>
    <cfRule type="containsText" dxfId="2" priority="553" operator="between" text="库存为">
      <formula>NOT(ISERROR(SEARCH("库存为",AU14)))</formula>
    </cfRule>
  </conditionalFormatting>
  <conditionalFormatting sqref="AU15">
    <cfRule type="cellIs" dxfId="0" priority="1674" operator="lessThan">
      <formula>20</formula>
    </cfRule>
    <cfRule type="cellIs" dxfId="1" priority="1113" operator="greaterThan">
      <formula>120</formula>
    </cfRule>
    <cfRule type="containsText" dxfId="2" priority="552" operator="between" text="库存为">
      <formula>NOT(ISERROR(SEARCH("库存为",AU15)))</formula>
    </cfRule>
  </conditionalFormatting>
  <conditionalFormatting sqref="AU16">
    <cfRule type="cellIs" dxfId="0" priority="1673" operator="lessThan">
      <formula>20</formula>
    </cfRule>
    <cfRule type="cellIs" dxfId="1" priority="1112" operator="greaterThan">
      <formula>120</formula>
    </cfRule>
    <cfRule type="containsText" dxfId="2" priority="551" operator="between" text="库存为">
      <formula>NOT(ISERROR(SEARCH("库存为",AU16)))</formula>
    </cfRule>
  </conditionalFormatting>
  <conditionalFormatting sqref="AU17">
    <cfRule type="cellIs" dxfId="0" priority="1672" operator="lessThan">
      <formula>20</formula>
    </cfRule>
    <cfRule type="cellIs" dxfId="1" priority="1111" operator="greaterThan">
      <formula>120</formula>
    </cfRule>
    <cfRule type="containsText" dxfId="2" priority="550" operator="between" text="库存为">
      <formula>NOT(ISERROR(SEARCH("库存为",AU17)))</formula>
    </cfRule>
  </conditionalFormatting>
  <conditionalFormatting sqref="AU18">
    <cfRule type="cellIs" dxfId="0" priority="1671" operator="lessThan">
      <formula>20</formula>
    </cfRule>
    <cfRule type="cellIs" dxfId="1" priority="1110" operator="greaterThan">
      <formula>120</formula>
    </cfRule>
    <cfRule type="containsText" dxfId="2" priority="549" operator="between" text="库存为">
      <formula>NOT(ISERROR(SEARCH("库存为",AU18)))</formula>
    </cfRule>
  </conditionalFormatting>
  <conditionalFormatting sqref="AU19">
    <cfRule type="cellIs" dxfId="0" priority="1670" operator="lessThan">
      <formula>20</formula>
    </cfRule>
    <cfRule type="cellIs" dxfId="1" priority="1109" operator="greaterThan">
      <formula>120</formula>
    </cfRule>
    <cfRule type="containsText" dxfId="2" priority="548" operator="between" text="库存为">
      <formula>NOT(ISERROR(SEARCH("库存为",AU19)))</formula>
    </cfRule>
  </conditionalFormatting>
  <conditionalFormatting sqref="AU20">
    <cfRule type="cellIs" dxfId="0" priority="1669" operator="lessThan">
      <formula>20</formula>
    </cfRule>
    <cfRule type="cellIs" dxfId="1" priority="1108" operator="greaterThan">
      <formula>120</formula>
    </cfRule>
    <cfRule type="containsText" dxfId="2" priority="547" operator="between" text="库存为">
      <formula>NOT(ISERROR(SEARCH("库存为",AU20)))</formula>
    </cfRule>
  </conditionalFormatting>
  <conditionalFormatting sqref="AU21">
    <cfRule type="cellIs" dxfId="0" priority="1668" operator="lessThan">
      <formula>20</formula>
    </cfRule>
    <cfRule type="cellIs" dxfId="1" priority="1107" operator="greaterThan">
      <formula>120</formula>
    </cfRule>
    <cfRule type="containsText" dxfId="2" priority="546" operator="between" text="库存为">
      <formula>NOT(ISERROR(SEARCH("库存为",AU21)))</formula>
    </cfRule>
  </conditionalFormatting>
  <conditionalFormatting sqref="AU22">
    <cfRule type="cellIs" dxfId="0" priority="1667" operator="lessThan">
      <formula>20</formula>
    </cfRule>
    <cfRule type="cellIs" dxfId="1" priority="1106" operator="greaterThan">
      <formula>120</formula>
    </cfRule>
    <cfRule type="containsText" dxfId="2" priority="545" operator="between" text="库存为">
      <formula>NOT(ISERROR(SEARCH("库存为",AU22)))</formula>
    </cfRule>
  </conditionalFormatting>
  <conditionalFormatting sqref="AU23">
    <cfRule type="cellIs" dxfId="0" priority="1666" operator="lessThan">
      <formula>20</formula>
    </cfRule>
    <cfRule type="cellIs" dxfId="1" priority="1105" operator="greaterThan">
      <formula>120</formula>
    </cfRule>
    <cfRule type="containsText" dxfId="2" priority="544" operator="between" text="库存为">
      <formula>NOT(ISERROR(SEARCH("库存为",AU23)))</formula>
    </cfRule>
  </conditionalFormatting>
  <conditionalFormatting sqref="AU24">
    <cfRule type="cellIs" dxfId="0" priority="1665" operator="lessThan">
      <formula>20</formula>
    </cfRule>
    <cfRule type="cellIs" dxfId="1" priority="1104" operator="greaterThan">
      <formula>120</formula>
    </cfRule>
    <cfRule type="containsText" dxfId="2" priority="543" operator="between" text="库存为">
      <formula>NOT(ISERROR(SEARCH("库存为",AU24)))</formula>
    </cfRule>
  </conditionalFormatting>
  <conditionalFormatting sqref="AU25">
    <cfRule type="cellIs" dxfId="0" priority="1664" operator="lessThan">
      <formula>20</formula>
    </cfRule>
    <cfRule type="cellIs" dxfId="1" priority="1103" operator="greaterThan">
      <formula>120</formula>
    </cfRule>
    <cfRule type="containsText" dxfId="2" priority="542" operator="between" text="库存为">
      <formula>NOT(ISERROR(SEARCH("库存为",AU25)))</formula>
    </cfRule>
  </conditionalFormatting>
  <conditionalFormatting sqref="AU26">
    <cfRule type="cellIs" dxfId="0" priority="1663" operator="lessThan">
      <formula>20</formula>
    </cfRule>
    <cfRule type="cellIs" dxfId="1" priority="1102" operator="greaterThan">
      <formula>120</formula>
    </cfRule>
    <cfRule type="containsText" dxfId="2" priority="541" operator="between" text="库存为">
      <formula>NOT(ISERROR(SEARCH("库存为",AU26)))</formula>
    </cfRule>
  </conditionalFormatting>
  <conditionalFormatting sqref="AU27">
    <cfRule type="cellIs" dxfId="0" priority="1662" operator="lessThan">
      <formula>20</formula>
    </cfRule>
    <cfRule type="cellIs" dxfId="1" priority="1101" operator="greaterThan">
      <formula>120</formula>
    </cfRule>
    <cfRule type="containsText" dxfId="2" priority="540" operator="between" text="库存为">
      <formula>NOT(ISERROR(SEARCH("库存为",AU27)))</formula>
    </cfRule>
  </conditionalFormatting>
  <conditionalFormatting sqref="AU28">
    <cfRule type="cellIs" dxfId="0" priority="1661" operator="lessThan">
      <formula>20</formula>
    </cfRule>
    <cfRule type="cellIs" dxfId="1" priority="1100" operator="greaterThan">
      <formula>120</formula>
    </cfRule>
    <cfRule type="containsText" dxfId="2" priority="539" operator="between" text="库存为">
      <formula>NOT(ISERROR(SEARCH("库存为",AU28)))</formula>
    </cfRule>
  </conditionalFormatting>
  <conditionalFormatting sqref="AU29">
    <cfRule type="cellIs" dxfId="0" priority="1660" operator="lessThan">
      <formula>20</formula>
    </cfRule>
    <cfRule type="cellIs" dxfId="1" priority="1099" operator="greaterThan">
      <formula>120</formula>
    </cfRule>
    <cfRule type="containsText" dxfId="2" priority="538" operator="between" text="库存为">
      <formula>NOT(ISERROR(SEARCH("库存为",AU29)))</formula>
    </cfRule>
  </conditionalFormatting>
  <conditionalFormatting sqref="AU30">
    <cfRule type="cellIs" dxfId="0" priority="1659" operator="lessThan">
      <formula>20</formula>
    </cfRule>
    <cfRule type="cellIs" dxfId="1" priority="1098" operator="greaterThan">
      <formula>120</formula>
    </cfRule>
    <cfRule type="containsText" dxfId="2" priority="537" operator="between" text="库存为">
      <formula>NOT(ISERROR(SEARCH("库存为",AU30)))</formula>
    </cfRule>
  </conditionalFormatting>
  <conditionalFormatting sqref="AU31">
    <cfRule type="cellIs" dxfId="0" priority="1658" operator="lessThan">
      <formula>20</formula>
    </cfRule>
    <cfRule type="cellIs" dxfId="1" priority="1097" operator="greaterThan">
      <formula>120</formula>
    </cfRule>
    <cfRule type="containsText" dxfId="2" priority="536" operator="between" text="库存为">
      <formula>NOT(ISERROR(SEARCH("库存为",AU31)))</formula>
    </cfRule>
  </conditionalFormatting>
  <conditionalFormatting sqref="AU32">
    <cfRule type="cellIs" dxfId="0" priority="1657" operator="lessThan">
      <formula>20</formula>
    </cfRule>
    <cfRule type="cellIs" dxfId="1" priority="1096" operator="greaterThan">
      <formula>120</formula>
    </cfRule>
    <cfRule type="containsText" dxfId="2" priority="535" operator="between" text="库存为">
      <formula>NOT(ISERROR(SEARCH("库存为",AU32)))</formula>
    </cfRule>
  </conditionalFormatting>
  <conditionalFormatting sqref="AU33">
    <cfRule type="cellIs" dxfId="0" priority="1656" operator="lessThan">
      <formula>20</formula>
    </cfRule>
    <cfRule type="cellIs" dxfId="1" priority="1095" operator="greaterThan">
      <formula>120</formula>
    </cfRule>
    <cfRule type="containsText" dxfId="2" priority="534" operator="between" text="库存为">
      <formula>NOT(ISERROR(SEARCH("库存为",AU33)))</formula>
    </cfRule>
  </conditionalFormatting>
  <conditionalFormatting sqref="AU34">
    <cfRule type="cellIs" dxfId="0" priority="1655" operator="lessThan">
      <formula>20</formula>
    </cfRule>
    <cfRule type="cellIs" dxfId="1" priority="1094" operator="greaterThan">
      <formula>120</formula>
    </cfRule>
    <cfRule type="containsText" dxfId="2" priority="533" operator="between" text="库存为">
      <formula>NOT(ISERROR(SEARCH("库存为",AU34)))</formula>
    </cfRule>
  </conditionalFormatting>
  <conditionalFormatting sqref="AU35">
    <cfRule type="cellIs" dxfId="0" priority="1654" operator="lessThan">
      <formula>20</formula>
    </cfRule>
    <cfRule type="cellIs" dxfId="1" priority="1093" operator="greaterThan">
      <formula>120</formula>
    </cfRule>
    <cfRule type="containsText" dxfId="2" priority="532" operator="between" text="库存为">
      <formula>NOT(ISERROR(SEARCH("库存为",AU35)))</formula>
    </cfRule>
  </conditionalFormatting>
  <conditionalFormatting sqref="AU36">
    <cfRule type="cellIs" dxfId="0" priority="1653" operator="lessThan">
      <formula>20</formula>
    </cfRule>
    <cfRule type="cellIs" dxfId="1" priority="1092" operator="greaterThan">
      <formula>120</formula>
    </cfRule>
    <cfRule type="containsText" dxfId="2" priority="531" operator="between" text="库存为">
      <formula>NOT(ISERROR(SEARCH("库存为",AU36)))</formula>
    </cfRule>
  </conditionalFormatting>
  <conditionalFormatting sqref="AU37">
    <cfRule type="cellIs" dxfId="0" priority="1652" operator="lessThan">
      <formula>20</formula>
    </cfRule>
    <cfRule type="cellIs" dxfId="1" priority="1091" operator="greaterThan">
      <formula>120</formula>
    </cfRule>
    <cfRule type="containsText" dxfId="2" priority="530" operator="between" text="库存为">
      <formula>NOT(ISERROR(SEARCH("库存为",AU37)))</formula>
    </cfRule>
  </conditionalFormatting>
  <conditionalFormatting sqref="AU38">
    <cfRule type="cellIs" dxfId="0" priority="1651" operator="lessThan">
      <formula>20</formula>
    </cfRule>
    <cfRule type="cellIs" dxfId="1" priority="1090" operator="greaterThan">
      <formula>120</formula>
    </cfRule>
    <cfRule type="containsText" dxfId="2" priority="529" operator="between" text="库存为">
      <formula>NOT(ISERROR(SEARCH("库存为",AU38)))</formula>
    </cfRule>
  </conditionalFormatting>
  <conditionalFormatting sqref="AU39">
    <cfRule type="cellIs" dxfId="0" priority="1650" operator="lessThan">
      <formula>20</formula>
    </cfRule>
    <cfRule type="cellIs" dxfId="1" priority="1089" operator="greaterThan">
      <formula>120</formula>
    </cfRule>
    <cfRule type="containsText" dxfId="2" priority="528" operator="between" text="库存为">
      <formula>NOT(ISERROR(SEARCH("库存为",AU39)))</formula>
    </cfRule>
  </conditionalFormatting>
  <conditionalFormatting sqref="AU40">
    <cfRule type="cellIs" dxfId="0" priority="1649" operator="lessThan">
      <formula>20</formula>
    </cfRule>
    <cfRule type="cellIs" dxfId="1" priority="1088" operator="greaterThan">
      <formula>120</formula>
    </cfRule>
    <cfRule type="containsText" dxfId="2" priority="527" operator="between" text="库存为">
      <formula>NOT(ISERROR(SEARCH("库存为",AU40)))</formula>
    </cfRule>
  </conditionalFormatting>
  <conditionalFormatting sqref="AU41">
    <cfRule type="cellIs" dxfId="0" priority="1648" operator="lessThan">
      <formula>20</formula>
    </cfRule>
    <cfRule type="cellIs" dxfId="1" priority="1087" operator="greaterThan">
      <formula>120</formula>
    </cfRule>
    <cfRule type="containsText" dxfId="2" priority="526" operator="between" text="库存为">
      <formula>NOT(ISERROR(SEARCH("库存为",AU41)))</formula>
    </cfRule>
  </conditionalFormatting>
  <conditionalFormatting sqref="AU42">
    <cfRule type="cellIs" dxfId="0" priority="1647" operator="lessThan">
      <formula>20</formula>
    </cfRule>
    <cfRule type="cellIs" dxfId="1" priority="1086" operator="greaterThan">
      <formula>120</formula>
    </cfRule>
    <cfRule type="containsText" dxfId="2" priority="525" operator="between" text="库存为">
      <formula>NOT(ISERROR(SEARCH("库存为",AU42)))</formula>
    </cfRule>
  </conditionalFormatting>
  <conditionalFormatting sqref="AU43">
    <cfRule type="cellIs" dxfId="0" priority="1646" operator="lessThan">
      <formula>20</formula>
    </cfRule>
    <cfRule type="cellIs" dxfId="1" priority="1085" operator="greaterThan">
      <formula>120</formula>
    </cfRule>
    <cfRule type="containsText" dxfId="2" priority="524" operator="between" text="库存为">
      <formula>NOT(ISERROR(SEARCH("库存为",AU43)))</formula>
    </cfRule>
  </conditionalFormatting>
  <conditionalFormatting sqref="AU44">
    <cfRule type="cellIs" dxfId="0" priority="1645" operator="lessThan">
      <formula>20</formula>
    </cfRule>
    <cfRule type="cellIs" dxfId="1" priority="1084" operator="greaterThan">
      <formula>120</formula>
    </cfRule>
    <cfRule type="containsText" dxfId="2" priority="523" operator="between" text="库存为">
      <formula>NOT(ISERROR(SEARCH("库存为",AU44)))</formula>
    </cfRule>
  </conditionalFormatting>
  <conditionalFormatting sqref="AU45">
    <cfRule type="cellIs" dxfId="0" priority="1644" operator="lessThan">
      <formula>20</formula>
    </cfRule>
    <cfRule type="cellIs" dxfId="1" priority="1083" operator="greaterThan">
      <formula>120</formula>
    </cfRule>
    <cfRule type="containsText" dxfId="2" priority="522" operator="between" text="库存为">
      <formula>NOT(ISERROR(SEARCH("库存为",AU45)))</formula>
    </cfRule>
  </conditionalFormatting>
  <conditionalFormatting sqref="AU46">
    <cfRule type="cellIs" dxfId="0" priority="1643" operator="lessThan">
      <formula>20</formula>
    </cfRule>
    <cfRule type="cellIs" dxfId="1" priority="1082" operator="greaterThan">
      <formula>120</formula>
    </cfRule>
    <cfRule type="containsText" dxfId="2" priority="521" operator="between" text="库存为">
      <formula>NOT(ISERROR(SEARCH("库存为",AU46)))</formula>
    </cfRule>
  </conditionalFormatting>
  <conditionalFormatting sqref="AU47">
    <cfRule type="cellIs" dxfId="0" priority="1642" operator="lessThan">
      <formula>20</formula>
    </cfRule>
    <cfRule type="cellIs" dxfId="1" priority="1081" operator="greaterThan">
      <formula>120</formula>
    </cfRule>
    <cfRule type="containsText" dxfId="2" priority="520" operator="between" text="库存为">
      <formula>NOT(ISERROR(SEARCH("库存为",AU47)))</formula>
    </cfRule>
  </conditionalFormatting>
  <conditionalFormatting sqref="AU48">
    <cfRule type="cellIs" dxfId="0" priority="1641" operator="lessThan">
      <formula>20</formula>
    </cfRule>
    <cfRule type="cellIs" dxfId="1" priority="1080" operator="greaterThan">
      <formula>120</formula>
    </cfRule>
    <cfRule type="containsText" dxfId="2" priority="519" operator="between" text="库存为">
      <formula>NOT(ISERROR(SEARCH("库存为",AU48)))</formula>
    </cfRule>
  </conditionalFormatting>
  <conditionalFormatting sqref="AU49">
    <cfRule type="cellIs" dxfId="0" priority="1640" operator="lessThan">
      <formula>20</formula>
    </cfRule>
    <cfRule type="cellIs" dxfId="1" priority="1079" operator="greaterThan">
      <formula>120</formula>
    </cfRule>
    <cfRule type="containsText" dxfId="2" priority="518" operator="between" text="库存为">
      <formula>NOT(ISERROR(SEARCH("库存为",AU49)))</formula>
    </cfRule>
  </conditionalFormatting>
  <conditionalFormatting sqref="AU50">
    <cfRule type="cellIs" dxfId="0" priority="1639" operator="lessThan">
      <formula>20</formula>
    </cfRule>
    <cfRule type="cellIs" dxfId="1" priority="1078" operator="greaterThan">
      <formula>120</formula>
    </cfRule>
    <cfRule type="containsText" dxfId="2" priority="517" operator="between" text="库存为">
      <formula>NOT(ISERROR(SEARCH("库存为",AU50)))</formula>
    </cfRule>
  </conditionalFormatting>
  <conditionalFormatting sqref="AU51">
    <cfRule type="cellIs" dxfId="0" priority="1638" operator="lessThan">
      <formula>20</formula>
    </cfRule>
    <cfRule type="cellIs" dxfId="1" priority="1077" operator="greaterThan">
      <formula>120</formula>
    </cfRule>
    <cfRule type="containsText" dxfId="2" priority="516" operator="between" text="库存为">
      <formula>NOT(ISERROR(SEARCH("库存为",AU51)))</formula>
    </cfRule>
  </conditionalFormatting>
  <conditionalFormatting sqref="AU52">
    <cfRule type="cellIs" dxfId="0" priority="1637" operator="lessThan">
      <formula>20</formula>
    </cfRule>
    <cfRule type="cellIs" dxfId="1" priority="1076" operator="greaterThan">
      <formula>120</formula>
    </cfRule>
    <cfRule type="containsText" dxfId="2" priority="515" operator="between" text="库存为">
      <formula>NOT(ISERROR(SEARCH("库存为",AU52)))</formula>
    </cfRule>
  </conditionalFormatting>
  <conditionalFormatting sqref="AU53">
    <cfRule type="cellIs" dxfId="0" priority="1636" operator="lessThan">
      <formula>20</formula>
    </cfRule>
    <cfRule type="cellIs" dxfId="1" priority="1075" operator="greaterThan">
      <formula>120</formula>
    </cfRule>
    <cfRule type="containsText" dxfId="2" priority="514" operator="between" text="库存为">
      <formula>NOT(ISERROR(SEARCH("库存为",AU53)))</formula>
    </cfRule>
  </conditionalFormatting>
  <conditionalFormatting sqref="AU54">
    <cfRule type="cellIs" dxfId="0" priority="1635" operator="lessThan">
      <formula>20</formula>
    </cfRule>
    <cfRule type="cellIs" dxfId="1" priority="1074" operator="greaterThan">
      <formula>120</formula>
    </cfRule>
    <cfRule type="containsText" dxfId="2" priority="513" operator="between" text="库存为">
      <formula>NOT(ISERROR(SEARCH("库存为",AU54)))</formula>
    </cfRule>
  </conditionalFormatting>
  <conditionalFormatting sqref="AU55">
    <cfRule type="cellIs" dxfId="0" priority="1634" operator="lessThan">
      <formula>20</formula>
    </cfRule>
    <cfRule type="cellIs" dxfId="1" priority="1073" operator="greaterThan">
      <formula>120</formula>
    </cfRule>
    <cfRule type="containsText" dxfId="2" priority="512" operator="between" text="库存为">
      <formula>NOT(ISERROR(SEARCH("库存为",AU55)))</formula>
    </cfRule>
  </conditionalFormatting>
  <conditionalFormatting sqref="AU56">
    <cfRule type="cellIs" dxfId="0" priority="1633" operator="lessThan">
      <formula>20</formula>
    </cfRule>
    <cfRule type="cellIs" dxfId="1" priority="1072" operator="greaterThan">
      <formula>120</formula>
    </cfRule>
    <cfRule type="containsText" dxfId="2" priority="511" operator="between" text="库存为">
      <formula>NOT(ISERROR(SEARCH("库存为",AU56)))</formula>
    </cfRule>
  </conditionalFormatting>
  <conditionalFormatting sqref="AU57">
    <cfRule type="cellIs" dxfId="0" priority="1632" operator="lessThan">
      <formula>20</formula>
    </cfRule>
    <cfRule type="cellIs" dxfId="1" priority="1071" operator="greaterThan">
      <formula>120</formula>
    </cfRule>
    <cfRule type="containsText" dxfId="2" priority="510" operator="between" text="库存为">
      <formula>NOT(ISERROR(SEARCH("库存为",AU57)))</formula>
    </cfRule>
  </conditionalFormatting>
  <conditionalFormatting sqref="AU58">
    <cfRule type="cellIs" dxfId="0" priority="1631" operator="lessThan">
      <formula>20</formula>
    </cfRule>
    <cfRule type="cellIs" dxfId="1" priority="1070" operator="greaterThan">
      <formula>120</formula>
    </cfRule>
    <cfRule type="containsText" dxfId="2" priority="509" operator="between" text="库存为">
      <formula>NOT(ISERROR(SEARCH("库存为",AU58)))</formula>
    </cfRule>
  </conditionalFormatting>
  <conditionalFormatting sqref="AU59">
    <cfRule type="cellIs" dxfId="0" priority="1630" operator="lessThan">
      <formula>20</formula>
    </cfRule>
    <cfRule type="cellIs" dxfId="1" priority="1069" operator="greaterThan">
      <formula>120</formula>
    </cfRule>
    <cfRule type="containsText" dxfId="2" priority="508" operator="between" text="库存为">
      <formula>NOT(ISERROR(SEARCH("库存为",AU59)))</formula>
    </cfRule>
  </conditionalFormatting>
  <conditionalFormatting sqref="AU60">
    <cfRule type="cellIs" dxfId="0" priority="1629" operator="lessThan">
      <formula>20</formula>
    </cfRule>
    <cfRule type="cellIs" dxfId="1" priority="1068" operator="greaterThan">
      <formula>120</formula>
    </cfRule>
    <cfRule type="containsText" dxfId="2" priority="507" operator="between" text="库存为">
      <formula>NOT(ISERROR(SEARCH("库存为",AU60)))</formula>
    </cfRule>
  </conditionalFormatting>
  <conditionalFormatting sqref="AU61">
    <cfRule type="cellIs" dxfId="0" priority="1628" operator="lessThan">
      <formula>20</formula>
    </cfRule>
    <cfRule type="cellIs" dxfId="1" priority="1067" operator="greaterThan">
      <formula>120</formula>
    </cfRule>
    <cfRule type="containsText" dxfId="2" priority="506" operator="between" text="库存为">
      <formula>NOT(ISERROR(SEARCH("库存为",AU61)))</formula>
    </cfRule>
  </conditionalFormatting>
  <conditionalFormatting sqref="AU62">
    <cfRule type="cellIs" dxfId="0" priority="1627" operator="lessThan">
      <formula>20</formula>
    </cfRule>
    <cfRule type="cellIs" dxfId="1" priority="1066" operator="greaterThan">
      <formula>120</formula>
    </cfRule>
    <cfRule type="containsText" dxfId="2" priority="505" operator="between" text="库存为">
      <formula>NOT(ISERROR(SEARCH("库存为",AU62)))</formula>
    </cfRule>
  </conditionalFormatting>
  <conditionalFormatting sqref="AU63">
    <cfRule type="cellIs" dxfId="0" priority="1626" operator="lessThan">
      <formula>20</formula>
    </cfRule>
    <cfRule type="cellIs" dxfId="1" priority="1065" operator="greaterThan">
      <formula>120</formula>
    </cfRule>
    <cfRule type="containsText" dxfId="2" priority="504" operator="between" text="库存为">
      <formula>NOT(ISERROR(SEARCH("库存为",AU63)))</formula>
    </cfRule>
  </conditionalFormatting>
  <conditionalFormatting sqref="AU64">
    <cfRule type="cellIs" dxfId="0" priority="1625" operator="lessThan">
      <formula>20</formula>
    </cfRule>
    <cfRule type="cellIs" dxfId="1" priority="1064" operator="greaterThan">
      <formula>120</formula>
    </cfRule>
    <cfRule type="containsText" dxfId="2" priority="503" operator="between" text="库存为">
      <formula>NOT(ISERROR(SEARCH("库存为",AU64)))</formula>
    </cfRule>
  </conditionalFormatting>
  <conditionalFormatting sqref="AU65">
    <cfRule type="cellIs" dxfId="0" priority="1624" operator="lessThan">
      <formula>20</formula>
    </cfRule>
    <cfRule type="cellIs" dxfId="1" priority="1063" operator="greaterThan">
      <formula>120</formula>
    </cfRule>
    <cfRule type="containsText" dxfId="2" priority="502" operator="between" text="库存为">
      <formula>NOT(ISERROR(SEARCH("库存为",AU65)))</formula>
    </cfRule>
  </conditionalFormatting>
  <conditionalFormatting sqref="AU66">
    <cfRule type="cellIs" dxfId="0" priority="1623" operator="lessThan">
      <formula>20</formula>
    </cfRule>
    <cfRule type="cellIs" dxfId="1" priority="1062" operator="greaterThan">
      <formula>120</formula>
    </cfRule>
    <cfRule type="containsText" dxfId="2" priority="501" operator="between" text="库存为">
      <formula>NOT(ISERROR(SEARCH("库存为",AU66)))</formula>
    </cfRule>
  </conditionalFormatting>
  <conditionalFormatting sqref="AU67">
    <cfRule type="cellIs" dxfId="0" priority="1622" operator="lessThan">
      <formula>20</formula>
    </cfRule>
    <cfRule type="cellIs" dxfId="1" priority="1061" operator="greaterThan">
      <formula>120</formula>
    </cfRule>
    <cfRule type="containsText" dxfId="2" priority="500" operator="between" text="库存为">
      <formula>NOT(ISERROR(SEARCH("库存为",AU67)))</formula>
    </cfRule>
  </conditionalFormatting>
  <conditionalFormatting sqref="AU68">
    <cfRule type="cellIs" dxfId="0" priority="1621" operator="lessThan">
      <formula>20</formula>
    </cfRule>
    <cfRule type="cellIs" dxfId="1" priority="1060" operator="greaterThan">
      <formula>120</formula>
    </cfRule>
    <cfRule type="containsText" dxfId="2" priority="499" operator="between" text="库存为">
      <formula>NOT(ISERROR(SEARCH("库存为",AU68)))</formula>
    </cfRule>
  </conditionalFormatting>
  <conditionalFormatting sqref="AU69">
    <cfRule type="cellIs" dxfId="0" priority="1620" operator="lessThan">
      <formula>20</formula>
    </cfRule>
    <cfRule type="cellIs" dxfId="1" priority="1059" operator="greaterThan">
      <formula>120</formula>
    </cfRule>
    <cfRule type="containsText" dxfId="2" priority="498" operator="between" text="库存为">
      <formula>NOT(ISERROR(SEARCH("库存为",AU69)))</formula>
    </cfRule>
  </conditionalFormatting>
  <conditionalFormatting sqref="AU70">
    <cfRule type="cellIs" dxfId="0" priority="1619" operator="lessThan">
      <formula>20</formula>
    </cfRule>
    <cfRule type="cellIs" dxfId="1" priority="1058" operator="greaterThan">
      <formula>120</formula>
    </cfRule>
    <cfRule type="containsText" dxfId="2" priority="497" operator="between" text="库存为">
      <formula>NOT(ISERROR(SEARCH("库存为",AU70)))</formula>
    </cfRule>
  </conditionalFormatting>
  <conditionalFormatting sqref="AU71">
    <cfRule type="cellIs" dxfId="0" priority="1618" operator="lessThan">
      <formula>20</formula>
    </cfRule>
    <cfRule type="cellIs" dxfId="1" priority="1057" operator="greaterThan">
      <formula>120</formula>
    </cfRule>
    <cfRule type="containsText" dxfId="2" priority="496" operator="between" text="库存为">
      <formula>NOT(ISERROR(SEARCH("库存为",AU71)))</formula>
    </cfRule>
  </conditionalFormatting>
  <conditionalFormatting sqref="AU72">
    <cfRule type="cellIs" dxfId="0" priority="1617" operator="lessThan">
      <formula>20</formula>
    </cfRule>
    <cfRule type="cellIs" dxfId="1" priority="1056" operator="greaterThan">
      <formula>120</formula>
    </cfRule>
    <cfRule type="containsText" dxfId="2" priority="495" operator="between" text="库存为">
      <formula>NOT(ISERROR(SEARCH("库存为",AU72)))</formula>
    </cfRule>
  </conditionalFormatting>
  <conditionalFormatting sqref="AU73">
    <cfRule type="cellIs" dxfId="0" priority="1616" operator="lessThan">
      <formula>20</formula>
    </cfRule>
    <cfRule type="cellIs" dxfId="1" priority="1055" operator="greaterThan">
      <formula>120</formula>
    </cfRule>
    <cfRule type="containsText" dxfId="2" priority="494" operator="between" text="库存为">
      <formula>NOT(ISERROR(SEARCH("库存为",AU73)))</formula>
    </cfRule>
  </conditionalFormatting>
  <conditionalFormatting sqref="AU74">
    <cfRule type="cellIs" dxfId="0" priority="1615" operator="lessThan">
      <formula>20</formula>
    </cfRule>
    <cfRule type="cellIs" dxfId="1" priority="1054" operator="greaterThan">
      <formula>120</formula>
    </cfRule>
    <cfRule type="containsText" dxfId="2" priority="493" operator="between" text="库存为">
      <formula>NOT(ISERROR(SEARCH("库存为",AU74)))</formula>
    </cfRule>
  </conditionalFormatting>
  <conditionalFormatting sqref="AU75">
    <cfRule type="cellIs" dxfId="0" priority="1614" operator="lessThan">
      <formula>20</formula>
    </cfRule>
    <cfRule type="cellIs" dxfId="1" priority="1053" operator="greaterThan">
      <formula>120</formula>
    </cfRule>
    <cfRule type="containsText" dxfId="2" priority="492" operator="between" text="库存为">
      <formula>NOT(ISERROR(SEARCH("库存为",AU75)))</formula>
    </cfRule>
  </conditionalFormatting>
  <conditionalFormatting sqref="AU76">
    <cfRule type="cellIs" dxfId="0" priority="1613" operator="lessThan">
      <formula>20</formula>
    </cfRule>
    <cfRule type="cellIs" dxfId="1" priority="1052" operator="greaterThan">
      <formula>120</formula>
    </cfRule>
    <cfRule type="containsText" dxfId="2" priority="491" operator="between" text="库存为">
      <formula>NOT(ISERROR(SEARCH("库存为",AU76)))</formula>
    </cfRule>
  </conditionalFormatting>
  <conditionalFormatting sqref="AU77">
    <cfRule type="cellIs" dxfId="0" priority="1612" operator="lessThan">
      <formula>20</formula>
    </cfRule>
    <cfRule type="cellIs" dxfId="1" priority="1051" operator="greaterThan">
      <formula>120</formula>
    </cfRule>
    <cfRule type="containsText" dxfId="2" priority="490" operator="between" text="库存为">
      <formula>NOT(ISERROR(SEARCH("库存为",AU77)))</formula>
    </cfRule>
  </conditionalFormatting>
  <conditionalFormatting sqref="AU78">
    <cfRule type="cellIs" dxfId="0" priority="1611" operator="lessThan">
      <formula>20</formula>
    </cfRule>
    <cfRule type="cellIs" dxfId="1" priority="1050" operator="greaterThan">
      <formula>120</formula>
    </cfRule>
    <cfRule type="containsText" dxfId="2" priority="489" operator="between" text="库存为">
      <formula>NOT(ISERROR(SEARCH("库存为",AU78)))</formula>
    </cfRule>
  </conditionalFormatting>
  <conditionalFormatting sqref="AU79">
    <cfRule type="cellIs" dxfId="0" priority="1610" operator="lessThan">
      <formula>20</formula>
    </cfRule>
    <cfRule type="cellIs" dxfId="1" priority="1049" operator="greaterThan">
      <formula>120</formula>
    </cfRule>
    <cfRule type="containsText" dxfId="2" priority="488" operator="between" text="库存为">
      <formula>NOT(ISERROR(SEARCH("库存为",AU79)))</formula>
    </cfRule>
  </conditionalFormatting>
  <conditionalFormatting sqref="AU80">
    <cfRule type="cellIs" dxfId="0" priority="1609" operator="lessThan">
      <formula>20</formula>
    </cfRule>
    <cfRule type="cellIs" dxfId="1" priority="1048" operator="greaterThan">
      <formula>120</formula>
    </cfRule>
    <cfRule type="containsText" dxfId="2" priority="487" operator="between" text="库存为">
      <formula>NOT(ISERROR(SEARCH("库存为",AU80)))</formula>
    </cfRule>
  </conditionalFormatting>
  <conditionalFormatting sqref="AU81">
    <cfRule type="cellIs" dxfId="0" priority="1608" operator="lessThan">
      <formula>20</formula>
    </cfRule>
    <cfRule type="cellIs" dxfId="1" priority="1047" operator="greaterThan">
      <formula>120</formula>
    </cfRule>
    <cfRule type="containsText" dxfId="2" priority="486" operator="between" text="库存为">
      <formula>NOT(ISERROR(SEARCH("库存为",AU81)))</formula>
    </cfRule>
  </conditionalFormatting>
  <conditionalFormatting sqref="AU82">
    <cfRule type="cellIs" dxfId="0" priority="1607" operator="lessThan">
      <formula>20</formula>
    </cfRule>
    <cfRule type="cellIs" dxfId="1" priority="1046" operator="greaterThan">
      <formula>120</formula>
    </cfRule>
    <cfRule type="containsText" dxfId="2" priority="485" operator="between" text="库存为">
      <formula>NOT(ISERROR(SEARCH("库存为",AU82)))</formula>
    </cfRule>
  </conditionalFormatting>
  <conditionalFormatting sqref="AU83">
    <cfRule type="cellIs" dxfId="0" priority="1606" operator="lessThan">
      <formula>20</formula>
    </cfRule>
    <cfRule type="cellIs" dxfId="1" priority="1045" operator="greaterThan">
      <formula>120</formula>
    </cfRule>
    <cfRule type="containsText" dxfId="2" priority="484" operator="between" text="库存为">
      <formula>NOT(ISERROR(SEARCH("库存为",AU83)))</formula>
    </cfRule>
  </conditionalFormatting>
  <conditionalFormatting sqref="AU84">
    <cfRule type="cellIs" dxfId="0" priority="1605" operator="lessThan">
      <formula>20</formula>
    </cfRule>
    <cfRule type="cellIs" dxfId="1" priority="1044" operator="greaterThan">
      <formula>120</formula>
    </cfRule>
    <cfRule type="containsText" dxfId="2" priority="483" operator="between" text="库存为">
      <formula>NOT(ISERROR(SEARCH("库存为",AU84)))</formula>
    </cfRule>
  </conditionalFormatting>
  <conditionalFormatting sqref="AU85">
    <cfRule type="cellIs" dxfId="0" priority="1604" operator="lessThan">
      <formula>20</formula>
    </cfRule>
    <cfRule type="cellIs" dxfId="1" priority="1043" operator="greaterThan">
      <formula>120</formula>
    </cfRule>
    <cfRule type="containsText" dxfId="2" priority="482" operator="between" text="库存为">
      <formula>NOT(ISERROR(SEARCH("库存为",AU85)))</formula>
    </cfRule>
  </conditionalFormatting>
  <conditionalFormatting sqref="AU86">
    <cfRule type="cellIs" dxfId="0" priority="1603" operator="lessThan">
      <formula>20</formula>
    </cfRule>
    <cfRule type="cellIs" dxfId="1" priority="1042" operator="greaterThan">
      <formula>120</formula>
    </cfRule>
    <cfRule type="containsText" dxfId="2" priority="481" operator="between" text="库存为">
      <formula>NOT(ISERROR(SEARCH("库存为",AU86)))</formula>
    </cfRule>
  </conditionalFormatting>
  <conditionalFormatting sqref="AU87">
    <cfRule type="cellIs" dxfId="0" priority="1602" operator="lessThan">
      <formula>20</formula>
    </cfRule>
    <cfRule type="cellIs" dxfId="1" priority="1041" operator="greaterThan">
      <formula>120</formula>
    </cfRule>
    <cfRule type="containsText" dxfId="2" priority="480" operator="between" text="库存为">
      <formula>NOT(ISERROR(SEARCH("库存为",AU87)))</formula>
    </cfRule>
  </conditionalFormatting>
  <conditionalFormatting sqref="AU88">
    <cfRule type="cellIs" dxfId="0" priority="1601" operator="lessThan">
      <formula>20</formula>
    </cfRule>
    <cfRule type="cellIs" dxfId="1" priority="1040" operator="greaterThan">
      <formula>120</formula>
    </cfRule>
    <cfRule type="containsText" dxfId="2" priority="479" operator="between" text="库存为">
      <formula>NOT(ISERROR(SEARCH("库存为",AU88)))</formula>
    </cfRule>
  </conditionalFormatting>
  <conditionalFormatting sqref="AU89">
    <cfRule type="cellIs" dxfId="0" priority="1600" operator="lessThan">
      <formula>20</formula>
    </cfRule>
    <cfRule type="cellIs" dxfId="1" priority="1039" operator="greaterThan">
      <formula>120</formula>
    </cfRule>
    <cfRule type="containsText" dxfId="2" priority="478" operator="between" text="库存为">
      <formula>NOT(ISERROR(SEARCH("库存为",AU89)))</formula>
    </cfRule>
  </conditionalFormatting>
  <conditionalFormatting sqref="AU90">
    <cfRule type="cellIs" dxfId="0" priority="1599" operator="lessThan">
      <formula>20</formula>
    </cfRule>
    <cfRule type="cellIs" dxfId="1" priority="1038" operator="greaterThan">
      <formula>120</formula>
    </cfRule>
    <cfRule type="containsText" dxfId="2" priority="477" operator="between" text="库存为">
      <formula>NOT(ISERROR(SEARCH("库存为",AU90)))</formula>
    </cfRule>
  </conditionalFormatting>
  <conditionalFormatting sqref="AU91">
    <cfRule type="cellIs" dxfId="0" priority="1598" operator="lessThan">
      <formula>20</formula>
    </cfRule>
    <cfRule type="cellIs" dxfId="1" priority="1037" operator="greaterThan">
      <formula>120</formula>
    </cfRule>
    <cfRule type="containsText" dxfId="2" priority="476" operator="between" text="库存为">
      <formula>NOT(ISERROR(SEARCH("库存为",AU91)))</formula>
    </cfRule>
  </conditionalFormatting>
  <conditionalFormatting sqref="AU92">
    <cfRule type="cellIs" dxfId="0" priority="1597" operator="lessThan">
      <formula>20</formula>
    </cfRule>
    <cfRule type="cellIs" dxfId="1" priority="1036" operator="greaterThan">
      <formula>120</formula>
    </cfRule>
    <cfRule type="containsText" dxfId="2" priority="475" operator="between" text="库存为">
      <formula>NOT(ISERROR(SEARCH("库存为",AU92)))</formula>
    </cfRule>
  </conditionalFormatting>
  <conditionalFormatting sqref="AU93">
    <cfRule type="cellIs" dxfId="0" priority="1596" operator="lessThan">
      <formula>20</formula>
    </cfRule>
    <cfRule type="cellIs" dxfId="1" priority="1035" operator="greaterThan">
      <formula>120</formula>
    </cfRule>
    <cfRule type="containsText" dxfId="2" priority="474" operator="between" text="库存为">
      <formula>NOT(ISERROR(SEARCH("库存为",AU93)))</formula>
    </cfRule>
  </conditionalFormatting>
  <conditionalFormatting sqref="AU94">
    <cfRule type="cellIs" dxfId="0" priority="1595" operator="lessThan">
      <formula>20</formula>
    </cfRule>
    <cfRule type="cellIs" dxfId="1" priority="1034" operator="greaterThan">
      <formula>120</formula>
    </cfRule>
    <cfRule type="containsText" dxfId="2" priority="473" operator="between" text="库存为">
      <formula>NOT(ISERROR(SEARCH("库存为",AU94)))</formula>
    </cfRule>
  </conditionalFormatting>
  <conditionalFormatting sqref="AU95">
    <cfRule type="cellIs" dxfId="0" priority="1594" operator="lessThan">
      <formula>20</formula>
    </cfRule>
    <cfRule type="cellIs" dxfId="1" priority="1033" operator="greaterThan">
      <formula>120</formula>
    </cfRule>
    <cfRule type="containsText" dxfId="2" priority="472" operator="between" text="库存为">
      <formula>NOT(ISERROR(SEARCH("库存为",AU95)))</formula>
    </cfRule>
  </conditionalFormatting>
  <conditionalFormatting sqref="AU96">
    <cfRule type="cellIs" dxfId="0" priority="1593" operator="lessThan">
      <formula>20</formula>
    </cfRule>
    <cfRule type="cellIs" dxfId="1" priority="1032" operator="greaterThan">
      <formula>120</formula>
    </cfRule>
    <cfRule type="containsText" dxfId="2" priority="471" operator="between" text="库存为">
      <formula>NOT(ISERROR(SEARCH("库存为",AU96)))</formula>
    </cfRule>
  </conditionalFormatting>
  <conditionalFormatting sqref="AU97">
    <cfRule type="cellIs" dxfId="0" priority="1592" operator="lessThan">
      <formula>20</formula>
    </cfRule>
    <cfRule type="cellIs" dxfId="1" priority="1031" operator="greaterThan">
      <formula>120</formula>
    </cfRule>
    <cfRule type="containsText" dxfId="2" priority="470" operator="between" text="库存为">
      <formula>NOT(ISERROR(SEARCH("库存为",AU97)))</formula>
    </cfRule>
  </conditionalFormatting>
  <conditionalFormatting sqref="AU98">
    <cfRule type="cellIs" dxfId="0" priority="1591" operator="lessThan">
      <formula>20</formula>
    </cfRule>
    <cfRule type="cellIs" dxfId="1" priority="1030" operator="greaterThan">
      <formula>120</formula>
    </cfRule>
    <cfRule type="containsText" dxfId="2" priority="469" operator="between" text="库存为">
      <formula>NOT(ISERROR(SEARCH("库存为",AU98)))</formula>
    </cfRule>
  </conditionalFormatting>
  <conditionalFormatting sqref="AU99">
    <cfRule type="cellIs" dxfId="0" priority="1590" operator="lessThan">
      <formula>20</formula>
    </cfRule>
    <cfRule type="cellIs" dxfId="1" priority="1029" operator="greaterThan">
      <formula>120</formula>
    </cfRule>
    <cfRule type="containsText" dxfId="2" priority="468" operator="between" text="库存为">
      <formula>NOT(ISERROR(SEARCH("库存为",AU99)))</formula>
    </cfRule>
  </conditionalFormatting>
  <conditionalFormatting sqref="AU100">
    <cfRule type="cellIs" dxfId="0" priority="1589" operator="lessThan">
      <formula>20</formula>
    </cfRule>
    <cfRule type="cellIs" dxfId="1" priority="1028" operator="greaterThan">
      <formula>120</formula>
    </cfRule>
    <cfRule type="containsText" dxfId="2" priority="467" operator="between" text="库存为">
      <formula>NOT(ISERROR(SEARCH("库存为",AU100)))</formula>
    </cfRule>
  </conditionalFormatting>
  <conditionalFormatting sqref="AU101">
    <cfRule type="cellIs" dxfId="0" priority="1588" operator="lessThan">
      <formula>20</formula>
    </cfRule>
    <cfRule type="cellIs" dxfId="1" priority="1027" operator="greaterThan">
      <formula>120</formula>
    </cfRule>
    <cfRule type="containsText" dxfId="2" priority="466" operator="between" text="库存为">
      <formula>NOT(ISERROR(SEARCH("库存为",AU101)))</formula>
    </cfRule>
  </conditionalFormatting>
  <conditionalFormatting sqref="AU102">
    <cfRule type="cellIs" dxfId="0" priority="1587" operator="lessThan">
      <formula>20</formula>
    </cfRule>
    <cfRule type="cellIs" dxfId="1" priority="1026" operator="greaterThan">
      <formula>120</formula>
    </cfRule>
    <cfRule type="containsText" dxfId="2" priority="465" operator="between" text="库存为">
      <formula>NOT(ISERROR(SEARCH("库存为",AU102)))</formula>
    </cfRule>
  </conditionalFormatting>
  <conditionalFormatting sqref="AU103">
    <cfRule type="cellIs" dxfId="0" priority="1586" operator="lessThan">
      <formula>20</formula>
    </cfRule>
    <cfRule type="cellIs" dxfId="1" priority="1025" operator="greaterThan">
      <formula>120</formula>
    </cfRule>
    <cfRule type="containsText" dxfId="2" priority="464" operator="between" text="库存为">
      <formula>NOT(ISERROR(SEARCH("库存为",AU103)))</formula>
    </cfRule>
  </conditionalFormatting>
  <conditionalFormatting sqref="AU104">
    <cfRule type="cellIs" dxfId="0" priority="1585" operator="lessThan">
      <formula>20</formula>
    </cfRule>
    <cfRule type="cellIs" dxfId="1" priority="1024" operator="greaterThan">
      <formula>120</formula>
    </cfRule>
    <cfRule type="containsText" dxfId="2" priority="463" operator="between" text="库存为">
      <formula>NOT(ISERROR(SEARCH("库存为",AU104)))</formula>
    </cfRule>
  </conditionalFormatting>
  <conditionalFormatting sqref="AU105">
    <cfRule type="cellIs" dxfId="0" priority="1584" operator="lessThan">
      <formula>20</formula>
    </cfRule>
    <cfRule type="cellIs" dxfId="1" priority="1023" operator="greaterThan">
      <formula>120</formula>
    </cfRule>
    <cfRule type="containsText" dxfId="2" priority="462" operator="between" text="库存为">
      <formula>NOT(ISERROR(SEARCH("库存为",AU105)))</formula>
    </cfRule>
  </conditionalFormatting>
  <conditionalFormatting sqref="AU106">
    <cfRule type="cellIs" dxfId="0" priority="1583" operator="lessThan">
      <formula>20</formula>
    </cfRule>
    <cfRule type="cellIs" dxfId="1" priority="1022" operator="greaterThan">
      <formula>120</formula>
    </cfRule>
    <cfRule type="containsText" dxfId="2" priority="461" operator="between" text="库存为">
      <formula>NOT(ISERROR(SEARCH("库存为",AU106)))</formula>
    </cfRule>
  </conditionalFormatting>
  <conditionalFormatting sqref="AU107">
    <cfRule type="cellIs" dxfId="0" priority="1582" operator="lessThan">
      <formula>20</formula>
    </cfRule>
    <cfRule type="cellIs" dxfId="1" priority="1021" operator="greaterThan">
      <formula>120</formula>
    </cfRule>
    <cfRule type="containsText" dxfId="2" priority="460" operator="between" text="库存为">
      <formula>NOT(ISERROR(SEARCH("库存为",AU107)))</formula>
    </cfRule>
  </conditionalFormatting>
  <conditionalFormatting sqref="AU108">
    <cfRule type="cellIs" dxfId="0" priority="1581" operator="lessThan">
      <formula>20</formula>
    </cfRule>
    <cfRule type="cellIs" dxfId="1" priority="1020" operator="greaterThan">
      <formula>120</formula>
    </cfRule>
    <cfRule type="containsText" dxfId="2" priority="459" operator="between" text="库存为">
      <formula>NOT(ISERROR(SEARCH("库存为",AU108)))</formula>
    </cfRule>
  </conditionalFormatting>
  <conditionalFormatting sqref="AU109">
    <cfRule type="cellIs" dxfId="0" priority="1580" operator="lessThan">
      <formula>20</formula>
    </cfRule>
    <cfRule type="cellIs" dxfId="1" priority="1019" operator="greaterThan">
      <formula>120</formula>
    </cfRule>
    <cfRule type="containsText" dxfId="2" priority="458" operator="between" text="库存为">
      <formula>NOT(ISERROR(SEARCH("库存为",AU109)))</formula>
    </cfRule>
  </conditionalFormatting>
  <conditionalFormatting sqref="AU110">
    <cfRule type="cellIs" dxfId="0" priority="1579" operator="lessThan">
      <formula>20</formula>
    </cfRule>
    <cfRule type="cellIs" dxfId="1" priority="1018" operator="greaterThan">
      <formula>120</formula>
    </cfRule>
    <cfRule type="containsText" dxfId="2" priority="457" operator="between" text="库存为">
      <formula>NOT(ISERROR(SEARCH("库存为",AU110)))</formula>
    </cfRule>
  </conditionalFormatting>
  <conditionalFormatting sqref="AU111">
    <cfRule type="cellIs" dxfId="0" priority="1578" operator="lessThan">
      <formula>20</formula>
    </cfRule>
    <cfRule type="cellIs" dxfId="1" priority="1017" operator="greaterThan">
      <formula>120</formula>
    </cfRule>
    <cfRule type="containsText" dxfId="2" priority="456" operator="between" text="库存为">
      <formula>NOT(ISERROR(SEARCH("库存为",AU111)))</formula>
    </cfRule>
  </conditionalFormatting>
  <conditionalFormatting sqref="AU112">
    <cfRule type="cellIs" dxfId="0" priority="1577" operator="lessThan">
      <formula>20</formula>
    </cfRule>
    <cfRule type="cellIs" dxfId="1" priority="1016" operator="greaterThan">
      <formula>120</formula>
    </cfRule>
    <cfRule type="containsText" dxfId="2" priority="455" operator="between" text="库存为">
      <formula>NOT(ISERROR(SEARCH("库存为",AU112)))</formula>
    </cfRule>
  </conditionalFormatting>
  <conditionalFormatting sqref="AU113">
    <cfRule type="cellIs" dxfId="0" priority="1576" operator="lessThan">
      <formula>20</formula>
    </cfRule>
    <cfRule type="cellIs" dxfId="1" priority="1015" operator="greaterThan">
      <formula>120</formula>
    </cfRule>
    <cfRule type="containsText" dxfId="2" priority="454" operator="between" text="库存为">
      <formula>NOT(ISERROR(SEARCH("库存为",AU113)))</formula>
    </cfRule>
  </conditionalFormatting>
  <conditionalFormatting sqref="AU114">
    <cfRule type="cellIs" dxfId="0" priority="1575" operator="lessThan">
      <formula>20</formula>
    </cfRule>
    <cfRule type="cellIs" dxfId="1" priority="1014" operator="greaterThan">
      <formula>120</formula>
    </cfRule>
    <cfRule type="containsText" dxfId="2" priority="453" operator="between" text="库存为">
      <formula>NOT(ISERROR(SEARCH("库存为",AU114)))</formula>
    </cfRule>
  </conditionalFormatting>
  <conditionalFormatting sqref="AU115">
    <cfRule type="cellIs" dxfId="0" priority="1574" operator="lessThan">
      <formula>20</formula>
    </cfRule>
    <cfRule type="cellIs" dxfId="1" priority="1013" operator="greaterThan">
      <formula>120</formula>
    </cfRule>
    <cfRule type="containsText" dxfId="2" priority="452" operator="between" text="库存为">
      <formula>NOT(ISERROR(SEARCH("库存为",AU115)))</formula>
    </cfRule>
  </conditionalFormatting>
  <conditionalFormatting sqref="AU116">
    <cfRule type="cellIs" dxfId="0" priority="1573" operator="lessThan">
      <formula>20</formula>
    </cfRule>
    <cfRule type="cellIs" dxfId="1" priority="1012" operator="greaterThan">
      <formula>120</formula>
    </cfRule>
    <cfRule type="containsText" dxfId="2" priority="451" operator="between" text="库存为">
      <formula>NOT(ISERROR(SEARCH("库存为",AU116)))</formula>
    </cfRule>
  </conditionalFormatting>
  <conditionalFormatting sqref="AU117">
    <cfRule type="cellIs" dxfId="0" priority="1572" operator="lessThan">
      <formula>20</formula>
    </cfRule>
    <cfRule type="cellIs" dxfId="1" priority="1011" operator="greaterThan">
      <formula>120</formula>
    </cfRule>
    <cfRule type="containsText" dxfId="2" priority="450" operator="between" text="库存为">
      <formula>NOT(ISERROR(SEARCH("库存为",AU117)))</formula>
    </cfRule>
  </conditionalFormatting>
  <conditionalFormatting sqref="AU118">
    <cfRule type="cellIs" dxfId="0" priority="1571" operator="lessThan">
      <formula>20</formula>
    </cfRule>
    <cfRule type="cellIs" dxfId="1" priority="1010" operator="greaterThan">
      <formula>120</formula>
    </cfRule>
    <cfRule type="containsText" dxfId="2" priority="449" operator="between" text="库存为">
      <formula>NOT(ISERROR(SEARCH("库存为",AU118)))</formula>
    </cfRule>
  </conditionalFormatting>
  <conditionalFormatting sqref="AU119">
    <cfRule type="cellIs" dxfId="0" priority="1570" operator="lessThan">
      <formula>20</formula>
    </cfRule>
    <cfRule type="cellIs" dxfId="1" priority="1009" operator="greaterThan">
      <formula>120</formula>
    </cfRule>
    <cfRule type="containsText" dxfId="2" priority="448" operator="between" text="库存为">
      <formula>NOT(ISERROR(SEARCH("库存为",AU119)))</formula>
    </cfRule>
  </conditionalFormatting>
  <conditionalFormatting sqref="AU120">
    <cfRule type="cellIs" dxfId="0" priority="1569" operator="lessThan">
      <formula>20</formula>
    </cfRule>
    <cfRule type="cellIs" dxfId="1" priority="1008" operator="greaterThan">
      <formula>120</formula>
    </cfRule>
    <cfRule type="containsText" dxfId="2" priority="447" operator="between" text="库存为">
      <formula>NOT(ISERROR(SEARCH("库存为",AU120)))</formula>
    </cfRule>
  </conditionalFormatting>
  <conditionalFormatting sqref="AU121">
    <cfRule type="cellIs" dxfId="0" priority="1568" operator="lessThan">
      <formula>20</formula>
    </cfRule>
    <cfRule type="cellIs" dxfId="1" priority="1007" operator="greaterThan">
      <formula>120</formula>
    </cfRule>
    <cfRule type="containsText" dxfId="2" priority="446" operator="between" text="库存为">
      <formula>NOT(ISERROR(SEARCH("库存为",AU121)))</formula>
    </cfRule>
  </conditionalFormatting>
  <conditionalFormatting sqref="AU122">
    <cfRule type="cellIs" dxfId="0" priority="1567" operator="lessThan">
      <formula>20</formula>
    </cfRule>
    <cfRule type="cellIs" dxfId="1" priority="1006" operator="greaterThan">
      <formula>120</formula>
    </cfRule>
    <cfRule type="containsText" dxfId="2" priority="445" operator="between" text="库存为">
      <formula>NOT(ISERROR(SEARCH("库存为",AU122)))</formula>
    </cfRule>
  </conditionalFormatting>
  <conditionalFormatting sqref="AU123">
    <cfRule type="cellIs" dxfId="0" priority="1566" operator="lessThan">
      <formula>20</formula>
    </cfRule>
    <cfRule type="cellIs" dxfId="1" priority="1005" operator="greaterThan">
      <formula>120</formula>
    </cfRule>
    <cfRule type="containsText" dxfId="2" priority="444" operator="between" text="库存为">
      <formula>NOT(ISERROR(SEARCH("库存为",AU123)))</formula>
    </cfRule>
  </conditionalFormatting>
  <conditionalFormatting sqref="AU124">
    <cfRule type="cellIs" dxfId="0" priority="1565" operator="lessThan">
      <formula>20</formula>
    </cfRule>
    <cfRule type="cellIs" dxfId="1" priority="1004" operator="greaterThan">
      <formula>120</formula>
    </cfRule>
    <cfRule type="containsText" dxfId="2" priority="443" operator="between" text="库存为">
      <formula>NOT(ISERROR(SEARCH("库存为",AU124)))</formula>
    </cfRule>
  </conditionalFormatting>
  <conditionalFormatting sqref="AU125">
    <cfRule type="cellIs" dxfId="0" priority="1564" operator="lessThan">
      <formula>20</formula>
    </cfRule>
    <cfRule type="cellIs" dxfId="1" priority="1003" operator="greaterThan">
      <formula>120</formula>
    </cfRule>
    <cfRule type="containsText" dxfId="2" priority="442" operator="between" text="库存为">
      <formula>NOT(ISERROR(SEARCH("库存为",AU125)))</formula>
    </cfRule>
  </conditionalFormatting>
  <conditionalFormatting sqref="AU126">
    <cfRule type="cellIs" dxfId="0" priority="1563" operator="lessThan">
      <formula>20</formula>
    </cfRule>
    <cfRule type="cellIs" dxfId="1" priority="1002" operator="greaterThan">
      <formula>120</formula>
    </cfRule>
    <cfRule type="containsText" dxfId="2" priority="441" operator="between" text="库存为">
      <formula>NOT(ISERROR(SEARCH("库存为",AU126)))</formula>
    </cfRule>
  </conditionalFormatting>
  <conditionalFormatting sqref="AU127">
    <cfRule type="cellIs" dxfId="0" priority="1562" operator="lessThan">
      <formula>20</formula>
    </cfRule>
    <cfRule type="cellIs" dxfId="1" priority="1001" operator="greaterThan">
      <formula>120</formula>
    </cfRule>
    <cfRule type="containsText" dxfId="2" priority="440" operator="between" text="库存为">
      <formula>NOT(ISERROR(SEARCH("库存为",AU127)))</formula>
    </cfRule>
  </conditionalFormatting>
  <conditionalFormatting sqref="AU128">
    <cfRule type="cellIs" dxfId="0" priority="1561" operator="lessThan">
      <formula>20</formula>
    </cfRule>
    <cfRule type="cellIs" dxfId="1" priority="1000" operator="greaterThan">
      <formula>120</formula>
    </cfRule>
    <cfRule type="containsText" dxfId="2" priority="439" operator="between" text="库存为">
      <formula>NOT(ISERROR(SEARCH("库存为",AU128)))</formula>
    </cfRule>
  </conditionalFormatting>
  <conditionalFormatting sqref="AU129">
    <cfRule type="cellIs" dxfId="0" priority="1560" operator="lessThan">
      <formula>20</formula>
    </cfRule>
    <cfRule type="cellIs" dxfId="1" priority="999" operator="greaterThan">
      <formula>120</formula>
    </cfRule>
    <cfRule type="containsText" dxfId="2" priority="438" operator="between" text="库存为">
      <formula>NOT(ISERROR(SEARCH("库存为",AU129)))</formula>
    </cfRule>
  </conditionalFormatting>
  <conditionalFormatting sqref="AU130">
    <cfRule type="cellIs" dxfId="0" priority="1559" operator="lessThan">
      <formula>20</formula>
    </cfRule>
    <cfRule type="cellIs" dxfId="1" priority="998" operator="greaterThan">
      <formula>120</formula>
    </cfRule>
    <cfRule type="containsText" dxfId="2" priority="437" operator="between" text="库存为">
      <formula>NOT(ISERROR(SEARCH("库存为",AU130)))</formula>
    </cfRule>
  </conditionalFormatting>
  <conditionalFormatting sqref="AU131">
    <cfRule type="cellIs" dxfId="0" priority="1558" operator="lessThan">
      <formula>20</formula>
    </cfRule>
    <cfRule type="cellIs" dxfId="1" priority="997" operator="greaterThan">
      <formula>120</formula>
    </cfRule>
    <cfRule type="containsText" dxfId="2" priority="436" operator="between" text="库存为">
      <formula>NOT(ISERROR(SEARCH("库存为",AU131)))</formula>
    </cfRule>
  </conditionalFormatting>
  <conditionalFormatting sqref="AU132">
    <cfRule type="cellIs" dxfId="0" priority="1557" operator="lessThan">
      <formula>20</formula>
    </cfRule>
    <cfRule type="cellIs" dxfId="1" priority="996" operator="greaterThan">
      <formula>120</formula>
    </cfRule>
    <cfRule type="containsText" dxfId="2" priority="435" operator="between" text="库存为">
      <formula>NOT(ISERROR(SEARCH("库存为",AU132)))</formula>
    </cfRule>
  </conditionalFormatting>
  <conditionalFormatting sqref="AU133">
    <cfRule type="cellIs" dxfId="0" priority="1556" operator="lessThan">
      <formula>20</formula>
    </cfRule>
    <cfRule type="cellIs" dxfId="1" priority="995" operator="greaterThan">
      <formula>120</formula>
    </cfRule>
    <cfRule type="containsText" dxfId="2" priority="434" operator="between" text="库存为">
      <formula>NOT(ISERROR(SEARCH("库存为",AU133)))</formula>
    </cfRule>
  </conditionalFormatting>
  <conditionalFormatting sqref="AU134">
    <cfRule type="cellIs" dxfId="0" priority="1555" operator="lessThan">
      <formula>20</formula>
    </cfRule>
    <cfRule type="cellIs" dxfId="1" priority="994" operator="greaterThan">
      <formula>120</formula>
    </cfRule>
    <cfRule type="containsText" dxfId="2" priority="433" operator="between" text="库存为">
      <formula>NOT(ISERROR(SEARCH("库存为",AU134)))</formula>
    </cfRule>
  </conditionalFormatting>
  <conditionalFormatting sqref="AU135">
    <cfRule type="cellIs" dxfId="0" priority="1554" operator="lessThan">
      <formula>20</formula>
    </cfRule>
    <cfRule type="cellIs" dxfId="1" priority="993" operator="greaterThan">
      <formula>120</formula>
    </cfRule>
    <cfRule type="containsText" dxfId="2" priority="432" operator="between" text="库存为">
      <formula>NOT(ISERROR(SEARCH("库存为",AU135)))</formula>
    </cfRule>
  </conditionalFormatting>
  <conditionalFormatting sqref="AU136">
    <cfRule type="cellIs" dxfId="0" priority="1553" operator="lessThan">
      <formula>20</formula>
    </cfRule>
    <cfRule type="cellIs" dxfId="1" priority="992" operator="greaterThan">
      <formula>120</formula>
    </cfRule>
    <cfRule type="containsText" dxfId="2" priority="431" operator="between" text="库存为">
      <formula>NOT(ISERROR(SEARCH("库存为",AU136)))</formula>
    </cfRule>
  </conditionalFormatting>
  <conditionalFormatting sqref="AU137">
    <cfRule type="cellIs" dxfId="0" priority="1552" operator="lessThan">
      <formula>20</formula>
    </cfRule>
    <cfRule type="cellIs" dxfId="1" priority="991" operator="greaterThan">
      <formula>120</formula>
    </cfRule>
    <cfRule type="containsText" dxfId="2" priority="430" operator="between" text="库存为">
      <formula>NOT(ISERROR(SEARCH("库存为",AU137)))</formula>
    </cfRule>
  </conditionalFormatting>
  <conditionalFormatting sqref="AU138">
    <cfRule type="cellIs" dxfId="0" priority="1551" operator="lessThan">
      <formula>20</formula>
    </cfRule>
    <cfRule type="cellIs" dxfId="1" priority="990" operator="greaterThan">
      <formula>120</formula>
    </cfRule>
    <cfRule type="containsText" dxfId="2" priority="429" operator="between" text="库存为">
      <formula>NOT(ISERROR(SEARCH("库存为",AU138)))</formula>
    </cfRule>
  </conditionalFormatting>
  <conditionalFormatting sqref="AU139">
    <cfRule type="cellIs" dxfId="0" priority="1550" operator="lessThan">
      <formula>20</formula>
    </cfRule>
    <cfRule type="cellIs" dxfId="1" priority="989" operator="greaterThan">
      <formula>120</formula>
    </cfRule>
    <cfRule type="containsText" dxfId="2" priority="428" operator="between" text="库存为">
      <formula>NOT(ISERROR(SEARCH("库存为",AU139)))</formula>
    </cfRule>
  </conditionalFormatting>
  <conditionalFormatting sqref="AU140">
    <cfRule type="cellIs" dxfId="0" priority="1549" operator="lessThan">
      <formula>20</formula>
    </cfRule>
    <cfRule type="cellIs" dxfId="1" priority="988" operator="greaterThan">
      <formula>120</formula>
    </cfRule>
    <cfRule type="containsText" dxfId="2" priority="427" operator="between" text="库存为">
      <formula>NOT(ISERROR(SEARCH("库存为",AU140)))</formula>
    </cfRule>
  </conditionalFormatting>
  <conditionalFormatting sqref="AU141">
    <cfRule type="cellIs" dxfId="0" priority="1548" operator="lessThan">
      <formula>20</formula>
    </cfRule>
    <cfRule type="cellIs" dxfId="1" priority="987" operator="greaterThan">
      <formula>120</formula>
    </cfRule>
    <cfRule type="containsText" dxfId="2" priority="426" operator="between" text="库存为">
      <formula>NOT(ISERROR(SEARCH("库存为",AU141)))</formula>
    </cfRule>
  </conditionalFormatting>
  <conditionalFormatting sqref="AU142">
    <cfRule type="cellIs" dxfId="0" priority="1547" operator="lessThan">
      <formula>20</formula>
    </cfRule>
    <cfRule type="cellIs" dxfId="1" priority="986" operator="greaterThan">
      <formula>120</formula>
    </cfRule>
    <cfRule type="containsText" dxfId="2" priority="425" operator="between" text="库存为">
      <formula>NOT(ISERROR(SEARCH("库存为",AU142)))</formula>
    </cfRule>
  </conditionalFormatting>
  <conditionalFormatting sqref="AU143">
    <cfRule type="cellIs" dxfId="0" priority="1546" operator="lessThan">
      <formula>20</formula>
    </cfRule>
    <cfRule type="cellIs" dxfId="1" priority="985" operator="greaterThan">
      <formula>120</formula>
    </cfRule>
    <cfRule type="containsText" dxfId="2" priority="424" operator="between" text="库存为">
      <formula>NOT(ISERROR(SEARCH("库存为",AU143)))</formula>
    </cfRule>
  </conditionalFormatting>
  <conditionalFormatting sqref="AU144">
    <cfRule type="cellIs" dxfId="0" priority="1545" operator="lessThan">
      <formula>20</formula>
    </cfRule>
    <cfRule type="cellIs" dxfId="1" priority="984" operator="greaterThan">
      <formula>120</formula>
    </cfRule>
    <cfRule type="containsText" dxfId="2" priority="423" operator="between" text="库存为">
      <formula>NOT(ISERROR(SEARCH("库存为",AU144)))</formula>
    </cfRule>
  </conditionalFormatting>
  <conditionalFormatting sqref="AU145">
    <cfRule type="cellIs" dxfId="0" priority="1544" operator="lessThan">
      <formula>20</formula>
    </cfRule>
    <cfRule type="cellIs" dxfId="1" priority="983" operator="greaterThan">
      <formula>120</formula>
    </cfRule>
    <cfRule type="containsText" dxfId="2" priority="422" operator="between" text="库存为">
      <formula>NOT(ISERROR(SEARCH("库存为",AU145)))</formula>
    </cfRule>
  </conditionalFormatting>
  <conditionalFormatting sqref="AU146">
    <cfRule type="cellIs" dxfId="0" priority="1543" operator="lessThan">
      <formula>20</formula>
    </cfRule>
    <cfRule type="cellIs" dxfId="1" priority="982" operator="greaterThan">
      <formula>120</formula>
    </cfRule>
    <cfRule type="containsText" dxfId="2" priority="421" operator="between" text="库存为">
      <formula>NOT(ISERROR(SEARCH("库存为",AU146)))</formula>
    </cfRule>
  </conditionalFormatting>
  <conditionalFormatting sqref="AU147">
    <cfRule type="cellIs" dxfId="0" priority="1542" operator="lessThan">
      <formula>20</formula>
    </cfRule>
    <cfRule type="cellIs" dxfId="1" priority="981" operator="greaterThan">
      <formula>120</formula>
    </cfRule>
    <cfRule type="containsText" dxfId="2" priority="420" operator="between" text="库存为">
      <formula>NOT(ISERROR(SEARCH("库存为",AU147)))</formula>
    </cfRule>
  </conditionalFormatting>
  <conditionalFormatting sqref="AU148">
    <cfRule type="cellIs" dxfId="0" priority="1541" operator="lessThan">
      <formula>20</formula>
    </cfRule>
    <cfRule type="cellIs" dxfId="1" priority="980" operator="greaterThan">
      <formula>120</formula>
    </cfRule>
    <cfRule type="containsText" dxfId="2" priority="419" operator="between" text="库存为">
      <formula>NOT(ISERROR(SEARCH("库存为",AU148)))</formula>
    </cfRule>
  </conditionalFormatting>
  <conditionalFormatting sqref="AU149">
    <cfRule type="cellIs" dxfId="0" priority="1540" operator="lessThan">
      <formula>20</formula>
    </cfRule>
    <cfRule type="cellIs" dxfId="1" priority="979" operator="greaterThan">
      <formula>120</formula>
    </cfRule>
    <cfRule type="containsText" dxfId="2" priority="418" operator="between" text="库存为">
      <formula>NOT(ISERROR(SEARCH("库存为",AU149)))</formula>
    </cfRule>
  </conditionalFormatting>
  <conditionalFormatting sqref="AU150">
    <cfRule type="cellIs" dxfId="0" priority="1539" operator="lessThan">
      <formula>20</formula>
    </cfRule>
    <cfRule type="cellIs" dxfId="1" priority="978" operator="greaterThan">
      <formula>120</formula>
    </cfRule>
    <cfRule type="containsText" dxfId="2" priority="417" operator="between" text="库存为">
      <formula>NOT(ISERROR(SEARCH("库存为",AU150)))</formula>
    </cfRule>
  </conditionalFormatting>
  <conditionalFormatting sqref="AU151">
    <cfRule type="cellIs" dxfId="0" priority="1538" operator="lessThan">
      <formula>20</formula>
    </cfRule>
    <cfRule type="cellIs" dxfId="1" priority="977" operator="greaterThan">
      <formula>120</formula>
    </cfRule>
    <cfRule type="containsText" dxfId="2" priority="416" operator="between" text="库存为">
      <formula>NOT(ISERROR(SEARCH("库存为",AU151)))</formula>
    </cfRule>
  </conditionalFormatting>
  <conditionalFormatting sqref="AU152">
    <cfRule type="cellIs" dxfId="0" priority="1537" operator="lessThan">
      <formula>20</formula>
    </cfRule>
    <cfRule type="cellIs" dxfId="1" priority="976" operator="greaterThan">
      <formula>120</formula>
    </cfRule>
    <cfRule type="containsText" dxfId="2" priority="415" operator="between" text="库存为">
      <formula>NOT(ISERROR(SEARCH("库存为",AU152)))</formula>
    </cfRule>
  </conditionalFormatting>
  <conditionalFormatting sqref="AU153">
    <cfRule type="cellIs" dxfId="0" priority="1536" operator="lessThan">
      <formula>20</formula>
    </cfRule>
    <cfRule type="cellIs" dxfId="1" priority="975" operator="greaterThan">
      <formula>120</formula>
    </cfRule>
    <cfRule type="containsText" dxfId="2" priority="414" operator="between" text="库存为">
      <formula>NOT(ISERROR(SEARCH("库存为",AU153)))</formula>
    </cfRule>
  </conditionalFormatting>
  <conditionalFormatting sqref="AU154">
    <cfRule type="cellIs" dxfId="0" priority="1535" operator="lessThan">
      <formula>20</formula>
    </cfRule>
    <cfRule type="cellIs" dxfId="1" priority="974" operator="greaterThan">
      <formula>120</formula>
    </cfRule>
    <cfRule type="containsText" dxfId="2" priority="413" operator="between" text="库存为">
      <formula>NOT(ISERROR(SEARCH("库存为",AU154)))</formula>
    </cfRule>
  </conditionalFormatting>
  <conditionalFormatting sqref="AU155">
    <cfRule type="cellIs" dxfId="0" priority="1534" operator="lessThan">
      <formula>20</formula>
    </cfRule>
    <cfRule type="cellIs" dxfId="1" priority="973" operator="greaterThan">
      <formula>120</formula>
    </cfRule>
    <cfRule type="containsText" dxfId="2" priority="412" operator="between" text="库存为">
      <formula>NOT(ISERROR(SEARCH("库存为",AU155)))</formula>
    </cfRule>
  </conditionalFormatting>
  <conditionalFormatting sqref="AU156">
    <cfRule type="cellIs" dxfId="0" priority="1533" operator="lessThan">
      <formula>20</formula>
    </cfRule>
    <cfRule type="cellIs" dxfId="1" priority="972" operator="greaterThan">
      <formula>120</formula>
    </cfRule>
    <cfRule type="containsText" dxfId="2" priority="411" operator="between" text="库存为">
      <formula>NOT(ISERROR(SEARCH("库存为",AU156)))</formula>
    </cfRule>
  </conditionalFormatting>
  <conditionalFormatting sqref="AU157">
    <cfRule type="cellIs" dxfId="0" priority="1532" operator="lessThan">
      <formula>20</formula>
    </cfRule>
    <cfRule type="cellIs" dxfId="1" priority="971" operator="greaterThan">
      <formula>120</formula>
    </cfRule>
    <cfRule type="containsText" dxfId="2" priority="410" operator="between" text="库存为">
      <formula>NOT(ISERROR(SEARCH("库存为",AU157)))</formula>
    </cfRule>
  </conditionalFormatting>
  <conditionalFormatting sqref="AU158">
    <cfRule type="cellIs" dxfId="0" priority="1531" operator="lessThan">
      <formula>20</formula>
    </cfRule>
    <cfRule type="cellIs" dxfId="1" priority="970" operator="greaterThan">
      <formula>120</formula>
    </cfRule>
    <cfRule type="containsText" dxfId="2" priority="409" operator="between" text="库存为">
      <formula>NOT(ISERROR(SEARCH("库存为",AU158)))</formula>
    </cfRule>
  </conditionalFormatting>
  <conditionalFormatting sqref="AU159">
    <cfRule type="cellIs" dxfId="0" priority="1530" operator="lessThan">
      <formula>20</formula>
    </cfRule>
    <cfRule type="cellIs" dxfId="1" priority="969" operator="greaterThan">
      <formula>120</formula>
    </cfRule>
    <cfRule type="containsText" dxfId="2" priority="408" operator="between" text="库存为">
      <formula>NOT(ISERROR(SEARCH("库存为",AU159)))</formula>
    </cfRule>
  </conditionalFormatting>
  <conditionalFormatting sqref="AU160">
    <cfRule type="cellIs" dxfId="0" priority="1529" operator="lessThan">
      <formula>20</formula>
    </cfRule>
    <cfRule type="cellIs" dxfId="1" priority="968" operator="greaterThan">
      <formula>120</formula>
    </cfRule>
    <cfRule type="containsText" dxfId="2" priority="407" operator="between" text="库存为">
      <formula>NOT(ISERROR(SEARCH("库存为",AU160)))</formula>
    </cfRule>
  </conditionalFormatting>
  <conditionalFormatting sqref="AU161">
    <cfRule type="cellIs" dxfId="0" priority="1528" operator="lessThan">
      <formula>20</formula>
    </cfRule>
    <cfRule type="cellIs" dxfId="1" priority="967" operator="greaterThan">
      <formula>120</formula>
    </cfRule>
    <cfRule type="containsText" dxfId="2" priority="406" operator="between" text="库存为">
      <formula>NOT(ISERROR(SEARCH("库存为",AU161)))</formula>
    </cfRule>
  </conditionalFormatting>
  <conditionalFormatting sqref="AU162">
    <cfRule type="cellIs" dxfId="0" priority="1527" operator="lessThan">
      <formula>20</formula>
    </cfRule>
    <cfRule type="cellIs" dxfId="1" priority="966" operator="greaterThan">
      <formula>120</formula>
    </cfRule>
    <cfRule type="containsText" dxfId="2" priority="405" operator="between" text="库存为">
      <formula>NOT(ISERROR(SEARCH("库存为",AU162)))</formula>
    </cfRule>
  </conditionalFormatting>
  <conditionalFormatting sqref="AU163">
    <cfRule type="cellIs" dxfId="0" priority="1526" operator="lessThan">
      <formula>20</formula>
    </cfRule>
    <cfRule type="cellIs" dxfId="1" priority="965" operator="greaterThan">
      <formula>120</formula>
    </cfRule>
    <cfRule type="containsText" dxfId="2" priority="404" operator="between" text="库存为">
      <formula>NOT(ISERROR(SEARCH("库存为",AU163)))</formula>
    </cfRule>
  </conditionalFormatting>
  <conditionalFormatting sqref="AU164">
    <cfRule type="cellIs" dxfId="0" priority="1525" operator="lessThan">
      <formula>20</formula>
    </cfRule>
    <cfRule type="cellIs" dxfId="1" priority="964" operator="greaterThan">
      <formula>120</formula>
    </cfRule>
    <cfRule type="containsText" dxfId="2" priority="403" operator="between" text="库存为">
      <formula>NOT(ISERROR(SEARCH("库存为",AU164)))</formula>
    </cfRule>
  </conditionalFormatting>
  <conditionalFormatting sqref="AU165">
    <cfRule type="cellIs" dxfId="0" priority="1524" operator="lessThan">
      <formula>20</formula>
    </cfRule>
    <cfRule type="cellIs" dxfId="1" priority="963" operator="greaterThan">
      <formula>120</formula>
    </cfRule>
    <cfRule type="containsText" dxfId="2" priority="402" operator="between" text="库存为">
      <formula>NOT(ISERROR(SEARCH("库存为",AU165)))</formula>
    </cfRule>
  </conditionalFormatting>
  <conditionalFormatting sqref="AU166">
    <cfRule type="cellIs" dxfId="0" priority="1523" operator="lessThan">
      <formula>20</formula>
    </cfRule>
    <cfRule type="cellIs" dxfId="1" priority="962" operator="greaterThan">
      <formula>120</formula>
    </cfRule>
    <cfRule type="containsText" dxfId="2" priority="401" operator="between" text="库存为">
      <formula>NOT(ISERROR(SEARCH("库存为",AU166)))</formula>
    </cfRule>
  </conditionalFormatting>
  <conditionalFormatting sqref="AU167">
    <cfRule type="cellIs" dxfId="0" priority="1522" operator="lessThan">
      <formula>20</formula>
    </cfRule>
    <cfRule type="cellIs" dxfId="1" priority="961" operator="greaterThan">
      <formula>120</formula>
    </cfRule>
    <cfRule type="containsText" dxfId="2" priority="400" operator="between" text="库存为">
      <formula>NOT(ISERROR(SEARCH("库存为",AU167)))</formula>
    </cfRule>
  </conditionalFormatting>
  <conditionalFormatting sqref="AU168">
    <cfRule type="cellIs" dxfId="0" priority="1521" operator="lessThan">
      <formula>20</formula>
    </cfRule>
    <cfRule type="cellIs" dxfId="1" priority="960" operator="greaterThan">
      <formula>120</formula>
    </cfRule>
    <cfRule type="containsText" dxfId="2" priority="399" operator="between" text="库存为">
      <formula>NOT(ISERROR(SEARCH("库存为",AU168)))</formula>
    </cfRule>
  </conditionalFormatting>
  <conditionalFormatting sqref="AU169">
    <cfRule type="cellIs" dxfId="0" priority="1520" operator="lessThan">
      <formula>20</formula>
    </cfRule>
    <cfRule type="cellIs" dxfId="1" priority="959" operator="greaterThan">
      <formula>120</formula>
    </cfRule>
    <cfRule type="containsText" dxfId="2" priority="398" operator="between" text="库存为">
      <formula>NOT(ISERROR(SEARCH("库存为",AU169)))</formula>
    </cfRule>
  </conditionalFormatting>
  <conditionalFormatting sqref="AU170">
    <cfRule type="cellIs" dxfId="0" priority="1519" operator="lessThan">
      <formula>20</formula>
    </cfRule>
    <cfRule type="cellIs" dxfId="1" priority="958" operator="greaterThan">
      <formula>120</formula>
    </cfRule>
    <cfRule type="containsText" dxfId="2" priority="397" operator="between" text="库存为">
      <formula>NOT(ISERROR(SEARCH("库存为",AU170)))</formula>
    </cfRule>
  </conditionalFormatting>
  <conditionalFormatting sqref="AU171">
    <cfRule type="cellIs" dxfId="0" priority="1518" operator="lessThan">
      <formula>20</formula>
    </cfRule>
    <cfRule type="cellIs" dxfId="1" priority="957" operator="greaterThan">
      <formula>120</formula>
    </cfRule>
    <cfRule type="containsText" dxfId="2" priority="396" operator="between" text="库存为">
      <formula>NOT(ISERROR(SEARCH("库存为",AU171)))</formula>
    </cfRule>
  </conditionalFormatting>
  <conditionalFormatting sqref="AU172">
    <cfRule type="cellIs" dxfId="0" priority="1517" operator="lessThan">
      <formula>20</formula>
    </cfRule>
    <cfRule type="cellIs" dxfId="1" priority="956" operator="greaterThan">
      <formula>120</formula>
    </cfRule>
    <cfRule type="containsText" dxfId="2" priority="395" operator="between" text="库存为">
      <formula>NOT(ISERROR(SEARCH("库存为",AU172)))</formula>
    </cfRule>
  </conditionalFormatting>
  <conditionalFormatting sqref="AU173">
    <cfRule type="cellIs" dxfId="0" priority="1516" operator="lessThan">
      <formula>20</formula>
    </cfRule>
    <cfRule type="cellIs" dxfId="1" priority="955" operator="greaterThan">
      <formula>120</formula>
    </cfRule>
    <cfRule type="containsText" dxfId="2" priority="394" operator="between" text="库存为">
      <formula>NOT(ISERROR(SEARCH("库存为",AU173)))</formula>
    </cfRule>
  </conditionalFormatting>
  <conditionalFormatting sqref="AU174">
    <cfRule type="cellIs" dxfId="0" priority="1515" operator="lessThan">
      <formula>20</formula>
    </cfRule>
    <cfRule type="cellIs" dxfId="1" priority="954" operator="greaterThan">
      <formula>120</formula>
    </cfRule>
    <cfRule type="containsText" dxfId="2" priority="393" operator="between" text="库存为">
      <formula>NOT(ISERROR(SEARCH("库存为",AU174)))</formula>
    </cfRule>
  </conditionalFormatting>
  <conditionalFormatting sqref="AU175">
    <cfRule type="cellIs" dxfId="0" priority="1514" operator="lessThan">
      <formula>20</formula>
    </cfRule>
    <cfRule type="cellIs" dxfId="1" priority="953" operator="greaterThan">
      <formula>120</formula>
    </cfRule>
    <cfRule type="containsText" dxfId="2" priority="392" operator="between" text="库存为">
      <formula>NOT(ISERROR(SEARCH("库存为",AU175)))</formula>
    </cfRule>
  </conditionalFormatting>
  <conditionalFormatting sqref="AU176">
    <cfRule type="cellIs" dxfId="0" priority="1513" operator="lessThan">
      <formula>20</formula>
    </cfRule>
    <cfRule type="cellIs" dxfId="1" priority="952" operator="greaterThan">
      <formula>120</formula>
    </cfRule>
    <cfRule type="containsText" dxfId="2" priority="391" operator="between" text="库存为">
      <formula>NOT(ISERROR(SEARCH("库存为",AU176)))</formula>
    </cfRule>
  </conditionalFormatting>
  <conditionalFormatting sqref="AU177">
    <cfRule type="cellIs" dxfId="0" priority="1512" operator="lessThan">
      <formula>20</formula>
    </cfRule>
    <cfRule type="cellIs" dxfId="1" priority="951" operator="greaterThan">
      <formula>120</formula>
    </cfRule>
    <cfRule type="containsText" dxfId="2" priority="390" operator="between" text="库存为">
      <formula>NOT(ISERROR(SEARCH("库存为",AU177)))</formula>
    </cfRule>
  </conditionalFormatting>
  <conditionalFormatting sqref="AU178">
    <cfRule type="cellIs" dxfId="0" priority="1511" operator="lessThan">
      <formula>20</formula>
    </cfRule>
    <cfRule type="cellIs" dxfId="1" priority="950" operator="greaterThan">
      <formula>120</formula>
    </cfRule>
    <cfRule type="containsText" dxfId="2" priority="389" operator="between" text="库存为">
      <formula>NOT(ISERROR(SEARCH("库存为",AU178)))</formula>
    </cfRule>
  </conditionalFormatting>
  <conditionalFormatting sqref="AU179">
    <cfRule type="cellIs" dxfId="0" priority="1510" operator="lessThan">
      <formula>20</formula>
    </cfRule>
    <cfRule type="cellIs" dxfId="1" priority="949" operator="greaterThan">
      <formula>120</formula>
    </cfRule>
    <cfRule type="containsText" dxfId="2" priority="388" operator="between" text="库存为">
      <formula>NOT(ISERROR(SEARCH("库存为",AU179)))</formula>
    </cfRule>
  </conditionalFormatting>
  <conditionalFormatting sqref="AU180">
    <cfRule type="cellIs" dxfId="0" priority="1509" operator="lessThan">
      <formula>20</formula>
    </cfRule>
    <cfRule type="cellIs" dxfId="1" priority="948" operator="greaterThan">
      <formula>120</formula>
    </cfRule>
    <cfRule type="containsText" dxfId="2" priority="387" operator="between" text="库存为">
      <formula>NOT(ISERROR(SEARCH("库存为",AU180)))</formula>
    </cfRule>
  </conditionalFormatting>
  <conditionalFormatting sqref="AU181">
    <cfRule type="cellIs" dxfId="0" priority="1508" operator="lessThan">
      <formula>20</formula>
    </cfRule>
    <cfRule type="cellIs" dxfId="1" priority="947" operator="greaterThan">
      <formula>120</formula>
    </cfRule>
    <cfRule type="containsText" dxfId="2" priority="386" operator="between" text="库存为">
      <formula>NOT(ISERROR(SEARCH("库存为",AU181)))</formula>
    </cfRule>
  </conditionalFormatting>
  <conditionalFormatting sqref="AU182">
    <cfRule type="cellIs" dxfId="0" priority="1507" operator="lessThan">
      <formula>20</formula>
    </cfRule>
    <cfRule type="cellIs" dxfId="1" priority="946" operator="greaterThan">
      <formula>120</formula>
    </cfRule>
    <cfRule type="containsText" dxfId="2" priority="385" operator="between" text="库存为">
      <formula>NOT(ISERROR(SEARCH("库存为",AU182)))</formula>
    </cfRule>
  </conditionalFormatting>
  <conditionalFormatting sqref="AU183">
    <cfRule type="cellIs" dxfId="0" priority="1506" operator="lessThan">
      <formula>20</formula>
    </cfRule>
    <cfRule type="cellIs" dxfId="1" priority="945" operator="greaterThan">
      <formula>120</formula>
    </cfRule>
    <cfRule type="containsText" dxfId="2" priority="384" operator="between" text="库存为">
      <formula>NOT(ISERROR(SEARCH("库存为",AU183)))</formula>
    </cfRule>
  </conditionalFormatting>
  <conditionalFormatting sqref="AU184">
    <cfRule type="cellIs" dxfId="0" priority="1505" operator="lessThan">
      <formula>20</formula>
    </cfRule>
    <cfRule type="cellIs" dxfId="1" priority="944" operator="greaterThan">
      <formula>120</formula>
    </cfRule>
    <cfRule type="containsText" dxfId="2" priority="383" operator="between" text="库存为">
      <formula>NOT(ISERROR(SEARCH("库存为",AU184)))</formula>
    </cfRule>
  </conditionalFormatting>
  <conditionalFormatting sqref="AU185">
    <cfRule type="cellIs" dxfId="0" priority="1504" operator="lessThan">
      <formula>20</formula>
    </cfRule>
    <cfRule type="cellIs" dxfId="1" priority="943" operator="greaterThan">
      <formula>120</formula>
    </cfRule>
    <cfRule type="containsText" dxfId="2" priority="382" operator="between" text="库存为">
      <formula>NOT(ISERROR(SEARCH("库存为",AU185)))</formula>
    </cfRule>
  </conditionalFormatting>
  <conditionalFormatting sqref="AU186">
    <cfRule type="cellIs" dxfId="0" priority="1503" operator="lessThan">
      <formula>20</formula>
    </cfRule>
    <cfRule type="cellIs" dxfId="1" priority="942" operator="greaterThan">
      <formula>120</formula>
    </cfRule>
    <cfRule type="containsText" dxfId="2" priority="381" operator="between" text="库存为">
      <formula>NOT(ISERROR(SEARCH("库存为",AU186)))</formula>
    </cfRule>
  </conditionalFormatting>
  <conditionalFormatting sqref="AU187">
    <cfRule type="cellIs" dxfId="0" priority="1502" operator="lessThan">
      <formula>20</formula>
    </cfRule>
    <cfRule type="cellIs" dxfId="1" priority="941" operator="greaterThan">
      <formula>120</formula>
    </cfRule>
    <cfRule type="containsText" dxfId="2" priority="380" operator="between" text="库存为">
      <formula>NOT(ISERROR(SEARCH("库存为",AU187)))</formula>
    </cfRule>
  </conditionalFormatting>
  <conditionalFormatting sqref="AU188">
    <cfRule type="cellIs" dxfId="0" priority="1501" operator="lessThan">
      <formula>20</formula>
    </cfRule>
    <cfRule type="cellIs" dxfId="1" priority="940" operator="greaterThan">
      <formula>120</formula>
    </cfRule>
    <cfRule type="containsText" dxfId="2" priority="379" operator="between" text="库存为">
      <formula>NOT(ISERROR(SEARCH("库存为",AU188)))</formula>
    </cfRule>
  </conditionalFormatting>
  <conditionalFormatting sqref="AU189">
    <cfRule type="cellIs" dxfId="0" priority="1500" operator="lessThan">
      <formula>20</formula>
    </cfRule>
    <cfRule type="cellIs" dxfId="1" priority="939" operator="greaterThan">
      <formula>120</formula>
    </cfRule>
    <cfRule type="containsText" dxfId="2" priority="378" operator="between" text="库存为">
      <formula>NOT(ISERROR(SEARCH("库存为",AU189)))</formula>
    </cfRule>
  </conditionalFormatting>
  <conditionalFormatting sqref="AU190">
    <cfRule type="cellIs" dxfId="0" priority="1499" operator="lessThan">
      <formula>20</formula>
    </cfRule>
    <cfRule type="cellIs" dxfId="1" priority="938" operator="greaterThan">
      <formula>120</formula>
    </cfRule>
    <cfRule type="containsText" dxfId="2" priority="377" operator="between" text="库存为">
      <formula>NOT(ISERROR(SEARCH("库存为",AU190)))</formula>
    </cfRule>
  </conditionalFormatting>
  <conditionalFormatting sqref="AU191">
    <cfRule type="cellIs" dxfId="0" priority="1498" operator="lessThan">
      <formula>20</formula>
    </cfRule>
    <cfRule type="cellIs" dxfId="1" priority="937" operator="greaterThan">
      <formula>120</formula>
    </cfRule>
    <cfRule type="containsText" dxfId="2" priority="376" operator="between" text="库存为">
      <formula>NOT(ISERROR(SEARCH("库存为",AU191)))</formula>
    </cfRule>
  </conditionalFormatting>
  <conditionalFormatting sqref="AU192">
    <cfRule type="cellIs" dxfId="0" priority="1497" operator="lessThan">
      <formula>20</formula>
    </cfRule>
    <cfRule type="cellIs" dxfId="1" priority="936" operator="greaterThan">
      <formula>120</formula>
    </cfRule>
    <cfRule type="containsText" dxfId="2" priority="375" operator="between" text="库存为">
      <formula>NOT(ISERROR(SEARCH("库存为",AU192)))</formula>
    </cfRule>
  </conditionalFormatting>
  <conditionalFormatting sqref="AU193">
    <cfRule type="cellIs" dxfId="0" priority="1496" operator="lessThan">
      <formula>20</formula>
    </cfRule>
    <cfRule type="cellIs" dxfId="1" priority="935" operator="greaterThan">
      <formula>120</formula>
    </cfRule>
    <cfRule type="containsText" dxfId="2" priority="374" operator="between" text="库存为">
      <formula>NOT(ISERROR(SEARCH("库存为",AU193)))</formula>
    </cfRule>
  </conditionalFormatting>
  <conditionalFormatting sqref="AU194">
    <cfRule type="cellIs" dxfId="0" priority="1495" operator="lessThan">
      <formula>20</formula>
    </cfRule>
    <cfRule type="cellIs" dxfId="1" priority="934" operator="greaterThan">
      <formula>120</formula>
    </cfRule>
    <cfRule type="containsText" dxfId="2" priority="373" operator="between" text="库存为">
      <formula>NOT(ISERROR(SEARCH("库存为",AU194)))</formula>
    </cfRule>
  </conditionalFormatting>
  <conditionalFormatting sqref="AU195">
    <cfRule type="cellIs" dxfId="0" priority="1494" operator="lessThan">
      <formula>20</formula>
    </cfRule>
    <cfRule type="cellIs" dxfId="1" priority="933" operator="greaterThan">
      <formula>120</formula>
    </cfRule>
    <cfRule type="containsText" dxfId="2" priority="372" operator="between" text="库存为">
      <formula>NOT(ISERROR(SEARCH("库存为",AU195)))</formula>
    </cfRule>
  </conditionalFormatting>
  <conditionalFormatting sqref="AU196">
    <cfRule type="cellIs" dxfId="0" priority="1493" operator="lessThan">
      <formula>20</formula>
    </cfRule>
    <cfRule type="cellIs" dxfId="1" priority="932" operator="greaterThan">
      <formula>120</formula>
    </cfRule>
    <cfRule type="containsText" dxfId="2" priority="371" operator="between" text="库存为">
      <formula>NOT(ISERROR(SEARCH("库存为",AU196)))</formula>
    </cfRule>
  </conditionalFormatting>
  <conditionalFormatting sqref="AU197">
    <cfRule type="cellIs" dxfId="0" priority="1492" operator="lessThan">
      <formula>20</formula>
    </cfRule>
    <cfRule type="cellIs" dxfId="1" priority="931" operator="greaterThan">
      <formula>120</formula>
    </cfRule>
    <cfRule type="containsText" dxfId="2" priority="370" operator="between" text="库存为">
      <formula>NOT(ISERROR(SEARCH("库存为",AU197)))</formula>
    </cfRule>
  </conditionalFormatting>
  <conditionalFormatting sqref="AU198">
    <cfRule type="cellIs" dxfId="0" priority="1491" operator="lessThan">
      <formula>20</formula>
    </cfRule>
    <cfRule type="cellIs" dxfId="1" priority="930" operator="greaterThan">
      <formula>120</formula>
    </cfRule>
    <cfRule type="containsText" dxfId="2" priority="369" operator="between" text="库存为">
      <formula>NOT(ISERROR(SEARCH("库存为",AU198)))</formula>
    </cfRule>
  </conditionalFormatting>
  <conditionalFormatting sqref="AU199">
    <cfRule type="cellIs" dxfId="0" priority="1490" operator="lessThan">
      <formula>20</formula>
    </cfRule>
    <cfRule type="cellIs" dxfId="1" priority="929" operator="greaterThan">
      <formula>120</formula>
    </cfRule>
    <cfRule type="containsText" dxfId="2" priority="368" operator="between" text="库存为">
      <formula>NOT(ISERROR(SEARCH("库存为",AU199)))</formula>
    </cfRule>
  </conditionalFormatting>
  <conditionalFormatting sqref="AU200">
    <cfRule type="cellIs" dxfId="0" priority="1489" operator="lessThan">
      <formula>20</formula>
    </cfRule>
    <cfRule type="cellIs" dxfId="1" priority="928" operator="greaterThan">
      <formula>120</formula>
    </cfRule>
    <cfRule type="containsText" dxfId="2" priority="367" operator="between" text="库存为">
      <formula>NOT(ISERROR(SEARCH("库存为",AU200)))</formula>
    </cfRule>
  </conditionalFormatting>
  <conditionalFormatting sqref="AU201">
    <cfRule type="cellIs" dxfId="0" priority="1488" operator="lessThan">
      <formula>20</formula>
    </cfRule>
    <cfRule type="cellIs" dxfId="1" priority="927" operator="greaterThan">
      <formula>120</formula>
    </cfRule>
    <cfRule type="containsText" dxfId="2" priority="366" operator="between" text="库存为">
      <formula>NOT(ISERROR(SEARCH("库存为",AU201)))</formula>
    </cfRule>
  </conditionalFormatting>
  <conditionalFormatting sqref="AU202">
    <cfRule type="cellIs" dxfId="0" priority="1487" operator="lessThan">
      <formula>20</formula>
    </cfRule>
    <cfRule type="cellIs" dxfId="1" priority="926" operator="greaterThan">
      <formula>120</formula>
    </cfRule>
    <cfRule type="containsText" dxfId="2" priority="365" operator="between" text="库存为">
      <formula>NOT(ISERROR(SEARCH("库存为",AU202)))</formula>
    </cfRule>
  </conditionalFormatting>
  <conditionalFormatting sqref="AU203">
    <cfRule type="cellIs" dxfId="0" priority="1486" operator="lessThan">
      <formula>20</formula>
    </cfRule>
    <cfRule type="cellIs" dxfId="1" priority="925" operator="greaterThan">
      <formula>120</formula>
    </cfRule>
    <cfRule type="containsText" dxfId="2" priority="364" operator="between" text="库存为">
      <formula>NOT(ISERROR(SEARCH("库存为",AU203)))</formula>
    </cfRule>
  </conditionalFormatting>
  <conditionalFormatting sqref="AU204">
    <cfRule type="cellIs" dxfId="0" priority="1485" operator="lessThan">
      <formula>20</formula>
    </cfRule>
    <cfRule type="cellIs" dxfId="1" priority="924" operator="greaterThan">
      <formula>120</formula>
    </cfRule>
    <cfRule type="containsText" dxfId="2" priority="363" operator="between" text="库存为">
      <formula>NOT(ISERROR(SEARCH("库存为",AU204)))</formula>
    </cfRule>
  </conditionalFormatting>
  <conditionalFormatting sqref="AU205">
    <cfRule type="cellIs" dxfId="0" priority="1484" operator="lessThan">
      <formula>20</formula>
    </cfRule>
    <cfRule type="cellIs" dxfId="1" priority="923" operator="greaterThan">
      <formula>120</formula>
    </cfRule>
    <cfRule type="containsText" dxfId="2" priority="362" operator="between" text="库存为">
      <formula>NOT(ISERROR(SEARCH("库存为",AU205)))</formula>
    </cfRule>
  </conditionalFormatting>
  <conditionalFormatting sqref="AU206">
    <cfRule type="cellIs" dxfId="0" priority="1483" operator="lessThan">
      <formula>20</formula>
    </cfRule>
    <cfRule type="cellIs" dxfId="1" priority="922" operator="greaterThan">
      <formula>120</formula>
    </cfRule>
    <cfRule type="containsText" dxfId="2" priority="361" operator="between" text="库存为">
      <formula>NOT(ISERROR(SEARCH("库存为",AU206)))</formula>
    </cfRule>
  </conditionalFormatting>
  <conditionalFormatting sqref="AU207">
    <cfRule type="cellIs" dxfId="0" priority="1482" operator="lessThan">
      <formula>20</formula>
    </cfRule>
    <cfRule type="cellIs" dxfId="1" priority="921" operator="greaterThan">
      <formula>120</formula>
    </cfRule>
    <cfRule type="containsText" dxfId="2" priority="360" operator="between" text="库存为">
      <formula>NOT(ISERROR(SEARCH("库存为",AU207)))</formula>
    </cfRule>
  </conditionalFormatting>
  <conditionalFormatting sqref="AU208">
    <cfRule type="cellIs" dxfId="0" priority="1481" operator="lessThan">
      <formula>20</formula>
    </cfRule>
    <cfRule type="cellIs" dxfId="1" priority="920" operator="greaterThan">
      <formula>120</formula>
    </cfRule>
    <cfRule type="containsText" dxfId="2" priority="359" operator="between" text="库存为">
      <formula>NOT(ISERROR(SEARCH("库存为",AU208)))</formula>
    </cfRule>
  </conditionalFormatting>
  <conditionalFormatting sqref="AU209">
    <cfRule type="cellIs" dxfId="0" priority="1480" operator="lessThan">
      <formula>20</formula>
    </cfRule>
    <cfRule type="cellIs" dxfId="1" priority="919" operator="greaterThan">
      <formula>120</formula>
    </cfRule>
    <cfRule type="containsText" dxfId="2" priority="358" operator="between" text="库存为">
      <formula>NOT(ISERROR(SEARCH("库存为",AU209)))</formula>
    </cfRule>
  </conditionalFormatting>
  <conditionalFormatting sqref="AU210">
    <cfRule type="cellIs" dxfId="0" priority="1479" operator="lessThan">
      <formula>20</formula>
    </cfRule>
    <cfRule type="cellIs" dxfId="1" priority="918" operator="greaterThan">
      <formula>120</formula>
    </cfRule>
    <cfRule type="containsText" dxfId="2" priority="357" operator="between" text="库存为">
      <formula>NOT(ISERROR(SEARCH("库存为",AU210)))</formula>
    </cfRule>
  </conditionalFormatting>
  <conditionalFormatting sqref="AU211">
    <cfRule type="cellIs" dxfId="0" priority="1478" operator="lessThan">
      <formula>20</formula>
    </cfRule>
    <cfRule type="cellIs" dxfId="1" priority="917" operator="greaterThan">
      <formula>120</formula>
    </cfRule>
    <cfRule type="containsText" dxfId="2" priority="356" operator="between" text="库存为">
      <formula>NOT(ISERROR(SEARCH("库存为",AU211)))</formula>
    </cfRule>
  </conditionalFormatting>
  <conditionalFormatting sqref="AU212">
    <cfRule type="cellIs" dxfId="0" priority="1477" operator="lessThan">
      <formula>20</formula>
    </cfRule>
    <cfRule type="cellIs" dxfId="1" priority="916" operator="greaterThan">
      <formula>120</formula>
    </cfRule>
    <cfRule type="containsText" dxfId="2" priority="355" operator="between" text="库存为">
      <formula>NOT(ISERROR(SEARCH("库存为",AU212)))</formula>
    </cfRule>
  </conditionalFormatting>
  <conditionalFormatting sqref="AU213">
    <cfRule type="cellIs" dxfId="0" priority="1476" operator="lessThan">
      <formula>20</formula>
    </cfRule>
    <cfRule type="cellIs" dxfId="1" priority="915" operator="greaterThan">
      <formula>120</formula>
    </cfRule>
    <cfRule type="containsText" dxfId="2" priority="354" operator="between" text="库存为">
      <formula>NOT(ISERROR(SEARCH("库存为",AU213)))</formula>
    </cfRule>
  </conditionalFormatting>
  <conditionalFormatting sqref="AU214">
    <cfRule type="cellIs" dxfId="0" priority="1475" operator="lessThan">
      <formula>20</formula>
    </cfRule>
    <cfRule type="cellIs" dxfId="1" priority="914" operator="greaterThan">
      <formula>120</formula>
    </cfRule>
    <cfRule type="containsText" dxfId="2" priority="353" operator="between" text="库存为">
      <formula>NOT(ISERROR(SEARCH("库存为",AU214)))</formula>
    </cfRule>
  </conditionalFormatting>
  <conditionalFormatting sqref="AU215">
    <cfRule type="cellIs" dxfId="0" priority="1474" operator="lessThan">
      <formula>20</formula>
    </cfRule>
    <cfRule type="cellIs" dxfId="1" priority="913" operator="greaterThan">
      <formula>120</formula>
    </cfRule>
    <cfRule type="containsText" dxfId="2" priority="352" operator="between" text="库存为">
      <formula>NOT(ISERROR(SEARCH("库存为",AU215)))</formula>
    </cfRule>
  </conditionalFormatting>
  <conditionalFormatting sqref="AU216">
    <cfRule type="cellIs" dxfId="0" priority="1473" operator="lessThan">
      <formula>20</formula>
    </cfRule>
    <cfRule type="cellIs" dxfId="1" priority="912" operator="greaterThan">
      <formula>120</formula>
    </cfRule>
    <cfRule type="containsText" dxfId="2" priority="351" operator="between" text="库存为">
      <formula>NOT(ISERROR(SEARCH("库存为",AU216)))</formula>
    </cfRule>
  </conditionalFormatting>
  <conditionalFormatting sqref="AU217">
    <cfRule type="cellIs" dxfId="0" priority="1472" operator="lessThan">
      <formula>20</formula>
    </cfRule>
    <cfRule type="cellIs" dxfId="1" priority="911" operator="greaterThan">
      <formula>120</formula>
    </cfRule>
    <cfRule type="containsText" dxfId="2" priority="350" operator="between" text="库存为">
      <formula>NOT(ISERROR(SEARCH("库存为",AU217)))</formula>
    </cfRule>
  </conditionalFormatting>
  <conditionalFormatting sqref="AU218">
    <cfRule type="cellIs" dxfId="0" priority="1471" operator="lessThan">
      <formula>20</formula>
    </cfRule>
    <cfRule type="cellIs" dxfId="1" priority="910" operator="greaterThan">
      <formula>120</formula>
    </cfRule>
    <cfRule type="containsText" dxfId="2" priority="349" operator="between" text="库存为">
      <formula>NOT(ISERROR(SEARCH("库存为",AU218)))</formula>
    </cfRule>
  </conditionalFormatting>
  <conditionalFormatting sqref="AU219">
    <cfRule type="cellIs" dxfId="0" priority="1470" operator="lessThan">
      <formula>20</formula>
    </cfRule>
    <cfRule type="cellIs" dxfId="1" priority="909" operator="greaterThan">
      <formula>120</formula>
    </cfRule>
    <cfRule type="containsText" dxfId="2" priority="348" operator="between" text="库存为">
      <formula>NOT(ISERROR(SEARCH("库存为",AU219)))</formula>
    </cfRule>
  </conditionalFormatting>
  <conditionalFormatting sqref="AU220">
    <cfRule type="cellIs" dxfId="0" priority="1469" operator="lessThan">
      <formula>20</formula>
    </cfRule>
    <cfRule type="cellIs" dxfId="1" priority="908" operator="greaterThan">
      <formula>120</formula>
    </cfRule>
    <cfRule type="containsText" dxfId="2" priority="347" operator="between" text="库存为">
      <formula>NOT(ISERROR(SEARCH("库存为",AU220)))</formula>
    </cfRule>
  </conditionalFormatting>
  <conditionalFormatting sqref="AU221">
    <cfRule type="cellIs" dxfId="0" priority="1468" operator="lessThan">
      <formula>20</formula>
    </cfRule>
    <cfRule type="cellIs" dxfId="1" priority="907" operator="greaterThan">
      <formula>120</formula>
    </cfRule>
    <cfRule type="containsText" dxfId="2" priority="346" operator="between" text="库存为">
      <formula>NOT(ISERROR(SEARCH("库存为",AU221)))</formula>
    </cfRule>
  </conditionalFormatting>
  <conditionalFormatting sqref="AU222">
    <cfRule type="cellIs" dxfId="0" priority="1467" operator="lessThan">
      <formula>20</formula>
    </cfRule>
    <cfRule type="cellIs" dxfId="1" priority="906" operator="greaterThan">
      <formula>120</formula>
    </cfRule>
    <cfRule type="containsText" dxfId="2" priority="345" operator="between" text="库存为">
      <formula>NOT(ISERROR(SEARCH("库存为",AU222)))</formula>
    </cfRule>
  </conditionalFormatting>
  <conditionalFormatting sqref="AU223">
    <cfRule type="cellIs" dxfId="0" priority="1466" operator="lessThan">
      <formula>20</formula>
    </cfRule>
    <cfRule type="cellIs" dxfId="1" priority="905" operator="greaterThan">
      <formula>120</formula>
    </cfRule>
    <cfRule type="containsText" dxfId="2" priority="344" operator="between" text="库存为">
      <formula>NOT(ISERROR(SEARCH("库存为",AU223)))</formula>
    </cfRule>
  </conditionalFormatting>
  <conditionalFormatting sqref="AU224">
    <cfRule type="cellIs" dxfId="0" priority="1465" operator="lessThan">
      <formula>20</formula>
    </cfRule>
    <cfRule type="cellIs" dxfId="1" priority="904" operator="greaterThan">
      <formula>120</formula>
    </cfRule>
    <cfRule type="containsText" dxfId="2" priority="343" operator="between" text="库存为">
      <formula>NOT(ISERROR(SEARCH("库存为",AU224)))</formula>
    </cfRule>
  </conditionalFormatting>
  <conditionalFormatting sqref="AU225">
    <cfRule type="cellIs" dxfId="0" priority="1464" operator="lessThan">
      <formula>20</formula>
    </cfRule>
    <cfRule type="cellIs" dxfId="1" priority="903" operator="greaterThan">
      <formula>120</formula>
    </cfRule>
    <cfRule type="containsText" dxfId="2" priority="342" operator="between" text="库存为">
      <formula>NOT(ISERROR(SEARCH("库存为",AU225)))</formula>
    </cfRule>
  </conditionalFormatting>
  <conditionalFormatting sqref="AU226">
    <cfRule type="cellIs" dxfId="0" priority="1463" operator="lessThan">
      <formula>20</formula>
    </cfRule>
    <cfRule type="cellIs" dxfId="1" priority="902" operator="greaterThan">
      <formula>120</formula>
    </cfRule>
    <cfRule type="containsText" dxfId="2" priority="341" operator="between" text="库存为">
      <formula>NOT(ISERROR(SEARCH("库存为",AU226)))</formula>
    </cfRule>
  </conditionalFormatting>
  <conditionalFormatting sqref="AU227">
    <cfRule type="cellIs" dxfId="0" priority="1462" operator="lessThan">
      <formula>20</formula>
    </cfRule>
    <cfRule type="cellIs" dxfId="1" priority="901" operator="greaterThan">
      <formula>120</formula>
    </cfRule>
    <cfRule type="containsText" dxfId="2" priority="340" operator="between" text="库存为">
      <formula>NOT(ISERROR(SEARCH("库存为",AU227)))</formula>
    </cfRule>
  </conditionalFormatting>
  <conditionalFormatting sqref="AU228">
    <cfRule type="cellIs" dxfId="0" priority="1461" operator="lessThan">
      <formula>20</formula>
    </cfRule>
    <cfRule type="cellIs" dxfId="1" priority="900" operator="greaterThan">
      <formula>120</formula>
    </cfRule>
    <cfRule type="containsText" dxfId="2" priority="339" operator="between" text="库存为">
      <formula>NOT(ISERROR(SEARCH("库存为",AU228)))</formula>
    </cfRule>
  </conditionalFormatting>
  <conditionalFormatting sqref="AU229">
    <cfRule type="cellIs" dxfId="0" priority="1460" operator="lessThan">
      <formula>20</formula>
    </cfRule>
    <cfRule type="cellIs" dxfId="1" priority="899" operator="greaterThan">
      <formula>120</formula>
    </cfRule>
    <cfRule type="containsText" dxfId="2" priority="338" operator="between" text="库存为">
      <formula>NOT(ISERROR(SEARCH("库存为",AU229)))</formula>
    </cfRule>
  </conditionalFormatting>
  <conditionalFormatting sqref="AU230">
    <cfRule type="cellIs" dxfId="0" priority="1459" operator="lessThan">
      <formula>20</formula>
    </cfRule>
    <cfRule type="cellIs" dxfId="1" priority="898" operator="greaterThan">
      <formula>120</formula>
    </cfRule>
    <cfRule type="containsText" dxfId="2" priority="337" operator="between" text="库存为">
      <formula>NOT(ISERROR(SEARCH("库存为",AU230)))</formula>
    </cfRule>
  </conditionalFormatting>
  <conditionalFormatting sqref="AU231">
    <cfRule type="cellIs" dxfId="0" priority="1458" operator="lessThan">
      <formula>20</formula>
    </cfRule>
    <cfRule type="cellIs" dxfId="1" priority="897" operator="greaterThan">
      <formula>120</formula>
    </cfRule>
    <cfRule type="containsText" dxfId="2" priority="336" operator="between" text="库存为">
      <formula>NOT(ISERROR(SEARCH("库存为",AU231)))</formula>
    </cfRule>
  </conditionalFormatting>
  <conditionalFormatting sqref="AU232">
    <cfRule type="cellIs" dxfId="0" priority="1457" operator="lessThan">
      <formula>20</formula>
    </cfRule>
    <cfRule type="cellIs" dxfId="1" priority="896" operator="greaterThan">
      <formula>120</formula>
    </cfRule>
    <cfRule type="containsText" dxfId="2" priority="335" operator="between" text="库存为">
      <formula>NOT(ISERROR(SEARCH("库存为",AU232)))</formula>
    </cfRule>
  </conditionalFormatting>
  <conditionalFormatting sqref="AU233">
    <cfRule type="cellIs" dxfId="0" priority="1456" operator="lessThan">
      <formula>20</formula>
    </cfRule>
    <cfRule type="cellIs" dxfId="1" priority="895" operator="greaterThan">
      <formula>120</formula>
    </cfRule>
    <cfRule type="containsText" dxfId="2" priority="334" operator="between" text="库存为">
      <formula>NOT(ISERROR(SEARCH("库存为",AU233)))</formula>
    </cfRule>
  </conditionalFormatting>
  <conditionalFormatting sqref="AU234">
    <cfRule type="cellIs" dxfId="0" priority="1455" operator="lessThan">
      <formula>20</formula>
    </cfRule>
    <cfRule type="cellIs" dxfId="1" priority="894" operator="greaterThan">
      <formula>120</formula>
    </cfRule>
    <cfRule type="containsText" dxfId="2" priority="333" operator="between" text="库存为">
      <formula>NOT(ISERROR(SEARCH("库存为",AU234)))</formula>
    </cfRule>
  </conditionalFormatting>
  <conditionalFormatting sqref="AU235">
    <cfRule type="cellIs" dxfId="0" priority="1454" operator="lessThan">
      <formula>20</formula>
    </cfRule>
    <cfRule type="cellIs" dxfId="1" priority="893" operator="greaterThan">
      <formula>120</formula>
    </cfRule>
    <cfRule type="containsText" dxfId="2" priority="332" operator="between" text="库存为">
      <formula>NOT(ISERROR(SEARCH("库存为",AU235)))</formula>
    </cfRule>
  </conditionalFormatting>
  <conditionalFormatting sqref="AU236">
    <cfRule type="cellIs" dxfId="0" priority="1453" operator="lessThan">
      <formula>20</formula>
    </cfRule>
    <cfRule type="cellIs" dxfId="1" priority="892" operator="greaterThan">
      <formula>120</formula>
    </cfRule>
    <cfRule type="containsText" dxfId="2" priority="331" operator="between" text="库存为">
      <formula>NOT(ISERROR(SEARCH("库存为",AU236)))</formula>
    </cfRule>
  </conditionalFormatting>
  <conditionalFormatting sqref="AU237">
    <cfRule type="cellIs" dxfId="0" priority="1452" operator="lessThan">
      <formula>20</formula>
    </cfRule>
    <cfRule type="cellIs" dxfId="1" priority="891" operator="greaterThan">
      <formula>120</formula>
    </cfRule>
    <cfRule type="containsText" dxfId="2" priority="330" operator="between" text="库存为">
      <formula>NOT(ISERROR(SEARCH("库存为",AU237)))</formula>
    </cfRule>
  </conditionalFormatting>
  <conditionalFormatting sqref="AU238">
    <cfRule type="cellIs" dxfId="0" priority="1451" operator="lessThan">
      <formula>20</formula>
    </cfRule>
    <cfRule type="cellIs" dxfId="1" priority="890" operator="greaterThan">
      <formula>120</formula>
    </cfRule>
    <cfRule type="containsText" dxfId="2" priority="329" operator="between" text="库存为">
      <formula>NOT(ISERROR(SEARCH("库存为",AU238)))</formula>
    </cfRule>
  </conditionalFormatting>
  <conditionalFormatting sqref="AU239">
    <cfRule type="cellIs" dxfId="0" priority="1450" operator="lessThan">
      <formula>20</formula>
    </cfRule>
    <cfRule type="cellIs" dxfId="1" priority="889" operator="greaterThan">
      <formula>120</formula>
    </cfRule>
    <cfRule type="containsText" dxfId="2" priority="328" operator="between" text="库存为">
      <formula>NOT(ISERROR(SEARCH("库存为",AU239)))</formula>
    </cfRule>
  </conditionalFormatting>
  <conditionalFormatting sqref="AU240">
    <cfRule type="cellIs" dxfId="0" priority="1449" operator="lessThan">
      <formula>20</formula>
    </cfRule>
    <cfRule type="cellIs" dxfId="1" priority="888" operator="greaterThan">
      <formula>120</formula>
    </cfRule>
    <cfRule type="containsText" dxfId="2" priority="327" operator="between" text="库存为">
      <formula>NOT(ISERROR(SEARCH("库存为",AU240)))</formula>
    </cfRule>
  </conditionalFormatting>
  <conditionalFormatting sqref="AU241">
    <cfRule type="cellIs" dxfId="0" priority="1448" operator="lessThan">
      <formula>20</formula>
    </cfRule>
    <cfRule type="cellIs" dxfId="1" priority="887" operator="greaterThan">
      <formula>120</formula>
    </cfRule>
    <cfRule type="containsText" dxfId="2" priority="326" operator="between" text="库存为">
      <formula>NOT(ISERROR(SEARCH("库存为",AU241)))</formula>
    </cfRule>
  </conditionalFormatting>
  <conditionalFormatting sqref="AU242">
    <cfRule type="cellIs" dxfId="0" priority="1447" operator="lessThan">
      <formula>20</formula>
    </cfRule>
    <cfRule type="cellIs" dxfId="1" priority="886" operator="greaterThan">
      <formula>120</formula>
    </cfRule>
    <cfRule type="containsText" dxfId="2" priority="325" operator="between" text="库存为">
      <formula>NOT(ISERROR(SEARCH("库存为",AU242)))</formula>
    </cfRule>
  </conditionalFormatting>
  <conditionalFormatting sqref="AU243">
    <cfRule type="cellIs" dxfId="0" priority="1446" operator="lessThan">
      <formula>20</formula>
    </cfRule>
    <cfRule type="cellIs" dxfId="1" priority="885" operator="greaterThan">
      <formula>120</formula>
    </cfRule>
    <cfRule type="containsText" dxfId="2" priority="324" operator="between" text="库存为">
      <formula>NOT(ISERROR(SEARCH("库存为",AU243)))</formula>
    </cfRule>
  </conditionalFormatting>
  <conditionalFormatting sqref="AU244">
    <cfRule type="cellIs" dxfId="0" priority="1445" operator="lessThan">
      <formula>20</formula>
    </cfRule>
    <cfRule type="cellIs" dxfId="1" priority="884" operator="greaterThan">
      <formula>120</formula>
    </cfRule>
    <cfRule type="containsText" dxfId="2" priority="323" operator="between" text="库存为">
      <formula>NOT(ISERROR(SEARCH("库存为",AU244)))</formula>
    </cfRule>
  </conditionalFormatting>
  <conditionalFormatting sqref="AU245">
    <cfRule type="cellIs" dxfId="0" priority="1444" operator="lessThan">
      <formula>20</formula>
    </cfRule>
    <cfRule type="cellIs" dxfId="1" priority="883" operator="greaterThan">
      <formula>120</formula>
    </cfRule>
    <cfRule type="containsText" dxfId="2" priority="322" operator="between" text="库存为">
      <formula>NOT(ISERROR(SEARCH("库存为",AU245)))</formula>
    </cfRule>
  </conditionalFormatting>
  <conditionalFormatting sqref="AU246">
    <cfRule type="cellIs" dxfId="0" priority="1443" operator="lessThan">
      <formula>20</formula>
    </cfRule>
    <cfRule type="cellIs" dxfId="1" priority="882" operator="greaterThan">
      <formula>120</formula>
    </cfRule>
    <cfRule type="containsText" dxfId="2" priority="321" operator="between" text="库存为">
      <formula>NOT(ISERROR(SEARCH("库存为",AU246)))</formula>
    </cfRule>
  </conditionalFormatting>
  <conditionalFormatting sqref="AU247">
    <cfRule type="cellIs" dxfId="0" priority="1442" operator="lessThan">
      <formula>20</formula>
    </cfRule>
    <cfRule type="cellIs" dxfId="1" priority="881" operator="greaterThan">
      <formula>120</formula>
    </cfRule>
    <cfRule type="containsText" dxfId="2" priority="320" operator="between" text="库存为">
      <formula>NOT(ISERROR(SEARCH("库存为",AU247)))</formula>
    </cfRule>
  </conditionalFormatting>
  <conditionalFormatting sqref="AU248">
    <cfRule type="cellIs" dxfId="0" priority="1441" operator="lessThan">
      <formula>20</formula>
    </cfRule>
    <cfRule type="cellIs" dxfId="1" priority="880" operator="greaterThan">
      <formula>120</formula>
    </cfRule>
    <cfRule type="containsText" dxfId="2" priority="319" operator="between" text="库存为">
      <formula>NOT(ISERROR(SEARCH("库存为",AU248)))</formula>
    </cfRule>
  </conditionalFormatting>
  <conditionalFormatting sqref="AU249">
    <cfRule type="cellIs" dxfId="0" priority="1440" operator="lessThan">
      <formula>20</formula>
    </cfRule>
    <cfRule type="cellIs" dxfId="1" priority="879" operator="greaterThan">
      <formula>120</formula>
    </cfRule>
    <cfRule type="containsText" dxfId="2" priority="318" operator="between" text="库存为">
      <formula>NOT(ISERROR(SEARCH("库存为",AU249)))</formula>
    </cfRule>
  </conditionalFormatting>
  <conditionalFormatting sqref="AU250">
    <cfRule type="cellIs" dxfId="0" priority="1439" operator="lessThan">
      <formula>20</formula>
    </cfRule>
    <cfRule type="cellIs" dxfId="1" priority="878" operator="greaterThan">
      <formula>120</formula>
    </cfRule>
    <cfRule type="containsText" dxfId="2" priority="317" operator="between" text="库存为">
      <formula>NOT(ISERROR(SEARCH("库存为",AU250)))</formula>
    </cfRule>
  </conditionalFormatting>
  <conditionalFormatting sqref="AU251">
    <cfRule type="cellIs" dxfId="0" priority="1438" operator="lessThan">
      <formula>20</formula>
    </cfRule>
    <cfRule type="cellIs" dxfId="1" priority="877" operator="greaterThan">
      <formula>120</formula>
    </cfRule>
    <cfRule type="containsText" dxfId="2" priority="316" operator="between" text="库存为">
      <formula>NOT(ISERROR(SEARCH("库存为",AU251)))</formula>
    </cfRule>
  </conditionalFormatting>
  <conditionalFormatting sqref="AU252">
    <cfRule type="cellIs" dxfId="0" priority="1437" operator="lessThan">
      <formula>20</formula>
    </cfRule>
    <cfRule type="cellIs" dxfId="1" priority="876" operator="greaterThan">
      <formula>120</formula>
    </cfRule>
    <cfRule type="containsText" dxfId="2" priority="315" operator="between" text="库存为">
      <formula>NOT(ISERROR(SEARCH("库存为",AU252)))</formula>
    </cfRule>
  </conditionalFormatting>
  <conditionalFormatting sqref="AU253">
    <cfRule type="cellIs" dxfId="0" priority="1436" operator="lessThan">
      <formula>20</formula>
    </cfRule>
    <cfRule type="cellIs" dxfId="1" priority="875" operator="greaterThan">
      <formula>120</formula>
    </cfRule>
    <cfRule type="containsText" dxfId="2" priority="314" operator="between" text="库存为">
      <formula>NOT(ISERROR(SEARCH("库存为",AU253)))</formula>
    </cfRule>
  </conditionalFormatting>
  <conditionalFormatting sqref="AU254">
    <cfRule type="cellIs" dxfId="0" priority="1435" operator="lessThan">
      <formula>20</formula>
    </cfRule>
    <cfRule type="cellIs" dxfId="1" priority="874" operator="greaterThan">
      <formula>120</formula>
    </cfRule>
    <cfRule type="containsText" dxfId="2" priority="313" operator="between" text="库存为">
      <formula>NOT(ISERROR(SEARCH("库存为",AU254)))</formula>
    </cfRule>
  </conditionalFormatting>
  <conditionalFormatting sqref="AU255">
    <cfRule type="cellIs" dxfId="0" priority="1434" operator="lessThan">
      <formula>20</formula>
    </cfRule>
    <cfRule type="cellIs" dxfId="1" priority="873" operator="greaterThan">
      <formula>120</formula>
    </cfRule>
    <cfRule type="containsText" dxfId="2" priority="312" operator="between" text="库存为">
      <formula>NOT(ISERROR(SEARCH("库存为",AU255)))</formula>
    </cfRule>
  </conditionalFormatting>
  <conditionalFormatting sqref="AU256">
    <cfRule type="cellIs" dxfId="0" priority="1433" operator="lessThan">
      <formula>20</formula>
    </cfRule>
    <cfRule type="cellIs" dxfId="1" priority="872" operator="greaterThan">
      <formula>120</formula>
    </cfRule>
    <cfRule type="containsText" dxfId="2" priority="311" operator="between" text="库存为">
      <formula>NOT(ISERROR(SEARCH("库存为",AU256)))</formula>
    </cfRule>
  </conditionalFormatting>
  <conditionalFormatting sqref="AU257">
    <cfRule type="cellIs" dxfId="0" priority="1432" operator="lessThan">
      <formula>20</formula>
    </cfRule>
    <cfRule type="cellIs" dxfId="1" priority="871" operator="greaterThan">
      <formula>120</formula>
    </cfRule>
    <cfRule type="containsText" dxfId="2" priority="310" operator="between" text="库存为">
      <formula>NOT(ISERROR(SEARCH("库存为",AU257)))</formula>
    </cfRule>
  </conditionalFormatting>
  <conditionalFormatting sqref="AU258">
    <cfRule type="cellIs" dxfId="0" priority="1431" operator="lessThan">
      <formula>20</formula>
    </cfRule>
    <cfRule type="cellIs" dxfId="1" priority="870" operator="greaterThan">
      <formula>120</formula>
    </cfRule>
    <cfRule type="containsText" dxfId="2" priority="309" operator="between" text="库存为">
      <formula>NOT(ISERROR(SEARCH("库存为",AU258)))</formula>
    </cfRule>
  </conditionalFormatting>
  <conditionalFormatting sqref="AU259">
    <cfRule type="cellIs" dxfId="0" priority="1430" operator="lessThan">
      <formula>20</formula>
    </cfRule>
    <cfRule type="cellIs" dxfId="1" priority="869" operator="greaterThan">
      <formula>120</formula>
    </cfRule>
    <cfRule type="containsText" dxfId="2" priority="308" operator="between" text="库存为">
      <formula>NOT(ISERROR(SEARCH("库存为",AU259)))</formula>
    </cfRule>
  </conditionalFormatting>
  <conditionalFormatting sqref="AU260">
    <cfRule type="cellIs" dxfId="0" priority="1429" operator="lessThan">
      <formula>20</formula>
    </cfRule>
    <cfRule type="cellIs" dxfId="1" priority="868" operator="greaterThan">
      <formula>120</formula>
    </cfRule>
    <cfRule type="containsText" dxfId="2" priority="307" operator="between" text="库存为">
      <formula>NOT(ISERROR(SEARCH("库存为",AU260)))</formula>
    </cfRule>
  </conditionalFormatting>
  <conditionalFormatting sqref="AU261">
    <cfRule type="cellIs" dxfId="0" priority="1428" operator="lessThan">
      <formula>20</formula>
    </cfRule>
    <cfRule type="cellIs" dxfId="1" priority="867" operator="greaterThan">
      <formula>120</formula>
    </cfRule>
    <cfRule type="containsText" dxfId="2" priority="306" operator="between" text="库存为">
      <formula>NOT(ISERROR(SEARCH("库存为",AU261)))</formula>
    </cfRule>
  </conditionalFormatting>
  <conditionalFormatting sqref="AU262">
    <cfRule type="cellIs" dxfId="0" priority="1427" operator="lessThan">
      <formula>20</formula>
    </cfRule>
    <cfRule type="cellIs" dxfId="1" priority="866" operator="greaterThan">
      <formula>120</formula>
    </cfRule>
    <cfRule type="containsText" dxfId="2" priority="305" operator="between" text="库存为">
      <formula>NOT(ISERROR(SEARCH("库存为",AU262)))</formula>
    </cfRule>
  </conditionalFormatting>
  <conditionalFormatting sqref="AU263">
    <cfRule type="cellIs" dxfId="0" priority="1426" operator="lessThan">
      <formula>20</formula>
    </cfRule>
    <cfRule type="cellIs" dxfId="1" priority="865" operator="greaterThan">
      <formula>120</formula>
    </cfRule>
    <cfRule type="containsText" dxfId="2" priority="304" operator="between" text="库存为">
      <formula>NOT(ISERROR(SEARCH("库存为",AU263)))</formula>
    </cfRule>
  </conditionalFormatting>
  <conditionalFormatting sqref="AU264">
    <cfRule type="cellIs" dxfId="0" priority="1425" operator="lessThan">
      <formula>20</formula>
    </cfRule>
    <cfRule type="cellIs" dxfId="1" priority="864" operator="greaterThan">
      <formula>120</formula>
    </cfRule>
    <cfRule type="containsText" dxfId="2" priority="303" operator="between" text="库存为">
      <formula>NOT(ISERROR(SEARCH("库存为",AU264)))</formula>
    </cfRule>
  </conditionalFormatting>
  <conditionalFormatting sqref="AU265">
    <cfRule type="cellIs" dxfId="0" priority="1424" operator="lessThan">
      <formula>20</formula>
    </cfRule>
    <cfRule type="cellIs" dxfId="1" priority="863" operator="greaterThan">
      <formula>120</formula>
    </cfRule>
    <cfRule type="containsText" dxfId="2" priority="302" operator="between" text="库存为">
      <formula>NOT(ISERROR(SEARCH("库存为",AU265)))</formula>
    </cfRule>
  </conditionalFormatting>
  <conditionalFormatting sqref="AU266">
    <cfRule type="cellIs" dxfId="0" priority="1423" operator="lessThan">
      <formula>20</formula>
    </cfRule>
    <cfRule type="cellIs" dxfId="1" priority="862" operator="greaterThan">
      <formula>120</formula>
    </cfRule>
    <cfRule type="containsText" dxfId="2" priority="301" operator="between" text="库存为">
      <formula>NOT(ISERROR(SEARCH("库存为",AU266)))</formula>
    </cfRule>
  </conditionalFormatting>
  <conditionalFormatting sqref="AU267">
    <cfRule type="cellIs" dxfId="0" priority="1422" operator="lessThan">
      <formula>20</formula>
    </cfRule>
    <cfRule type="cellIs" dxfId="1" priority="861" operator="greaterThan">
      <formula>120</formula>
    </cfRule>
    <cfRule type="containsText" dxfId="2" priority="300" operator="between" text="库存为">
      <formula>NOT(ISERROR(SEARCH("库存为",AU267)))</formula>
    </cfRule>
  </conditionalFormatting>
  <conditionalFormatting sqref="AU268">
    <cfRule type="cellIs" dxfId="0" priority="1421" operator="lessThan">
      <formula>20</formula>
    </cfRule>
    <cfRule type="cellIs" dxfId="1" priority="860" operator="greaterThan">
      <formula>120</formula>
    </cfRule>
    <cfRule type="containsText" dxfId="2" priority="299" operator="between" text="库存为">
      <formula>NOT(ISERROR(SEARCH("库存为",AU268)))</formula>
    </cfRule>
  </conditionalFormatting>
  <conditionalFormatting sqref="AU269">
    <cfRule type="cellIs" dxfId="0" priority="1420" operator="lessThan">
      <formula>20</formula>
    </cfRule>
    <cfRule type="cellIs" dxfId="1" priority="859" operator="greaterThan">
      <formula>120</formula>
    </cfRule>
    <cfRule type="containsText" dxfId="2" priority="298" operator="between" text="库存为">
      <formula>NOT(ISERROR(SEARCH("库存为",AU269)))</formula>
    </cfRule>
  </conditionalFormatting>
  <conditionalFormatting sqref="AU270">
    <cfRule type="cellIs" dxfId="0" priority="1419" operator="lessThan">
      <formula>20</formula>
    </cfRule>
    <cfRule type="cellIs" dxfId="1" priority="858" operator="greaterThan">
      <formula>120</formula>
    </cfRule>
    <cfRule type="containsText" dxfId="2" priority="297" operator="between" text="库存为">
      <formula>NOT(ISERROR(SEARCH("库存为",AU270)))</formula>
    </cfRule>
  </conditionalFormatting>
  <conditionalFormatting sqref="AU271">
    <cfRule type="cellIs" dxfId="0" priority="1418" operator="lessThan">
      <formula>20</formula>
    </cfRule>
    <cfRule type="cellIs" dxfId="1" priority="857" operator="greaterThan">
      <formula>120</formula>
    </cfRule>
    <cfRule type="containsText" dxfId="2" priority="296" operator="between" text="库存为">
      <formula>NOT(ISERROR(SEARCH("库存为",AU271)))</formula>
    </cfRule>
  </conditionalFormatting>
  <conditionalFormatting sqref="AU272">
    <cfRule type="cellIs" dxfId="0" priority="1417" operator="lessThan">
      <formula>20</formula>
    </cfRule>
    <cfRule type="cellIs" dxfId="1" priority="856" operator="greaterThan">
      <formula>120</formula>
    </cfRule>
    <cfRule type="containsText" dxfId="2" priority="295" operator="between" text="库存为">
      <formula>NOT(ISERROR(SEARCH("库存为",AU272)))</formula>
    </cfRule>
  </conditionalFormatting>
  <conditionalFormatting sqref="AU273">
    <cfRule type="cellIs" dxfId="0" priority="1416" operator="lessThan">
      <formula>20</formula>
    </cfRule>
    <cfRule type="cellIs" dxfId="1" priority="855" operator="greaterThan">
      <formula>120</formula>
    </cfRule>
    <cfRule type="containsText" dxfId="2" priority="294" operator="between" text="库存为">
      <formula>NOT(ISERROR(SEARCH("库存为",AU273)))</formula>
    </cfRule>
  </conditionalFormatting>
  <conditionalFormatting sqref="AU274">
    <cfRule type="cellIs" dxfId="0" priority="1415" operator="lessThan">
      <formula>20</formula>
    </cfRule>
    <cfRule type="cellIs" dxfId="1" priority="854" operator="greaterThan">
      <formula>120</formula>
    </cfRule>
    <cfRule type="containsText" dxfId="2" priority="293" operator="between" text="库存为">
      <formula>NOT(ISERROR(SEARCH("库存为",AU274)))</formula>
    </cfRule>
  </conditionalFormatting>
  <conditionalFormatting sqref="AU275">
    <cfRule type="cellIs" dxfId="0" priority="1414" operator="lessThan">
      <formula>20</formula>
    </cfRule>
    <cfRule type="cellIs" dxfId="1" priority="853" operator="greaterThan">
      <formula>120</formula>
    </cfRule>
    <cfRule type="containsText" dxfId="2" priority="292" operator="between" text="库存为">
      <formula>NOT(ISERROR(SEARCH("库存为",AU275)))</formula>
    </cfRule>
  </conditionalFormatting>
  <conditionalFormatting sqref="AU276">
    <cfRule type="cellIs" dxfId="0" priority="1413" operator="lessThan">
      <formula>20</formula>
    </cfRule>
    <cfRule type="cellIs" dxfId="1" priority="852" operator="greaterThan">
      <formula>120</formula>
    </cfRule>
    <cfRule type="containsText" dxfId="2" priority="291" operator="between" text="库存为">
      <formula>NOT(ISERROR(SEARCH("库存为",AU276)))</formula>
    </cfRule>
  </conditionalFormatting>
  <conditionalFormatting sqref="AU277">
    <cfRule type="cellIs" dxfId="0" priority="1412" operator="lessThan">
      <formula>20</formula>
    </cfRule>
    <cfRule type="cellIs" dxfId="1" priority="851" operator="greaterThan">
      <formula>120</formula>
    </cfRule>
    <cfRule type="containsText" dxfId="2" priority="290" operator="between" text="库存为">
      <formula>NOT(ISERROR(SEARCH("库存为",AU277)))</formula>
    </cfRule>
  </conditionalFormatting>
  <conditionalFormatting sqref="AU278">
    <cfRule type="cellIs" dxfId="0" priority="1411" operator="lessThan">
      <formula>20</formula>
    </cfRule>
    <cfRule type="cellIs" dxfId="1" priority="850" operator="greaterThan">
      <formula>120</formula>
    </cfRule>
    <cfRule type="containsText" dxfId="2" priority="289" operator="between" text="库存为">
      <formula>NOT(ISERROR(SEARCH("库存为",AU278)))</formula>
    </cfRule>
  </conditionalFormatting>
  <conditionalFormatting sqref="AU279">
    <cfRule type="cellIs" dxfId="0" priority="1410" operator="lessThan">
      <formula>20</formula>
    </cfRule>
    <cfRule type="cellIs" dxfId="1" priority="849" operator="greaterThan">
      <formula>120</formula>
    </cfRule>
    <cfRule type="containsText" dxfId="2" priority="288" operator="between" text="库存为">
      <formula>NOT(ISERROR(SEARCH("库存为",AU279)))</formula>
    </cfRule>
  </conditionalFormatting>
  <conditionalFormatting sqref="AU280">
    <cfRule type="cellIs" dxfId="0" priority="1409" operator="lessThan">
      <formula>20</formula>
    </cfRule>
    <cfRule type="cellIs" dxfId="1" priority="848" operator="greaterThan">
      <formula>120</formula>
    </cfRule>
    <cfRule type="containsText" dxfId="2" priority="287" operator="between" text="库存为">
      <formula>NOT(ISERROR(SEARCH("库存为",AU280)))</formula>
    </cfRule>
  </conditionalFormatting>
  <conditionalFormatting sqref="AU281">
    <cfRule type="cellIs" dxfId="0" priority="1408" operator="lessThan">
      <formula>20</formula>
    </cfRule>
    <cfRule type="cellIs" dxfId="1" priority="847" operator="greaterThan">
      <formula>120</formula>
    </cfRule>
    <cfRule type="containsText" dxfId="2" priority="286" operator="between" text="库存为">
      <formula>NOT(ISERROR(SEARCH("库存为",AU281)))</formula>
    </cfRule>
  </conditionalFormatting>
  <conditionalFormatting sqref="AU282">
    <cfRule type="cellIs" dxfId="0" priority="1407" operator="lessThan">
      <formula>20</formula>
    </cfRule>
    <cfRule type="cellIs" dxfId="1" priority="846" operator="greaterThan">
      <formula>120</formula>
    </cfRule>
    <cfRule type="containsText" dxfId="2" priority="285" operator="between" text="库存为">
      <formula>NOT(ISERROR(SEARCH("库存为",AU282)))</formula>
    </cfRule>
  </conditionalFormatting>
  <conditionalFormatting sqref="AU283">
    <cfRule type="cellIs" dxfId="0" priority="1406" operator="lessThan">
      <formula>20</formula>
    </cfRule>
    <cfRule type="cellIs" dxfId="1" priority="845" operator="greaterThan">
      <formula>120</formula>
    </cfRule>
    <cfRule type="containsText" dxfId="2" priority="284" operator="between" text="库存为">
      <formula>NOT(ISERROR(SEARCH("库存为",AU283)))</formula>
    </cfRule>
  </conditionalFormatting>
  <conditionalFormatting sqref="AU284">
    <cfRule type="cellIs" dxfId="0" priority="1405" operator="lessThan">
      <formula>20</formula>
    </cfRule>
    <cfRule type="cellIs" dxfId="1" priority="844" operator="greaterThan">
      <formula>120</formula>
    </cfRule>
    <cfRule type="containsText" dxfId="2" priority="283" operator="between" text="库存为">
      <formula>NOT(ISERROR(SEARCH("库存为",AU284)))</formula>
    </cfRule>
  </conditionalFormatting>
  <conditionalFormatting sqref="AU285">
    <cfRule type="cellIs" dxfId="0" priority="1404" operator="lessThan">
      <formula>20</formula>
    </cfRule>
    <cfRule type="cellIs" dxfId="1" priority="843" operator="greaterThan">
      <formula>120</formula>
    </cfRule>
    <cfRule type="containsText" dxfId="2" priority="282" operator="between" text="库存为">
      <formula>NOT(ISERROR(SEARCH("库存为",AU285)))</formula>
    </cfRule>
  </conditionalFormatting>
  <conditionalFormatting sqref="AU286">
    <cfRule type="cellIs" dxfId="0" priority="1403" operator="lessThan">
      <formula>20</formula>
    </cfRule>
    <cfRule type="cellIs" dxfId="1" priority="842" operator="greaterThan">
      <formula>120</formula>
    </cfRule>
    <cfRule type="containsText" dxfId="2" priority="281" operator="between" text="库存为">
      <formula>NOT(ISERROR(SEARCH("库存为",AU286)))</formula>
    </cfRule>
  </conditionalFormatting>
  <conditionalFormatting sqref="AU287">
    <cfRule type="cellIs" dxfId="0" priority="1402" operator="lessThan">
      <formula>20</formula>
    </cfRule>
    <cfRule type="cellIs" dxfId="1" priority="841" operator="greaterThan">
      <formula>120</formula>
    </cfRule>
    <cfRule type="containsText" dxfId="2" priority="280" operator="between" text="库存为">
      <formula>NOT(ISERROR(SEARCH("库存为",AU287)))</formula>
    </cfRule>
  </conditionalFormatting>
  <conditionalFormatting sqref="AU288">
    <cfRule type="cellIs" dxfId="0" priority="1401" operator="lessThan">
      <formula>20</formula>
    </cfRule>
    <cfRule type="cellIs" dxfId="1" priority="840" operator="greaterThan">
      <formula>120</formula>
    </cfRule>
    <cfRule type="containsText" dxfId="2" priority="279" operator="between" text="库存为">
      <formula>NOT(ISERROR(SEARCH("库存为",AU288)))</formula>
    </cfRule>
  </conditionalFormatting>
  <conditionalFormatting sqref="AU289">
    <cfRule type="cellIs" dxfId="0" priority="1400" operator="lessThan">
      <formula>20</formula>
    </cfRule>
    <cfRule type="cellIs" dxfId="1" priority="839" operator="greaterThan">
      <formula>120</formula>
    </cfRule>
    <cfRule type="containsText" dxfId="2" priority="278" operator="between" text="库存为">
      <formula>NOT(ISERROR(SEARCH("库存为",AU289)))</formula>
    </cfRule>
  </conditionalFormatting>
  <conditionalFormatting sqref="AU290">
    <cfRule type="cellIs" dxfId="0" priority="1399" operator="lessThan">
      <formula>20</formula>
    </cfRule>
    <cfRule type="cellIs" dxfId="1" priority="838" operator="greaterThan">
      <formula>120</formula>
    </cfRule>
    <cfRule type="containsText" dxfId="2" priority="277" operator="between" text="库存为">
      <formula>NOT(ISERROR(SEARCH("库存为",AU290)))</formula>
    </cfRule>
  </conditionalFormatting>
  <conditionalFormatting sqref="AU291">
    <cfRule type="cellIs" dxfId="0" priority="1398" operator="lessThan">
      <formula>20</formula>
    </cfRule>
    <cfRule type="cellIs" dxfId="1" priority="837" operator="greaterThan">
      <formula>120</formula>
    </cfRule>
    <cfRule type="containsText" dxfId="2" priority="276" operator="between" text="库存为">
      <formula>NOT(ISERROR(SEARCH("库存为",AU291)))</formula>
    </cfRule>
  </conditionalFormatting>
  <conditionalFormatting sqref="AU292">
    <cfRule type="cellIs" dxfId="0" priority="1397" operator="lessThan">
      <formula>20</formula>
    </cfRule>
    <cfRule type="cellIs" dxfId="1" priority="836" operator="greaterThan">
      <formula>120</formula>
    </cfRule>
    <cfRule type="containsText" dxfId="2" priority="275" operator="between" text="库存为">
      <formula>NOT(ISERROR(SEARCH("库存为",AU292)))</formula>
    </cfRule>
  </conditionalFormatting>
  <conditionalFormatting sqref="AU293">
    <cfRule type="cellIs" dxfId="0" priority="1396" operator="lessThan">
      <formula>20</formula>
    </cfRule>
    <cfRule type="cellIs" dxfId="1" priority="835" operator="greaterThan">
      <formula>120</formula>
    </cfRule>
    <cfRule type="containsText" dxfId="2" priority="274" operator="between" text="库存为">
      <formula>NOT(ISERROR(SEARCH("库存为",AU293)))</formula>
    </cfRule>
  </conditionalFormatting>
  <conditionalFormatting sqref="AU294">
    <cfRule type="cellIs" dxfId="0" priority="1395" operator="lessThan">
      <formula>20</formula>
    </cfRule>
    <cfRule type="cellIs" dxfId="1" priority="834" operator="greaterThan">
      <formula>120</formula>
    </cfRule>
    <cfRule type="containsText" dxfId="2" priority="273" operator="between" text="库存为">
      <formula>NOT(ISERROR(SEARCH("库存为",AU294)))</formula>
    </cfRule>
  </conditionalFormatting>
  <conditionalFormatting sqref="AU295">
    <cfRule type="cellIs" dxfId="0" priority="1394" operator="lessThan">
      <formula>20</formula>
    </cfRule>
    <cfRule type="cellIs" dxfId="1" priority="833" operator="greaterThan">
      <formula>120</formula>
    </cfRule>
    <cfRule type="containsText" dxfId="2" priority="272" operator="between" text="库存为">
      <formula>NOT(ISERROR(SEARCH("库存为",AU295)))</formula>
    </cfRule>
  </conditionalFormatting>
  <conditionalFormatting sqref="AU296">
    <cfRule type="cellIs" dxfId="0" priority="1393" operator="lessThan">
      <formula>20</formula>
    </cfRule>
    <cfRule type="cellIs" dxfId="1" priority="832" operator="greaterThan">
      <formula>120</formula>
    </cfRule>
    <cfRule type="containsText" dxfId="2" priority="271" operator="between" text="库存为">
      <formula>NOT(ISERROR(SEARCH("库存为",AU296)))</formula>
    </cfRule>
  </conditionalFormatting>
  <conditionalFormatting sqref="AU297">
    <cfRule type="cellIs" dxfId="0" priority="1392" operator="lessThan">
      <formula>20</formula>
    </cfRule>
    <cfRule type="cellIs" dxfId="1" priority="831" operator="greaterThan">
      <formula>120</formula>
    </cfRule>
    <cfRule type="containsText" dxfId="2" priority="270" operator="between" text="库存为">
      <formula>NOT(ISERROR(SEARCH("库存为",AU297)))</formula>
    </cfRule>
  </conditionalFormatting>
  <conditionalFormatting sqref="AU298">
    <cfRule type="cellIs" dxfId="0" priority="1391" operator="lessThan">
      <formula>20</formula>
    </cfRule>
    <cfRule type="cellIs" dxfId="1" priority="830" operator="greaterThan">
      <formula>120</formula>
    </cfRule>
    <cfRule type="containsText" dxfId="2" priority="269" operator="between" text="库存为">
      <formula>NOT(ISERROR(SEARCH("库存为",AU298)))</formula>
    </cfRule>
  </conditionalFormatting>
  <conditionalFormatting sqref="AU299">
    <cfRule type="cellIs" dxfId="0" priority="1390" operator="lessThan">
      <formula>20</formula>
    </cfRule>
    <cfRule type="cellIs" dxfId="1" priority="829" operator="greaterThan">
      <formula>120</formula>
    </cfRule>
    <cfRule type="containsText" dxfId="2" priority="268" operator="between" text="库存为">
      <formula>NOT(ISERROR(SEARCH("库存为",AU299)))</formula>
    </cfRule>
  </conditionalFormatting>
  <conditionalFormatting sqref="AU300">
    <cfRule type="cellIs" dxfId="0" priority="1389" operator="lessThan">
      <formula>20</formula>
    </cfRule>
    <cfRule type="cellIs" dxfId="1" priority="828" operator="greaterThan">
      <formula>120</formula>
    </cfRule>
    <cfRule type="containsText" dxfId="2" priority="267" operator="between" text="库存为">
      <formula>NOT(ISERROR(SEARCH("库存为",AU300)))</formula>
    </cfRule>
  </conditionalFormatting>
  <conditionalFormatting sqref="AU301">
    <cfRule type="cellIs" dxfId="0" priority="1388" operator="lessThan">
      <formula>20</formula>
    </cfRule>
    <cfRule type="cellIs" dxfId="1" priority="827" operator="greaterThan">
      <formula>120</formula>
    </cfRule>
    <cfRule type="containsText" dxfId="2" priority="266" operator="between" text="库存为">
      <formula>NOT(ISERROR(SEARCH("库存为",AU301)))</formula>
    </cfRule>
  </conditionalFormatting>
  <conditionalFormatting sqref="AU302">
    <cfRule type="cellIs" dxfId="0" priority="1387" operator="lessThan">
      <formula>20</formula>
    </cfRule>
    <cfRule type="cellIs" dxfId="1" priority="826" operator="greaterThan">
      <formula>120</formula>
    </cfRule>
    <cfRule type="containsText" dxfId="2" priority="265" operator="between" text="库存为">
      <formula>NOT(ISERROR(SEARCH("库存为",AU302)))</formula>
    </cfRule>
  </conditionalFormatting>
  <conditionalFormatting sqref="AU303">
    <cfRule type="cellIs" dxfId="0" priority="1386" operator="lessThan">
      <formula>20</formula>
    </cfRule>
    <cfRule type="cellIs" dxfId="1" priority="825" operator="greaterThan">
      <formula>120</formula>
    </cfRule>
    <cfRule type="containsText" dxfId="2" priority="264" operator="between" text="库存为">
      <formula>NOT(ISERROR(SEARCH("库存为",AU303)))</formula>
    </cfRule>
  </conditionalFormatting>
  <conditionalFormatting sqref="AU304">
    <cfRule type="cellIs" dxfId="0" priority="1385" operator="lessThan">
      <formula>20</formula>
    </cfRule>
    <cfRule type="cellIs" dxfId="1" priority="824" operator="greaterThan">
      <formula>120</formula>
    </cfRule>
    <cfRule type="containsText" dxfId="2" priority="263" operator="between" text="库存为">
      <formula>NOT(ISERROR(SEARCH("库存为",AU304)))</formula>
    </cfRule>
  </conditionalFormatting>
  <conditionalFormatting sqref="AU305">
    <cfRule type="cellIs" dxfId="0" priority="1384" operator="lessThan">
      <formula>20</formula>
    </cfRule>
    <cfRule type="cellIs" dxfId="1" priority="823" operator="greaterThan">
      <formula>120</formula>
    </cfRule>
    <cfRule type="containsText" dxfId="2" priority="262" operator="between" text="库存为">
      <formula>NOT(ISERROR(SEARCH("库存为",AU305)))</formula>
    </cfRule>
  </conditionalFormatting>
  <conditionalFormatting sqref="AU306">
    <cfRule type="cellIs" dxfId="0" priority="1383" operator="lessThan">
      <formula>20</formula>
    </cfRule>
    <cfRule type="cellIs" dxfId="1" priority="822" operator="greaterThan">
      <formula>120</formula>
    </cfRule>
    <cfRule type="containsText" dxfId="2" priority="261" operator="between" text="库存为">
      <formula>NOT(ISERROR(SEARCH("库存为",AU306)))</formula>
    </cfRule>
  </conditionalFormatting>
  <conditionalFormatting sqref="AU307">
    <cfRule type="cellIs" dxfId="0" priority="1382" operator="lessThan">
      <formula>20</formula>
    </cfRule>
    <cfRule type="cellIs" dxfId="1" priority="821" operator="greaterThan">
      <formula>120</formula>
    </cfRule>
    <cfRule type="containsText" dxfId="2" priority="260" operator="between" text="库存为">
      <formula>NOT(ISERROR(SEARCH("库存为",AU307)))</formula>
    </cfRule>
  </conditionalFormatting>
  <conditionalFormatting sqref="AU308">
    <cfRule type="cellIs" dxfId="0" priority="1381" operator="lessThan">
      <formula>20</formula>
    </cfRule>
    <cfRule type="cellIs" dxfId="1" priority="820" operator="greaterThan">
      <formula>120</formula>
    </cfRule>
    <cfRule type="containsText" dxfId="2" priority="259" operator="between" text="库存为">
      <formula>NOT(ISERROR(SEARCH("库存为",AU308)))</formula>
    </cfRule>
  </conditionalFormatting>
  <conditionalFormatting sqref="AU309">
    <cfRule type="cellIs" dxfId="0" priority="1380" operator="lessThan">
      <formula>20</formula>
    </cfRule>
    <cfRule type="cellIs" dxfId="1" priority="819" operator="greaterThan">
      <formula>120</formula>
    </cfRule>
    <cfRule type="containsText" dxfId="2" priority="258" operator="between" text="库存为">
      <formula>NOT(ISERROR(SEARCH("库存为",AU309)))</formula>
    </cfRule>
  </conditionalFormatting>
  <conditionalFormatting sqref="AU310">
    <cfRule type="cellIs" dxfId="0" priority="1379" operator="lessThan">
      <formula>20</formula>
    </cfRule>
    <cfRule type="cellIs" dxfId="1" priority="818" operator="greaterThan">
      <formula>120</formula>
    </cfRule>
    <cfRule type="containsText" dxfId="2" priority="257" operator="between" text="库存为">
      <formula>NOT(ISERROR(SEARCH("库存为",AU310)))</formula>
    </cfRule>
  </conditionalFormatting>
  <conditionalFormatting sqref="AU311">
    <cfRule type="cellIs" dxfId="0" priority="1378" operator="lessThan">
      <formula>20</formula>
    </cfRule>
    <cfRule type="cellIs" dxfId="1" priority="817" operator="greaterThan">
      <formula>120</formula>
    </cfRule>
    <cfRule type="containsText" dxfId="2" priority="256" operator="between" text="库存为">
      <formula>NOT(ISERROR(SEARCH("库存为",AU311)))</formula>
    </cfRule>
  </conditionalFormatting>
  <conditionalFormatting sqref="AU312">
    <cfRule type="cellIs" dxfId="0" priority="1377" operator="lessThan">
      <formula>20</formula>
    </cfRule>
    <cfRule type="cellIs" dxfId="1" priority="816" operator="greaterThan">
      <formula>120</formula>
    </cfRule>
    <cfRule type="containsText" dxfId="2" priority="255" operator="between" text="库存为">
      <formula>NOT(ISERROR(SEARCH("库存为",AU312)))</formula>
    </cfRule>
  </conditionalFormatting>
  <conditionalFormatting sqref="AU313">
    <cfRule type="cellIs" dxfId="0" priority="1376" operator="lessThan">
      <formula>20</formula>
    </cfRule>
    <cfRule type="cellIs" dxfId="1" priority="815" operator="greaterThan">
      <formula>120</formula>
    </cfRule>
    <cfRule type="containsText" dxfId="2" priority="254" operator="between" text="库存为">
      <formula>NOT(ISERROR(SEARCH("库存为",AU313)))</formula>
    </cfRule>
  </conditionalFormatting>
  <conditionalFormatting sqref="AU314">
    <cfRule type="cellIs" dxfId="0" priority="1375" operator="lessThan">
      <formula>20</formula>
    </cfRule>
    <cfRule type="cellIs" dxfId="1" priority="814" operator="greaterThan">
      <formula>120</formula>
    </cfRule>
    <cfRule type="containsText" dxfId="2" priority="253" operator="between" text="库存为">
      <formula>NOT(ISERROR(SEARCH("库存为",AU314)))</formula>
    </cfRule>
  </conditionalFormatting>
  <conditionalFormatting sqref="AU315">
    <cfRule type="cellIs" dxfId="0" priority="1374" operator="lessThan">
      <formula>20</formula>
    </cfRule>
    <cfRule type="cellIs" dxfId="1" priority="813" operator="greaterThan">
      <formula>120</formula>
    </cfRule>
    <cfRule type="containsText" dxfId="2" priority="252" operator="between" text="库存为">
      <formula>NOT(ISERROR(SEARCH("库存为",AU315)))</formula>
    </cfRule>
  </conditionalFormatting>
  <conditionalFormatting sqref="AU316">
    <cfRule type="cellIs" dxfId="0" priority="1373" operator="lessThan">
      <formula>20</formula>
    </cfRule>
    <cfRule type="cellIs" dxfId="1" priority="812" operator="greaterThan">
      <formula>120</formula>
    </cfRule>
    <cfRule type="containsText" dxfId="2" priority="251" operator="between" text="库存为">
      <formula>NOT(ISERROR(SEARCH("库存为",AU316)))</formula>
    </cfRule>
  </conditionalFormatting>
  <conditionalFormatting sqref="AU317">
    <cfRule type="cellIs" dxfId="0" priority="1372" operator="lessThan">
      <formula>20</formula>
    </cfRule>
    <cfRule type="cellIs" dxfId="1" priority="811" operator="greaterThan">
      <formula>120</formula>
    </cfRule>
    <cfRule type="containsText" dxfId="2" priority="250" operator="between" text="库存为">
      <formula>NOT(ISERROR(SEARCH("库存为",AU317)))</formula>
    </cfRule>
  </conditionalFormatting>
  <conditionalFormatting sqref="AU318">
    <cfRule type="cellIs" dxfId="0" priority="1371" operator="lessThan">
      <formula>20</formula>
    </cfRule>
    <cfRule type="cellIs" dxfId="1" priority="810" operator="greaterThan">
      <formula>120</formula>
    </cfRule>
    <cfRule type="containsText" dxfId="2" priority="249" operator="between" text="库存为">
      <formula>NOT(ISERROR(SEARCH("库存为",AU318)))</formula>
    </cfRule>
  </conditionalFormatting>
  <conditionalFormatting sqref="AU319">
    <cfRule type="cellIs" dxfId="0" priority="1370" operator="lessThan">
      <formula>20</formula>
    </cfRule>
    <cfRule type="cellIs" dxfId="1" priority="809" operator="greaterThan">
      <formula>120</formula>
    </cfRule>
    <cfRule type="containsText" dxfId="2" priority="248" operator="between" text="库存为">
      <formula>NOT(ISERROR(SEARCH("库存为",AU319)))</formula>
    </cfRule>
  </conditionalFormatting>
  <conditionalFormatting sqref="AU320">
    <cfRule type="cellIs" dxfId="0" priority="1369" operator="lessThan">
      <formula>20</formula>
    </cfRule>
    <cfRule type="cellIs" dxfId="1" priority="808" operator="greaterThan">
      <formula>120</formula>
    </cfRule>
    <cfRule type="containsText" dxfId="2" priority="247" operator="between" text="库存为">
      <formula>NOT(ISERROR(SEARCH("库存为",AU320)))</formula>
    </cfRule>
  </conditionalFormatting>
  <conditionalFormatting sqref="AU321">
    <cfRule type="cellIs" dxfId="0" priority="1368" operator="lessThan">
      <formula>20</formula>
    </cfRule>
    <cfRule type="cellIs" dxfId="1" priority="807" operator="greaterThan">
      <formula>120</formula>
    </cfRule>
    <cfRule type="containsText" dxfId="2" priority="246" operator="between" text="库存为">
      <formula>NOT(ISERROR(SEARCH("库存为",AU321)))</formula>
    </cfRule>
  </conditionalFormatting>
  <conditionalFormatting sqref="AU322">
    <cfRule type="cellIs" dxfId="0" priority="1367" operator="lessThan">
      <formula>20</formula>
    </cfRule>
    <cfRule type="cellIs" dxfId="1" priority="806" operator="greaterThan">
      <formula>120</formula>
    </cfRule>
    <cfRule type="containsText" dxfId="2" priority="245" operator="between" text="库存为">
      <formula>NOT(ISERROR(SEARCH("库存为",AU322)))</formula>
    </cfRule>
  </conditionalFormatting>
  <conditionalFormatting sqref="AU323">
    <cfRule type="cellIs" dxfId="0" priority="1366" operator="lessThan">
      <formula>20</formula>
    </cfRule>
    <cfRule type="cellIs" dxfId="1" priority="805" operator="greaterThan">
      <formula>120</formula>
    </cfRule>
    <cfRule type="containsText" dxfId="2" priority="244" operator="between" text="库存为">
      <formula>NOT(ISERROR(SEARCH("库存为",AU323)))</formula>
    </cfRule>
  </conditionalFormatting>
  <conditionalFormatting sqref="AU324">
    <cfRule type="cellIs" dxfId="0" priority="1365" operator="lessThan">
      <formula>20</formula>
    </cfRule>
    <cfRule type="cellIs" dxfId="1" priority="804" operator="greaterThan">
      <formula>120</formula>
    </cfRule>
    <cfRule type="containsText" dxfId="2" priority="243" operator="between" text="库存为">
      <formula>NOT(ISERROR(SEARCH("库存为",AU324)))</formula>
    </cfRule>
  </conditionalFormatting>
  <conditionalFormatting sqref="AU325">
    <cfRule type="cellIs" dxfId="0" priority="1364" operator="lessThan">
      <formula>20</formula>
    </cfRule>
    <cfRule type="cellIs" dxfId="1" priority="803" operator="greaterThan">
      <formula>120</formula>
    </cfRule>
    <cfRule type="containsText" dxfId="2" priority="242" operator="between" text="库存为">
      <formula>NOT(ISERROR(SEARCH("库存为",AU325)))</formula>
    </cfRule>
  </conditionalFormatting>
  <conditionalFormatting sqref="AU326">
    <cfRule type="cellIs" dxfId="0" priority="1363" operator="lessThan">
      <formula>20</formula>
    </cfRule>
    <cfRule type="cellIs" dxfId="1" priority="802" operator="greaterThan">
      <formula>120</formula>
    </cfRule>
    <cfRule type="containsText" dxfId="2" priority="241" operator="between" text="库存为">
      <formula>NOT(ISERROR(SEARCH("库存为",AU326)))</formula>
    </cfRule>
  </conditionalFormatting>
  <conditionalFormatting sqref="AU327">
    <cfRule type="cellIs" dxfId="0" priority="1362" operator="lessThan">
      <formula>20</formula>
    </cfRule>
    <cfRule type="cellIs" dxfId="1" priority="801" operator="greaterThan">
      <formula>120</formula>
    </cfRule>
    <cfRule type="containsText" dxfId="2" priority="240" operator="between" text="库存为">
      <formula>NOT(ISERROR(SEARCH("库存为",AU327)))</formula>
    </cfRule>
  </conditionalFormatting>
  <conditionalFormatting sqref="AU328">
    <cfRule type="cellIs" dxfId="0" priority="1361" operator="lessThan">
      <formula>20</formula>
    </cfRule>
    <cfRule type="cellIs" dxfId="1" priority="800" operator="greaterThan">
      <formula>120</formula>
    </cfRule>
    <cfRule type="containsText" dxfId="2" priority="239" operator="between" text="库存为">
      <formula>NOT(ISERROR(SEARCH("库存为",AU328)))</formula>
    </cfRule>
  </conditionalFormatting>
  <conditionalFormatting sqref="AU329">
    <cfRule type="cellIs" dxfId="0" priority="1360" operator="lessThan">
      <formula>20</formula>
    </cfRule>
    <cfRule type="cellIs" dxfId="1" priority="799" operator="greaterThan">
      <formula>120</formula>
    </cfRule>
    <cfRule type="containsText" dxfId="2" priority="238" operator="between" text="库存为">
      <formula>NOT(ISERROR(SEARCH("库存为",AU329)))</formula>
    </cfRule>
  </conditionalFormatting>
  <conditionalFormatting sqref="AU330">
    <cfRule type="cellIs" dxfId="0" priority="1359" operator="lessThan">
      <formula>20</formula>
    </cfRule>
    <cfRule type="cellIs" dxfId="1" priority="798" operator="greaterThan">
      <formula>120</formula>
    </cfRule>
    <cfRule type="containsText" dxfId="2" priority="237" operator="between" text="库存为">
      <formula>NOT(ISERROR(SEARCH("库存为",AU330)))</formula>
    </cfRule>
  </conditionalFormatting>
  <conditionalFormatting sqref="AU331">
    <cfRule type="cellIs" dxfId="0" priority="1358" operator="lessThan">
      <formula>20</formula>
    </cfRule>
    <cfRule type="cellIs" dxfId="1" priority="797" operator="greaterThan">
      <formula>120</formula>
    </cfRule>
    <cfRule type="containsText" dxfId="2" priority="236" operator="between" text="库存为">
      <formula>NOT(ISERROR(SEARCH("库存为",AU331)))</formula>
    </cfRule>
  </conditionalFormatting>
  <conditionalFormatting sqref="AU332">
    <cfRule type="cellIs" dxfId="0" priority="1357" operator="lessThan">
      <formula>20</formula>
    </cfRule>
    <cfRule type="cellIs" dxfId="1" priority="796" operator="greaterThan">
      <formula>120</formula>
    </cfRule>
    <cfRule type="containsText" dxfId="2" priority="235" operator="between" text="库存为">
      <formula>NOT(ISERROR(SEARCH("库存为",AU332)))</formula>
    </cfRule>
  </conditionalFormatting>
  <conditionalFormatting sqref="AU333">
    <cfRule type="cellIs" dxfId="0" priority="1356" operator="lessThan">
      <formula>20</formula>
    </cfRule>
    <cfRule type="cellIs" dxfId="1" priority="795" operator="greaterThan">
      <formula>120</formula>
    </cfRule>
    <cfRule type="containsText" dxfId="2" priority="234" operator="between" text="库存为">
      <formula>NOT(ISERROR(SEARCH("库存为",AU333)))</formula>
    </cfRule>
  </conditionalFormatting>
  <conditionalFormatting sqref="AU334">
    <cfRule type="cellIs" dxfId="0" priority="1355" operator="lessThan">
      <formula>20</formula>
    </cfRule>
    <cfRule type="cellIs" dxfId="1" priority="794" operator="greaterThan">
      <formula>120</formula>
    </cfRule>
    <cfRule type="containsText" dxfId="2" priority="233" operator="between" text="库存为">
      <formula>NOT(ISERROR(SEARCH("库存为",AU334)))</formula>
    </cfRule>
  </conditionalFormatting>
  <conditionalFormatting sqref="AU335">
    <cfRule type="cellIs" dxfId="0" priority="1354" operator="lessThan">
      <formula>20</formula>
    </cfRule>
    <cfRule type="cellIs" dxfId="1" priority="793" operator="greaterThan">
      <formula>120</formula>
    </cfRule>
    <cfRule type="containsText" dxfId="2" priority="232" operator="between" text="库存为">
      <formula>NOT(ISERROR(SEARCH("库存为",AU335)))</formula>
    </cfRule>
  </conditionalFormatting>
  <conditionalFormatting sqref="AU336">
    <cfRule type="cellIs" dxfId="0" priority="1353" operator="lessThan">
      <formula>20</formula>
    </cfRule>
    <cfRule type="cellIs" dxfId="1" priority="792" operator="greaterThan">
      <formula>120</formula>
    </cfRule>
    <cfRule type="containsText" dxfId="2" priority="231" operator="between" text="库存为">
      <formula>NOT(ISERROR(SEARCH("库存为",AU336)))</formula>
    </cfRule>
  </conditionalFormatting>
  <conditionalFormatting sqref="AU337">
    <cfRule type="cellIs" dxfId="0" priority="1352" operator="lessThan">
      <formula>20</formula>
    </cfRule>
    <cfRule type="cellIs" dxfId="1" priority="791" operator="greaterThan">
      <formula>120</formula>
    </cfRule>
    <cfRule type="containsText" dxfId="2" priority="230" operator="between" text="库存为">
      <formula>NOT(ISERROR(SEARCH("库存为",AU337)))</formula>
    </cfRule>
  </conditionalFormatting>
  <conditionalFormatting sqref="AU338">
    <cfRule type="cellIs" dxfId="0" priority="1351" operator="lessThan">
      <formula>20</formula>
    </cfRule>
    <cfRule type="cellIs" dxfId="1" priority="790" operator="greaterThan">
      <formula>120</formula>
    </cfRule>
    <cfRule type="containsText" dxfId="2" priority="229" operator="between" text="库存为">
      <formula>NOT(ISERROR(SEARCH("库存为",AU338)))</formula>
    </cfRule>
  </conditionalFormatting>
  <conditionalFormatting sqref="AU339">
    <cfRule type="cellIs" dxfId="0" priority="1350" operator="lessThan">
      <formula>20</formula>
    </cfRule>
    <cfRule type="cellIs" dxfId="1" priority="789" operator="greaterThan">
      <formula>120</formula>
    </cfRule>
    <cfRule type="containsText" dxfId="2" priority="228" operator="between" text="库存为">
      <formula>NOT(ISERROR(SEARCH("库存为",AU339)))</formula>
    </cfRule>
  </conditionalFormatting>
  <conditionalFormatting sqref="AU340">
    <cfRule type="cellIs" dxfId="0" priority="1349" operator="lessThan">
      <formula>20</formula>
    </cfRule>
    <cfRule type="cellIs" dxfId="1" priority="788" operator="greaterThan">
      <formula>120</formula>
    </cfRule>
    <cfRule type="containsText" dxfId="2" priority="227" operator="between" text="库存为">
      <formula>NOT(ISERROR(SEARCH("库存为",AU340)))</formula>
    </cfRule>
  </conditionalFormatting>
  <conditionalFormatting sqref="AU341">
    <cfRule type="cellIs" dxfId="0" priority="1348" operator="lessThan">
      <formula>20</formula>
    </cfRule>
    <cfRule type="cellIs" dxfId="1" priority="787" operator="greaterThan">
      <formula>120</formula>
    </cfRule>
    <cfRule type="containsText" dxfId="2" priority="226" operator="between" text="库存为">
      <formula>NOT(ISERROR(SEARCH("库存为",AU341)))</formula>
    </cfRule>
  </conditionalFormatting>
  <conditionalFormatting sqref="AU342">
    <cfRule type="cellIs" dxfId="0" priority="1347" operator="lessThan">
      <formula>20</formula>
    </cfRule>
    <cfRule type="cellIs" dxfId="1" priority="786" operator="greaterThan">
      <formula>120</formula>
    </cfRule>
    <cfRule type="containsText" dxfId="2" priority="225" operator="between" text="库存为">
      <formula>NOT(ISERROR(SEARCH("库存为",AU342)))</formula>
    </cfRule>
  </conditionalFormatting>
  <conditionalFormatting sqref="AU343">
    <cfRule type="cellIs" dxfId="0" priority="1346" operator="lessThan">
      <formula>20</formula>
    </cfRule>
    <cfRule type="cellIs" dxfId="1" priority="785" operator="greaterThan">
      <formula>120</formula>
    </cfRule>
    <cfRule type="containsText" dxfId="2" priority="224" operator="between" text="库存为">
      <formula>NOT(ISERROR(SEARCH("库存为",AU343)))</formula>
    </cfRule>
  </conditionalFormatting>
  <conditionalFormatting sqref="AU344">
    <cfRule type="cellIs" dxfId="0" priority="1345" operator="lessThan">
      <formula>20</formula>
    </cfRule>
    <cfRule type="cellIs" dxfId="1" priority="784" operator="greaterThan">
      <formula>120</formula>
    </cfRule>
    <cfRule type="containsText" dxfId="2" priority="223" operator="between" text="库存为">
      <formula>NOT(ISERROR(SEARCH("库存为",AU344)))</formula>
    </cfRule>
  </conditionalFormatting>
  <conditionalFormatting sqref="AU345">
    <cfRule type="cellIs" dxfId="0" priority="1344" operator="lessThan">
      <formula>20</formula>
    </cfRule>
    <cfRule type="cellIs" dxfId="1" priority="783" operator="greaterThan">
      <formula>120</formula>
    </cfRule>
    <cfRule type="containsText" dxfId="2" priority="222" operator="between" text="库存为">
      <formula>NOT(ISERROR(SEARCH("库存为",AU345)))</formula>
    </cfRule>
  </conditionalFormatting>
  <conditionalFormatting sqref="AU346">
    <cfRule type="cellIs" dxfId="0" priority="1343" operator="lessThan">
      <formula>20</formula>
    </cfRule>
    <cfRule type="cellIs" dxfId="1" priority="782" operator="greaterThan">
      <formula>120</formula>
    </cfRule>
    <cfRule type="containsText" dxfId="2" priority="221" operator="between" text="库存为">
      <formula>NOT(ISERROR(SEARCH("库存为",AU346)))</formula>
    </cfRule>
  </conditionalFormatting>
  <conditionalFormatting sqref="AU347">
    <cfRule type="cellIs" dxfId="0" priority="1342" operator="lessThan">
      <formula>20</formula>
    </cfRule>
    <cfRule type="cellIs" dxfId="1" priority="781" operator="greaterThan">
      <formula>120</formula>
    </cfRule>
    <cfRule type="containsText" dxfId="2" priority="220" operator="between" text="库存为">
      <formula>NOT(ISERROR(SEARCH("库存为",AU347)))</formula>
    </cfRule>
  </conditionalFormatting>
  <conditionalFormatting sqref="AU348">
    <cfRule type="cellIs" dxfId="0" priority="1341" operator="lessThan">
      <formula>20</formula>
    </cfRule>
    <cfRule type="cellIs" dxfId="1" priority="780" operator="greaterThan">
      <formula>120</formula>
    </cfRule>
    <cfRule type="containsText" dxfId="2" priority="219" operator="between" text="库存为">
      <formula>NOT(ISERROR(SEARCH("库存为",AU348)))</formula>
    </cfRule>
  </conditionalFormatting>
  <conditionalFormatting sqref="AU349">
    <cfRule type="cellIs" dxfId="0" priority="1340" operator="lessThan">
      <formula>20</formula>
    </cfRule>
    <cfRule type="cellIs" dxfId="1" priority="779" operator="greaterThan">
      <formula>120</formula>
    </cfRule>
    <cfRule type="containsText" dxfId="2" priority="218" operator="between" text="库存为">
      <formula>NOT(ISERROR(SEARCH("库存为",AU349)))</formula>
    </cfRule>
  </conditionalFormatting>
  <conditionalFormatting sqref="AU350">
    <cfRule type="cellIs" dxfId="0" priority="1339" operator="lessThan">
      <formula>20</formula>
    </cfRule>
    <cfRule type="cellIs" dxfId="1" priority="778" operator="greaterThan">
      <formula>120</formula>
    </cfRule>
    <cfRule type="containsText" dxfId="2" priority="217" operator="between" text="库存为">
      <formula>NOT(ISERROR(SEARCH("库存为",AU350)))</formula>
    </cfRule>
  </conditionalFormatting>
  <conditionalFormatting sqref="AU351">
    <cfRule type="cellIs" dxfId="0" priority="1338" operator="lessThan">
      <formula>20</formula>
    </cfRule>
    <cfRule type="cellIs" dxfId="1" priority="777" operator="greaterThan">
      <formula>120</formula>
    </cfRule>
    <cfRule type="containsText" dxfId="2" priority="216" operator="between" text="库存为">
      <formula>NOT(ISERROR(SEARCH("库存为",AU351)))</formula>
    </cfRule>
  </conditionalFormatting>
  <conditionalFormatting sqref="AU352">
    <cfRule type="cellIs" dxfId="0" priority="1337" operator="lessThan">
      <formula>20</formula>
    </cfRule>
    <cfRule type="cellIs" dxfId="1" priority="776" operator="greaterThan">
      <formula>120</formula>
    </cfRule>
    <cfRule type="containsText" dxfId="2" priority="215" operator="between" text="库存为">
      <formula>NOT(ISERROR(SEARCH("库存为",AU352)))</formula>
    </cfRule>
  </conditionalFormatting>
  <conditionalFormatting sqref="AU353">
    <cfRule type="cellIs" dxfId="0" priority="1336" operator="lessThan">
      <formula>20</formula>
    </cfRule>
    <cfRule type="cellIs" dxfId="1" priority="775" operator="greaterThan">
      <formula>120</formula>
    </cfRule>
    <cfRule type="containsText" dxfId="2" priority="214" operator="between" text="库存为">
      <formula>NOT(ISERROR(SEARCH("库存为",AU353)))</formula>
    </cfRule>
  </conditionalFormatting>
  <conditionalFormatting sqref="AU354">
    <cfRule type="cellIs" dxfId="0" priority="1335" operator="lessThan">
      <formula>20</formula>
    </cfRule>
    <cfRule type="cellIs" dxfId="1" priority="774" operator="greaterThan">
      <formula>120</formula>
    </cfRule>
    <cfRule type="containsText" dxfId="2" priority="213" operator="between" text="库存为">
      <formula>NOT(ISERROR(SEARCH("库存为",AU354)))</formula>
    </cfRule>
  </conditionalFormatting>
  <conditionalFormatting sqref="AU355">
    <cfRule type="cellIs" dxfId="0" priority="1334" operator="lessThan">
      <formula>20</formula>
    </cfRule>
    <cfRule type="cellIs" dxfId="1" priority="773" operator="greaterThan">
      <formula>120</formula>
    </cfRule>
    <cfRule type="containsText" dxfId="2" priority="212" operator="between" text="库存为">
      <formula>NOT(ISERROR(SEARCH("库存为",AU355)))</formula>
    </cfRule>
  </conditionalFormatting>
  <conditionalFormatting sqref="AU356">
    <cfRule type="cellIs" dxfId="0" priority="1333" operator="lessThan">
      <formula>20</formula>
    </cfRule>
    <cfRule type="cellIs" dxfId="1" priority="772" operator="greaterThan">
      <formula>120</formula>
    </cfRule>
    <cfRule type="containsText" dxfId="2" priority="211" operator="between" text="库存为">
      <formula>NOT(ISERROR(SEARCH("库存为",AU356)))</formula>
    </cfRule>
  </conditionalFormatting>
  <conditionalFormatting sqref="AU357">
    <cfRule type="cellIs" dxfId="0" priority="1332" operator="lessThan">
      <formula>20</formula>
    </cfRule>
    <cfRule type="cellIs" dxfId="1" priority="771" operator="greaterThan">
      <formula>120</formula>
    </cfRule>
    <cfRule type="containsText" dxfId="2" priority="210" operator="between" text="库存为">
      <formula>NOT(ISERROR(SEARCH("库存为",AU357)))</formula>
    </cfRule>
  </conditionalFormatting>
  <conditionalFormatting sqref="AU358">
    <cfRule type="cellIs" dxfId="0" priority="1331" operator="lessThan">
      <formula>20</formula>
    </cfRule>
    <cfRule type="cellIs" dxfId="1" priority="770" operator="greaterThan">
      <formula>120</formula>
    </cfRule>
    <cfRule type="containsText" dxfId="2" priority="209" operator="between" text="库存为">
      <formula>NOT(ISERROR(SEARCH("库存为",AU358)))</formula>
    </cfRule>
  </conditionalFormatting>
  <conditionalFormatting sqref="AU359">
    <cfRule type="cellIs" dxfId="0" priority="1330" operator="lessThan">
      <formula>20</formula>
    </cfRule>
    <cfRule type="cellIs" dxfId="1" priority="769" operator="greaterThan">
      <formula>120</formula>
    </cfRule>
    <cfRule type="containsText" dxfId="2" priority="208" operator="between" text="库存为">
      <formula>NOT(ISERROR(SEARCH("库存为",AU359)))</formula>
    </cfRule>
  </conditionalFormatting>
  <conditionalFormatting sqref="AU360">
    <cfRule type="cellIs" dxfId="0" priority="1329" operator="lessThan">
      <formula>20</formula>
    </cfRule>
    <cfRule type="cellIs" dxfId="1" priority="768" operator="greaterThan">
      <formula>120</formula>
    </cfRule>
    <cfRule type="containsText" dxfId="2" priority="207" operator="between" text="库存为">
      <formula>NOT(ISERROR(SEARCH("库存为",AU360)))</formula>
    </cfRule>
  </conditionalFormatting>
  <conditionalFormatting sqref="AU361">
    <cfRule type="cellIs" dxfId="0" priority="1328" operator="lessThan">
      <formula>20</formula>
    </cfRule>
    <cfRule type="cellIs" dxfId="1" priority="767" operator="greaterThan">
      <formula>120</formula>
    </cfRule>
    <cfRule type="containsText" dxfId="2" priority="206" operator="between" text="库存为">
      <formula>NOT(ISERROR(SEARCH("库存为",AU361)))</formula>
    </cfRule>
  </conditionalFormatting>
  <conditionalFormatting sqref="AU362">
    <cfRule type="cellIs" dxfId="0" priority="1327" operator="lessThan">
      <formula>20</formula>
    </cfRule>
    <cfRule type="cellIs" dxfId="1" priority="766" operator="greaterThan">
      <formula>120</formula>
    </cfRule>
    <cfRule type="containsText" dxfId="2" priority="205" operator="between" text="库存为">
      <formula>NOT(ISERROR(SEARCH("库存为",AU362)))</formula>
    </cfRule>
  </conditionalFormatting>
  <conditionalFormatting sqref="AU363">
    <cfRule type="cellIs" dxfId="0" priority="1326" operator="lessThan">
      <formula>20</formula>
    </cfRule>
    <cfRule type="cellIs" dxfId="1" priority="765" operator="greaterThan">
      <formula>120</formula>
    </cfRule>
    <cfRule type="containsText" dxfId="2" priority="204" operator="between" text="库存为">
      <formula>NOT(ISERROR(SEARCH("库存为",AU363)))</formula>
    </cfRule>
  </conditionalFormatting>
  <conditionalFormatting sqref="AU364">
    <cfRule type="cellIs" dxfId="0" priority="1325" operator="lessThan">
      <formula>20</formula>
    </cfRule>
    <cfRule type="cellIs" dxfId="1" priority="764" operator="greaterThan">
      <formula>120</formula>
    </cfRule>
    <cfRule type="containsText" dxfId="2" priority="203" operator="between" text="库存为">
      <formula>NOT(ISERROR(SEARCH("库存为",AU364)))</formula>
    </cfRule>
  </conditionalFormatting>
  <conditionalFormatting sqref="AU365">
    <cfRule type="cellIs" dxfId="0" priority="1324" operator="lessThan">
      <formula>20</formula>
    </cfRule>
    <cfRule type="cellIs" dxfId="1" priority="763" operator="greaterThan">
      <formula>120</formula>
    </cfRule>
    <cfRule type="containsText" dxfId="2" priority="202" operator="between" text="库存为">
      <formula>NOT(ISERROR(SEARCH("库存为",AU365)))</formula>
    </cfRule>
  </conditionalFormatting>
  <conditionalFormatting sqref="AU366">
    <cfRule type="cellIs" dxfId="0" priority="1323" operator="lessThan">
      <formula>20</formula>
    </cfRule>
    <cfRule type="cellIs" dxfId="1" priority="762" operator="greaterThan">
      <formula>120</formula>
    </cfRule>
    <cfRule type="containsText" dxfId="2" priority="201" operator="between" text="库存为">
      <formula>NOT(ISERROR(SEARCH("库存为",AU366)))</formula>
    </cfRule>
  </conditionalFormatting>
  <conditionalFormatting sqref="AU367">
    <cfRule type="cellIs" dxfId="0" priority="1322" operator="lessThan">
      <formula>20</formula>
    </cfRule>
    <cfRule type="cellIs" dxfId="1" priority="761" operator="greaterThan">
      <formula>120</formula>
    </cfRule>
    <cfRule type="containsText" dxfId="2" priority="200" operator="between" text="库存为">
      <formula>NOT(ISERROR(SEARCH("库存为",AU367)))</formula>
    </cfRule>
  </conditionalFormatting>
  <conditionalFormatting sqref="AU368">
    <cfRule type="cellIs" dxfId="0" priority="1321" operator="lessThan">
      <formula>20</formula>
    </cfRule>
    <cfRule type="cellIs" dxfId="1" priority="760" operator="greaterThan">
      <formula>120</formula>
    </cfRule>
    <cfRule type="containsText" dxfId="2" priority="199" operator="between" text="库存为">
      <formula>NOT(ISERROR(SEARCH("库存为",AU368)))</formula>
    </cfRule>
  </conditionalFormatting>
  <conditionalFormatting sqref="AU369">
    <cfRule type="cellIs" dxfId="0" priority="1320" operator="lessThan">
      <formula>20</formula>
    </cfRule>
    <cfRule type="cellIs" dxfId="1" priority="759" operator="greaterThan">
      <formula>120</formula>
    </cfRule>
    <cfRule type="containsText" dxfId="2" priority="198" operator="between" text="库存为">
      <formula>NOT(ISERROR(SEARCH("库存为",AU369)))</formula>
    </cfRule>
  </conditionalFormatting>
  <conditionalFormatting sqref="AU370">
    <cfRule type="cellIs" dxfId="0" priority="1319" operator="lessThan">
      <formula>20</formula>
    </cfRule>
    <cfRule type="cellIs" dxfId="1" priority="758" operator="greaterThan">
      <formula>120</formula>
    </cfRule>
    <cfRule type="containsText" dxfId="2" priority="197" operator="between" text="库存为">
      <formula>NOT(ISERROR(SEARCH("库存为",AU370)))</formula>
    </cfRule>
  </conditionalFormatting>
  <conditionalFormatting sqref="AU371">
    <cfRule type="cellIs" dxfId="0" priority="1318" operator="lessThan">
      <formula>20</formula>
    </cfRule>
    <cfRule type="cellIs" dxfId="1" priority="757" operator="greaterThan">
      <formula>120</formula>
    </cfRule>
    <cfRule type="containsText" dxfId="2" priority="196" operator="between" text="库存为">
      <formula>NOT(ISERROR(SEARCH("库存为",AU371)))</formula>
    </cfRule>
  </conditionalFormatting>
  <conditionalFormatting sqref="AU372">
    <cfRule type="cellIs" dxfId="0" priority="1317" operator="lessThan">
      <formula>20</formula>
    </cfRule>
    <cfRule type="cellIs" dxfId="1" priority="756" operator="greaterThan">
      <formula>120</formula>
    </cfRule>
    <cfRule type="containsText" dxfId="2" priority="195" operator="between" text="库存为">
      <formula>NOT(ISERROR(SEARCH("库存为",AU372)))</formula>
    </cfRule>
  </conditionalFormatting>
  <conditionalFormatting sqref="AU373">
    <cfRule type="cellIs" dxfId="0" priority="1316" operator="lessThan">
      <formula>20</formula>
    </cfRule>
    <cfRule type="cellIs" dxfId="1" priority="755" operator="greaterThan">
      <formula>120</formula>
    </cfRule>
    <cfRule type="containsText" dxfId="2" priority="194" operator="between" text="库存为">
      <formula>NOT(ISERROR(SEARCH("库存为",AU373)))</formula>
    </cfRule>
  </conditionalFormatting>
  <conditionalFormatting sqref="AU374">
    <cfRule type="cellIs" dxfId="0" priority="1315" operator="lessThan">
      <formula>20</formula>
    </cfRule>
    <cfRule type="cellIs" dxfId="1" priority="754" operator="greaterThan">
      <formula>120</formula>
    </cfRule>
    <cfRule type="containsText" dxfId="2" priority="193" operator="between" text="库存为">
      <formula>NOT(ISERROR(SEARCH("库存为",AU374)))</formula>
    </cfRule>
  </conditionalFormatting>
  <conditionalFormatting sqref="AU375">
    <cfRule type="cellIs" dxfId="0" priority="1314" operator="lessThan">
      <formula>20</formula>
    </cfRule>
    <cfRule type="cellIs" dxfId="1" priority="753" operator="greaterThan">
      <formula>120</formula>
    </cfRule>
    <cfRule type="containsText" dxfId="2" priority="192" operator="between" text="库存为">
      <formula>NOT(ISERROR(SEARCH("库存为",AU375)))</formula>
    </cfRule>
  </conditionalFormatting>
  <conditionalFormatting sqref="AU376">
    <cfRule type="cellIs" dxfId="0" priority="1313" operator="lessThan">
      <formula>20</formula>
    </cfRule>
    <cfRule type="cellIs" dxfId="1" priority="752" operator="greaterThan">
      <formula>120</formula>
    </cfRule>
    <cfRule type="containsText" dxfId="2" priority="191" operator="between" text="库存为">
      <formula>NOT(ISERROR(SEARCH("库存为",AU376)))</formula>
    </cfRule>
  </conditionalFormatting>
  <conditionalFormatting sqref="AU377">
    <cfRule type="cellIs" dxfId="0" priority="1312" operator="lessThan">
      <formula>20</formula>
    </cfRule>
    <cfRule type="cellIs" dxfId="1" priority="751" operator="greaterThan">
      <formula>120</formula>
    </cfRule>
    <cfRule type="containsText" dxfId="2" priority="190" operator="between" text="库存为">
      <formula>NOT(ISERROR(SEARCH("库存为",AU377)))</formula>
    </cfRule>
  </conditionalFormatting>
  <conditionalFormatting sqref="AU378">
    <cfRule type="cellIs" dxfId="0" priority="1311" operator="lessThan">
      <formula>20</formula>
    </cfRule>
    <cfRule type="cellIs" dxfId="1" priority="750" operator="greaterThan">
      <formula>120</formula>
    </cfRule>
    <cfRule type="containsText" dxfId="2" priority="189" operator="between" text="库存为">
      <formula>NOT(ISERROR(SEARCH("库存为",AU378)))</formula>
    </cfRule>
  </conditionalFormatting>
  <conditionalFormatting sqref="AU379">
    <cfRule type="cellIs" dxfId="0" priority="1310" operator="lessThan">
      <formula>20</formula>
    </cfRule>
    <cfRule type="cellIs" dxfId="1" priority="749" operator="greaterThan">
      <formula>120</formula>
    </cfRule>
    <cfRule type="containsText" dxfId="2" priority="188" operator="between" text="库存为">
      <formula>NOT(ISERROR(SEARCH("库存为",AU379)))</formula>
    </cfRule>
  </conditionalFormatting>
  <conditionalFormatting sqref="AU380">
    <cfRule type="cellIs" dxfId="0" priority="1309" operator="lessThan">
      <formula>20</formula>
    </cfRule>
    <cfRule type="cellIs" dxfId="1" priority="748" operator="greaterThan">
      <formula>120</formula>
    </cfRule>
    <cfRule type="containsText" dxfId="2" priority="187" operator="between" text="库存为">
      <formula>NOT(ISERROR(SEARCH("库存为",AU380)))</formula>
    </cfRule>
  </conditionalFormatting>
  <conditionalFormatting sqref="AU381">
    <cfRule type="cellIs" dxfId="0" priority="1308" operator="lessThan">
      <formula>20</formula>
    </cfRule>
    <cfRule type="cellIs" dxfId="1" priority="747" operator="greaterThan">
      <formula>120</formula>
    </cfRule>
    <cfRule type="containsText" dxfId="2" priority="186" operator="between" text="库存为">
      <formula>NOT(ISERROR(SEARCH("库存为",AU381)))</formula>
    </cfRule>
  </conditionalFormatting>
  <conditionalFormatting sqref="AU382">
    <cfRule type="cellIs" dxfId="0" priority="1307" operator="lessThan">
      <formula>20</formula>
    </cfRule>
    <cfRule type="cellIs" dxfId="1" priority="746" operator="greaterThan">
      <formula>120</formula>
    </cfRule>
    <cfRule type="containsText" dxfId="2" priority="185" operator="between" text="库存为">
      <formula>NOT(ISERROR(SEARCH("库存为",AU382)))</formula>
    </cfRule>
  </conditionalFormatting>
  <conditionalFormatting sqref="AU383">
    <cfRule type="cellIs" dxfId="0" priority="1306" operator="lessThan">
      <formula>20</formula>
    </cfRule>
    <cfRule type="cellIs" dxfId="1" priority="745" operator="greaterThan">
      <formula>120</formula>
    </cfRule>
    <cfRule type="containsText" dxfId="2" priority="184" operator="between" text="库存为">
      <formula>NOT(ISERROR(SEARCH("库存为",AU383)))</formula>
    </cfRule>
  </conditionalFormatting>
  <conditionalFormatting sqref="AU384">
    <cfRule type="cellIs" dxfId="0" priority="1305" operator="lessThan">
      <formula>20</formula>
    </cfRule>
    <cfRule type="cellIs" dxfId="1" priority="744" operator="greaterThan">
      <formula>120</formula>
    </cfRule>
    <cfRule type="containsText" dxfId="2" priority="183" operator="between" text="库存为">
      <formula>NOT(ISERROR(SEARCH("库存为",AU384)))</formula>
    </cfRule>
  </conditionalFormatting>
  <conditionalFormatting sqref="AU385">
    <cfRule type="cellIs" dxfId="0" priority="1304" operator="lessThan">
      <formula>20</formula>
    </cfRule>
    <cfRule type="cellIs" dxfId="1" priority="743" operator="greaterThan">
      <formula>120</formula>
    </cfRule>
    <cfRule type="containsText" dxfId="2" priority="182" operator="between" text="库存为">
      <formula>NOT(ISERROR(SEARCH("库存为",AU385)))</formula>
    </cfRule>
  </conditionalFormatting>
  <conditionalFormatting sqref="AU386">
    <cfRule type="cellIs" dxfId="0" priority="1303" operator="lessThan">
      <formula>20</formula>
    </cfRule>
    <cfRule type="cellIs" dxfId="1" priority="742" operator="greaterThan">
      <formula>120</formula>
    </cfRule>
    <cfRule type="containsText" dxfId="2" priority="181" operator="between" text="库存为">
      <formula>NOT(ISERROR(SEARCH("库存为",AU386)))</formula>
    </cfRule>
  </conditionalFormatting>
  <conditionalFormatting sqref="AU387">
    <cfRule type="cellIs" dxfId="0" priority="1302" operator="lessThan">
      <formula>20</formula>
    </cfRule>
    <cfRule type="cellIs" dxfId="1" priority="741" operator="greaterThan">
      <formula>120</formula>
    </cfRule>
    <cfRule type="containsText" dxfId="2" priority="180" operator="between" text="库存为">
      <formula>NOT(ISERROR(SEARCH("库存为",AU387)))</formula>
    </cfRule>
  </conditionalFormatting>
  <conditionalFormatting sqref="AU388">
    <cfRule type="cellIs" dxfId="0" priority="1301" operator="lessThan">
      <formula>20</formula>
    </cfRule>
    <cfRule type="cellIs" dxfId="1" priority="740" operator="greaterThan">
      <formula>120</formula>
    </cfRule>
    <cfRule type="containsText" dxfId="2" priority="179" operator="between" text="库存为">
      <formula>NOT(ISERROR(SEARCH("库存为",AU388)))</formula>
    </cfRule>
  </conditionalFormatting>
  <conditionalFormatting sqref="AU389">
    <cfRule type="cellIs" dxfId="0" priority="1300" operator="lessThan">
      <formula>20</formula>
    </cfRule>
    <cfRule type="cellIs" dxfId="1" priority="739" operator="greaterThan">
      <formula>120</formula>
    </cfRule>
    <cfRule type="containsText" dxfId="2" priority="178" operator="between" text="库存为">
      <formula>NOT(ISERROR(SEARCH("库存为",AU389)))</formula>
    </cfRule>
  </conditionalFormatting>
  <conditionalFormatting sqref="AU390">
    <cfRule type="cellIs" dxfId="0" priority="1299" operator="lessThan">
      <formula>20</formula>
    </cfRule>
    <cfRule type="cellIs" dxfId="1" priority="738" operator="greaterThan">
      <formula>120</formula>
    </cfRule>
    <cfRule type="containsText" dxfId="2" priority="177" operator="between" text="库存为">
      <formula>NOT(ISERROR(SEARCH("库存为",AU390)))</formula>
    </cfRule>
  </conditionalFormatting>
  <conditionalFormatting sqref="AU391">
    <cfRule type="cellIs" dxfId="0" priority="1298" operator="lessThan">
      <formula>20</formula>
    </cfRule>
    <cfRule type="cellIs" dxfId="1" priority="737" operator="greaterThan">
      <formula>120</formula>
    </cfRule>
    <cfRule type="containsText" dxfId="2" priority="176" operator="between" text="库存为">
      <formula>NOT(ISERROR(SEARCH("库存为",AU391)))</formula>
    </cfRule>
  </conditionalFormatting>
  <conditionalFormatting sqref="AU392">
    <cfRule type="cellIs" dxfId="0" priority="1297" operator="lessThan">
      <formula>20</formula>
    </cfRule>
    <cfRule type="cellIs" dxfId="1" priority="736" operator="greaterThan">
      <formula>120</formula>
    </cfRule>
    <cfRule type="containsText" dxfId="2" priority="175" operator="between" text="库存为">
      <formula>NOT(ISERROR(SEARCH("库存为",AU392)))</formula>
    </cfRule>
  </conditionalFormatting>
  <conditionalFormatting sqref="AU393">
    <cfRule type="cellIs" dxfId="0" priority="1296" operator="lessThan">
      <formula>20</formula>
    </cfRule>
    <cfRule type="cellIs" dxfId="1" priority="735" operator="greaterThan">
      <formula>120</formula>
    </cfRule>
    <cfRule type="containsText" dxfId="2" priority="174" operator="between" text="库存为">
      <formula>NOT(ISERROR(SEARCH("库存为",AU393)))</formula>
    </cfRule>
  </conditionalFormatting>
  <conditionalFormatting sqref="AU394">
    <cfRule type="cellIs" dxfId="0" priority="1295" operator="lessThan">
      <formula>20</formula>
    </cfRule>
    <cfRule type="cellIs" dxfId="1" priority="734" operator="greaterThan">
      <formula>120</formula>
    </cfRule>
    <cfRule type="containsText" dxfId="2" priority="173" operator="between" text="库存为">
      <formula>NOT(ISERROR(SEARCH("库存为",AU394)))</formula>
    </cfRule>
  </conditionalFormatting>
  <conditionalFormatting sqref="AU395">
    <cfRule type="cellIs" dxfId="0" priority="1294" operator="lessThan">
      <formula>20</formula>
    </cfRule>
    <cfRule type="cellIs" dxfId="1" priority="733" operator="greaterThan">
      <formula>120</formula>
    </cfRule>
    <cfRule type="containsText" dxfId="2" priority="172" operator="between" text="库存为">
      <formula>NOT(ISERROR(SEARCH("库存为",AU395)))</formula>
    </cfRule>
  </conditionalFormatting>
  <conditionalFormatting sqref="AU396">
    <cfRule type="cellIs" dxfId="0" priority="1293" operator="lessThan">
      <formula>20</formula>
    </cfRule>
    <cfRule type="cellIs" dxfId="1" priority="732" operator="greaterThan">
      <formula>120</formula>
    </cfRule>
    <cfRule type="containsText" dxfId="2" priority="171" operator="between" text="库存为">
      <formula>NOT(ISERROR(SEARCH("库存为",AU396)))</formula>
    </cfRule>
  </conditionalFormatting>
  <conditionalFormatting sqref="AU397">
    <cfRule type="cellIs" dxfId="0" priority="1292" operator="lessThan">
      <formula>20</formula>
    </cfRule>
    <cfRule type="cellIs" dxfId="1" priority="731" operator="greaterThan">
      <formula>120</formula>
    </cfRule>
    <cfRule type="containsText" dxfId="2" priority="170" operator="between" text="库存为">
      <formula>NOT(ISERROR(SEARCH("库存为",AU397)))</formula>
    </cfRule>
  </conditionalFormatting>
  <conditionalFormatting sqref="AU398">
    <cfRule type="cellIs" dxfId="0" priority="1291" operator="lessThan">
      <formula>20</formula>
    </cfRule>
    <cfRule type="cellIs" dxfId="1" priority="730" operator="greaterThan">
      <formula>120</formula>
    </cfRule>
    <cfRule type="containsText" dxfId="2" priority="169" operator="between" text="库存为">
      <formula>NOT(ISERROR(SEARCH("库存为",AU398)))</formula>
    </cfRule>
  </conditionalFormatting>
  <conditionalFormatting sqref="AU399">
    <cfRule type="cellIs" dxfId="0" priority="1290" operator="lessThan">
      <formula>20</formula>
    </cfRule>
    <cfRule type="cellIs" dxfId="1" priority="729" operator="greaterThan">
      <formula>120</formula>
    </cfRule>
    <cfRule type="containsText" dxfId="2" priority="168" operator="between" text="库存为">
      <formula>NOT(ISERROR(SEARCH("库存为",AU399)))</formula>
    </cfRule>
  </conditionalFormatting>
  <conditionalFormatting sqref="AU400">
    <cfRule type="cellIs" dxfId="0" priority="1289" operator="lessThan">
      <formula>20</formula>
    </cfRule>
    <cfRule type="cellIs" dxfId="1" priority="728" operator="greaterThan">
      <formula>120</formula>
    </cfRule>
    <cfRule type="containsText" dxfId="2" priority="167" operator="between" text="库存为">
      <formula>NOT(ISERROR(SEARCH("库存为",AU400)))</formula>
    </cfRule>
  </conditionalFormatting>
  <conditionalFormatting sqref="AU401">
    <cfRule type="cellIs" dxfId="0" priority="1288" operator="lessThan">
      <formula>20</formula>
    </cfRule>
    <cfRule type="cellIs" dxfId="1" priority="727" operator="greaterThan">
      <formula>120</formula>
    </cfRule>
    <cfRule type="containsText" dxfId="2" priority="166" operator="between" text="库存为">
      <formula>NOT(ISERROR(SEARCH("库存为",AU401)))</formula>
    </cfRule>
  </conditionalFormatting>
  <conditionalFormatting sqref="AU402">
    <cfRule type="cellIs" dxfId="0" priority="1287" operator="lessThan">
      <formula>20</formula>
    </cfRule>
    <cfRule type="cellIs" dxfId="1" priority="726" operator="greaterThan">
      <formula>120</formula>
    </cfRule>
    <cfRule type="containsText" dxfId="2" priority="165" operator="between" text="库存为">
      <formula>NOT(ISERROR(SEARCH("库存为",AU402)))</formula>
    </cfRule>
  </conditionalFormatting>
  <conditionalFormatting sqref="AU403">
    <cfRule type="cellIs" dxfId="0" priority="1286" operator="lessThan">
      <formula>20</formula>
    </cfRule>
    <cfRule type="cellIs" dxfId="1" priority="725" operator="greaterThan">
      <formula>120</formula>
    </cfRule>
    <cfRule type="containsText" dxfId="2" priority="164" operator="between" text="库存为">
      <formula>NOT(ISERROR(SEARCH("库存为",AU403)))</formula>
    </cfRule>
  </conditionalFormatting>
  <conditionalFormatting sqref="AU404">
    <cfRule type="cellIs" dxfId="0" priority="1285" operator="lessThan">
      <formula>20</formula>
    </cfRule>
    <cfRule type="cellIs" dxfId="1" priority="724" operator="greaterThan">
      <formula>120</formula>
    </cfRule>
    <cfRule type="containsText" dxfId="2" priority="163" operator="between" text="库存为">
      <formula>NOT(ISERROR(SEARCH("库存为",AU404)))</formula>
    </cfRule>
  </conditionalFormatting>
  <conditionalFormatting sqref="AU405">
    <cfRule type="cellIs" dxfId="0" priority="1284" operator="lessThan">
      <formula>20</formula>
    </cfRule>
    <cfRule type="cellIs" dxfId="1" priority="723" operator="greaterThan">
      <formula>120</formula>
    </cfRule>
    <cfRule type="containsText" dxfId="2" priority="162" operator="between" text="库存为">
      <formula>NOT(ISERROR(SEARCH("库存为",AU405)))</formula>
    </cfRule>
  </conditionalFormatting>
  <conditionalFormatting sqref="AU406">
    <cfRule type="cellIs" dxfId="0" priority="1283" operator="lessThan">
      <formula>20</formula>
    </cfRule>
    <cfRule type="cellIs" dxfId="1" priority="722" operator="greaterThan">
      <formula>120</formula>
    </cfRule>
    <cfRule type="containsText" dxfId="2" priority="161" operator="between" text="库存为">
      <formula>NOT(ISERROR(SEARCH("库存为",AU406)))</formula>
    </cfRule>
  </conditionalFormatting>
  <conditionalFormatting sqref="AU407">
    <cfRule type="cellIs" dxfId="0" priority="1282" operator="lessThan">
      <formula>20</formula>
    </cfRule>
    <cfRule type="cellIs" dxfId="1" priority="721" operator="greaterThan">
      <formula>120</formula>
    </cfRule>
    <cfRule type="containsText" dxfId="2" priority="160" operator="between" text="库存为">
      <formula>NOT(ISERROR(SEARCH("库存为",AU407)))</formula>
    </cfRule>
  </conditionalFormatting>
  <conditionalFormatting sqref="AU408">
    <cfRule type="cellIs" dxfId="0" priority="1281" operator="lessThan">
      <formula>20</formula>
    </cfRule>
    <cfRule type="cellIs" dxfId="1" priority="720" operator="greaterThan">
      <formula>120</formula>
    </cfRule>
    <cfRule type="containsText" dxfId="2" priority="159" operator="between" text="库存为">
      <formula>NOT(ISERROR(SEARCH("库存为",AU408)))</formula>
    </cfRule>
  </conditionalFormatting>
  <conditionalFormatting sqref="AU409">
    <cfRule type="cellIs" dxfId="0" priority="1280" operator="lessThan">
      <formula>20</formula>
    </cfRule>
    <cfRule type="cellIs" dxfId="1" priority="719" operator="greaterThan">
      <formula>120</formula>
    </cfRule>
    <cfRule type="containsText" dxfId="2" priority="158" operator="between" text="库存为">
      <formula>NOT(ISERROR(SEARCH("库存为",AU409)))</formula>
    </cfRule>
  </conditionalFormatting>
  <conditionalFormatting sqref="AU410">
    <cfRule type="cellIs" dxfId="0" priority="1279" operator="lessThan">
      <formula>20</formula>
    </cfRule>
    <cfRule type="cellIs" dxfId="1" priority="718" operator="greaterThan">
      <formula>120</formula>
    </cfRule>
    <cfRule type="containsText" dxfId="2" priority="157" operator="between" text="库存为">
      <formula>NOT(ISERROR(SEARCH("库存为",AU410)))</formula>
    </cfRule>
  </conditionalFormatting>
  <conditionalFormatting sqref="AU411">
    <cfRule type="cellIs" dxfId="0" priority="1278" operator="lessThan">
      <formula>20</formula>
    </cfRule>
    <cfRule type="cellIs" dxfId="1" priority="717" operator="greaterThan">
      <formula>120</formula>
    </cfRule>
    <cfRule type="containsText" dxfId="2" priority="156" operator="between" text="库存为">
      <formula>NOT(ISERROR(SEARCH("库存为",AU411)))</formula>
    </cfRule>
  </conditionalFormatting>
  <conditionalFormatting sqref="AU412">
    <cfRule type="cellIs" dxfId="0" priority="1277" operator="lessThan">
      <formula>20</formula>
    </cfRule>
    <cfRule type="cellIs" dxfId="1" priority="716" operator="greaterThan">
      <formula>120</formula>
    </cfRule>
    <cfRule type="containsText" dxfId="2" priority="155" operator="between" text="库存为">
      <formula>NOT(ISERROR(SEARCH("库存为",AU412)))</formula>
    </cfRule>
  </conditionalFormatting>
  <conditionalFormatting sqref="AU413">
    <cfRule type="cellIs" dxfId="0" priority="1276" operator="lessThan">
      <formula>20</formula>
    </cfRule>
    <cfRule type="cellIs" dxfId="1" priority="715" operator="greaterThan">
      <formula>120</formula>
    </cfRule>
    <cfRule type="containsText" dxfId="2" priority="154" operator="between" text="库存为">
      <formula>NOT(ISERROR(SEARCH("库存为",AU413)))</formula>
    </cfRule>
  </conditionalFormatting>
  <conditionalFormatting sqref="AU414">
    <cfRule type="cellIs" dxfId="0" priority="1275" operator="lessThan">
      <formula>20</formula>
    </cfRule>
    <cfRule type="cellIs" dxfId="1" priority="714" operator="greaterThan">
      <formula>120</formula>
    </cfRule>
    <cfRule type="containsText" dxfId="2" priority="153" operator="between" text="库存为">
      <formula>NOT(ISERROR(SEARCH("库存为",AU414)))</formula>
    </cfRule>
  </conditionalFormatting>
  <conditionalFormatting sqref="AU415">
    <cfRule type="cellIs" dxfId="0" priority="1274" operator="lessThan">
      <formula>20</formula>
    </cfRule>
    <cfRule type="cellIs" dxfId="1" priority="713" operator="greaterThan">
      <formula>120</formula>
    </cfRule>
    <cfRule type="containsText" dxfId="2" priority="152" operator="between" text="库存为">
      <formula>NOT(ISERROR(SEARCH("库存为",AU415)))</formula>
    </cfRule>
  </conditionalFormatting>
  <conditionalFormatting sqref="AU416">
    <cfRule type="cellIs" dxfId="0" priority="1273" operator="lessThan">
      <formula>20</formula>
    </cfRule>
    <cfRule type="cellIs" dxfId="1" priority="712" operator="greaterThan">
      <formula>120</formula>
    </cfRule>
    <cfRule type="containsText" dxfId="2" priority="151" operator="between" text="库存为">
      <formula>NOT(ISERROR(SEARCH("库存为",AU416)))</formula>
    </cfRule>
  </conditionalFormatting>
  <conditionalFormatting sqref="AU417">
    <cfRule type="cellIs" dxfId="0" priority="1272" operator="lessThan">
      <formula>20</formula>
    </cfRule>
    <cfRule type="cellIs" dxfId="1" priority="711" operator="greaterThan">
      <formula>120</formula>
    </cfRule>
    <cfRule type="containsText" dxfId="2" priority="150" operator="between" text="库存为">
      <formula>NOT(ISERROR(SEARCH("库存为",AU417)))</formula>
    </cfRule>
  </conditionalFormatting>
  <conditionalFormatting sqref="AU418">
    <cfRule type="cellIs" dxfId="0" priority="1271" operator="lessThan">
      <formula>20</formula>
    </cfRule>
    <cfRule type="cellIs" dxfId="1" priority="710" operator="greaterThan">
      <formula>120</formula>
    </cfRule>
    <cfRule type="containsText" dxfId="2" priority="149" operator="between" text="库存为">
      <formula>NOT(ISERROR(SEARCH("库存为",AU418)))</formula>
    </cfRule>
  </conditionalFormatting>
  <conditionalFormatting sqref="AU419">
    <cfRule type="cellIs" dxfId="0" priority="1270" operator="lessThan">
      <formula>20</formula>
    </cfRule>
    <cfRule type="cellIs" dxfId="1" priority="709" operator="greaterThan">
      <formula>120</formula>
    </cfRule>
    <cfRule type="containsText" dxfId="2" priority="148" operator="between" text="库存为">
      <formula>NOT(ISERROR(SEARCH("库存为",AU419)))</formula>
    </cfRule>
  </conditionalFormatting>
  <conditionalFormatting sqref="AU420">
    <cfRule type="cellIs" dxfId="0" priority="1269" operator="lessThan">
      <formula>20</formula>
    </cfRule>
    <cfRule type="cellIs" dxfId="1" priority="708" operator="greaterThan">
      <formula>120</formula>
    </cfRule>
    <cfRule type="containsText" dxfId="2" priority="147" operator="between" text="库存为">
      <formula>NOT(ISERROR(SEARCH("库存为",AU420)))</formula>
    </cfRule>
  </conditionalFormatting>
  <conditionalFormatting sqref="AU421">
    <cfRule type="cellIs" dxfId="0" priority="1268" operator="lessThan">
      <formula>20</formula>
    </cfRule>
    <cfRule type="cellIs" dxfId="1" priority="707" operator="greaterThan">
      <formula>120</formula>
    </cfRule>
    <cfRule type="containsText" dxfId="2" priority="146" operator="between" text="库存为">
      <formula>NOT(ISERROR(SEARCH("库存为",AU421)))</formula>
    </cfRule>
  </conditionalFormatting>
  <conditionalFormatting sqref="AU422">
    <cfRule type="cellIs" dxfId="0" priority="1267" operator="lessThan">
      <formula>20</formula>
    </cfRule>
    <cfRule type="cellIs" dxfId="1" priority="706" operator="greaterThan">
      <formula>120</formula>
    </cfRule>
    <cfRule type="containsText" dxfId="2" priority="145" operator="between" text="库存为">
      <formula>NOT(ISERROR(SEARCH("库存为",AU422)))</formula>
    </cfRule>
  </conditionalFormatting>
  <conditionalFormatting sqref="AU423">
    <cfRule type="cellIs" dxfId="0" priority="1266" operator="lessThan">
      <formula>20</formula>
    </cfRule>
    <cfRule type="cellIs" dxfId="1" priority="705" operator="greaterThan">
      <formula>120</formula>
    </cfRule>
    <cfRule type="containsText" dxfId="2" priority="144" operator="between" text="库存为">
      <formula>NOT(ISERROR(SEARCH("库存为",AU423)))</formula>
    </cfRule>
  </conditionalFormatting>
  <conditionalFormatting sqref="AU424">
    <cfRule type="cellIs" dxfId="0" priority="1265" operator="lessThan">
      <formula>20</formula>
    </cfRule>
    <cfRule type="cellIs" dxfId="1" priority="704" operator="greaterThan">
      <formula>120</formula>
    </cfRule>
    <cfRule type="containsText" dxfId="2" priority="143" operator="between" text="库存为">
      <formula>NOT(ISERROR(SEARCH("库存为",AU424)))</formula>
    </cfRule>
  </conditionalFormatting>
  <conditionalFormatting sqref="AU425">
    <cfRule type="cellIs" dxfId="0" priority="1264" operator="lessThan">
      <formula>20</formula>
    </cfRule>
    <cfRule type="cellIs" dxfId="1" priority="703" operator="greaterThan">
      <formula>120</formula>
    </cfRule>
    <cfRule type="containsText" dxfId="2" priority="142" operator="between" text="库存为">
      <formula>NOT(ISERROR(SEARCH("库存为",AU425)))</formula>
    </cfRule>
  </conditionalFormatting>
  <conditionalFormatting sqref="AU426">
    <cfRule type="cellIs" dxfId="0" priority="1263" operator="lessThan">
      <formula>20</formula>
    </cfRule>
    <cfRule type="cellIs" dxfId="1" priority="702" operator="greaterThan">
      <formula>120</formula>
    </cfRule>
    <cfRule type="containsText" dxfId="2" priority="141" operator="between" text="库存为">
      <formula>NOT(ISERROR(SEARCH("库存为",AU426)))</formula>
    </cfRule>
  </conditionalFormatting>
  <conditionalFormatting sqref="AU427">
    <cfRule type="cellIs" dxfId="0" priority="1262" operator="lessThan">
      <formula>20</formula>
    </cfRule>
    <cfRule type="cellIs" dxfId="1" priority="701" operator="greaterThan">
      <formula>120</formula>
    </cfRule>
    <cfRule type="containsText" dxfId="2" priority="140" operator="between" text="库存为">
      <formula>NOT(ISERROR(SEARCH("库存为",AU427)))</formula>
    </cfRule>
  </conditionalFormatting>
  <conditionalFormatting sqref="AU428">
    <cfRule type="cellIs" dxfId="0" priority="1261" operator="lessThan">
      <formula>20</formula>
    </cfRule>
    <cfRule type="cellIs" dxfId="1" priority="700" operator="greaterThan">
      <formula>120</formula>
    </cfRule>
    <cfRule type="containsText" dxfId="2" priority="139" operator="between" text="库存为">
      <formula>NOT(ISERROR(SEARCH("库存为",AU428)))</formula>
    </cfRule>
  </conditionalFormatting>
  <conditionalFormatting sqref="AU429">
    <cfRule type="cellIs" dxfId="0" priority="1260" operator="lessThan">
      <formula>20</formula>
    </cfRule>
    <cfRule type="cellIs" dxfId="1" priority="699" operator="greaterThan">
      <formula>120</formula>
    </cfRule>
    <cfRule type="containsText" dxfId="2" priority="138" operator="between" text="库存为">
      <formula>NOT(ISERROR(SEARCH("库存为",AU429)))</formula>
    </cfRule>
  </conditionalFormatting>
  <conditionalFormatting sqref="AU430">
    <cfRule type="cellIs" dxfId="0" priority="1259" operator="lessThan">
      <formula>20</formula>
    </cfRule>
    <cfRule type="cellIs" dxfId="1" priority="698" operator="greaterThan">
      <formula>120</formula>
    </cfRule>
    <cfRule type="containsText" dxfId="2" priority="137" operator="between" text="库存为">
      <formula>NOT(ISERROR(SEARCH("库存为",AU430)))</formula>
    </cfRule>
  </conditionalFormatting>
  <conditionalFormatting sqref="AU431">
    <cfRule type="cellIs" dxfId="0" priority="1258" operator="lessThan">
      <formula>20</formula>
    </cfRule>
    <cfRule type="cellIs" dxfId="1" priority="697" operator="greaterThan">
      <formula>120</formula>
    </cfRule>
    <cfRule type="containsText" dxfId="2" priority="136" operator="between" text="库存为">
      <formula>NOT(ISERROR(SEARCH("库存为",AU431)))</formula>
    </cfRule>
  </conditionalFormatting>
  <conditionalFormatting sqref="AU432">
    <cfRule type="cellIs" dxfId="0" priority="1257" operator="lessThan">
      <formula>20</formula>
    </cfRule>
    <cfRule type="cellIs" dxfId="1" priority="696" operator="greaterThan">
      <formula>120</formula>
    </cfRule>
    <cfRule type="containsText" dxfId="2" priority="135" operator="between" text="库存为">
      <formula>NOT(ISERROR(SEARCH("库存为",AU432)))</formula>
    </cfRule>
  </conditionalFormatting>
  <conditionalFormatting sqref="AU433">
    <cfRule type="cellIs" dxfId="0" priority="1256" operator="lessThan">
      <formula>20</formula>
    </cfRule>
    <cfRule type="cellIs" dxfId="1" priority="695" operator="greaterThan">
      <formula>120</formula>
    </cfRule>
    <cfRule type="containsText" dxfId="2" priority="134" operator="between" text="库存为">
      <formula>NOT(ISERROR(SEARCH("库存为",AU433)))</formula>
    </cfRule>
  </conditionalFormatting>
  <conditionalFormatting sqref="AU434">
    <cfRule type="cellIs" dxfId="0" priority="1255" operator="lessThan">
      <formula>20</formula>
    </cfRule>
    <cfRule type="cellIs" dxfId="1" priority="694" operator="greaterThan">
      <formula>120</formula>
    </cfRule>
    <cfRule type="containsText" dxfId="2" priority="133" operator="between" text="库存为">
      <formula>NOT(ISERROR(SEARCH("库存为",AU434)))</formula>
    </cfRule>
  </conditionalFormatting>
  <conditionalFormatting sqref="AU435">
    <cfRule type="cellIs" dxfId="0" priority="1254" operator="lessThan">
      <formula>20</formula>
    </cfRule>
    <cfRule type="cellIs" dxfId="1" priority="693" operator="greaterThan">
      <formula>120</formula>
    </cfRule>
    <cfRule type="containsText" dxfId="2" priority="132" operator="between" text="库存为">
      <formula>NOT(ISERROR(SEARCH("库存为",AU435)))</formula>
    </cfRule>
  </conditionalFormatting>
  <conditionalFormatting sqref="AU436">
    <cfRule type="cellIs" dxfId="0" priority="1253" operator="lessThan">
      <formula>20</formula>
    </cfRule>
    <cfRule type="cellIs" dxfId="1" priority="692" operator="greaterThan">
      <formula>120</formula>
    </cfRule>
    <cfRule type="containsText" dxfId="2" priority="131" operator="between" text="库存为">
      <formula>NOT(ISERROR(SEARCH("库存为",AU436)))</formula>
    </cfRule>
  </conditionalFormatting>
  <conditionalFormatting sqref="AU437">
    <cfRule type="cellIs" dxfId="0" priority="1252" operator="lessThan">
      <formula>20</formula>
    </cfRule>
    <cfRule type="cellIs" dxfId="1" priority="691" operator="greaterThan">
      <formula>120</formula>
    </cfRule>
    <cfRule type="containsText" dxfId="2" priority="130" operator="between" text="库存为">
      <formula>NOT(ISERROR(SEARCH("库存为",AU437)))</formula>
    </cfRule>
  </conditionalFormatting>
  <conditionalFormatting sqref="AU438">
    <cfRule type="cellIs" dxfId="0" priority="1251" operator="lessThan">
      <formula>20</formula>
    </cfRule>
    <cfRule type="cellIs" dxfId="1" priority="690" operator="greaterThan">
      <formula>120</formula>
    </cfRule>
    <cfRule type="containsText" dxfId="2" priority="129" operator="between" text="库存为">
      <formula>NOT(ISERROR(SEARCH("库存为",AU438)))</formula>
    </cfRule>
  </conditionalFormatting>
  <conditionalFormatting sqref="AU439">
    <cfRule type="cellIs" dxfId="0" priority="1250" operator="lessThan">
      <formula>20</formula>
    </cfRule>
    <cfRule type="cellIs" dxfId="1" priority="689" operator="greaterThan">
      <formula>120</formula>
    </cfRule>
    <cfRule type="containsText" dxfId="2" priority="128" operator="between" text="库存为">
      <formula>NOT(ISERROR(SEARCH("库存为",AU439)))</formula>
    </cfRule>
  </conditionalFormatting>
  <conditionalFormatting sqref="AU440">
    <cfRule type="cellIs" dxfId="0" priority="1249" operator="lessThan">
      <formula>20</formula>
    </cfRule>
    <cfRule type="cellIs" dxfId="1" priority="688" operator="greaterThan">
      <formula>120</formula>
    </cfRule>
    <cfRule type="containsText" dxfId="2" priority="127" operator="between" text="库存为">
      <formula>NOT(ISERROR(SEARCH("库存为",AU440)))</formula>
    </cfRule>
  </conditionalFormatting>
  <conditionalFormatting sqref="AU441">
    <cfRule type="cellIs" dxfId="0" priority="1248" operator="lessThan">
      <formula>20</formula>
    </cfRule>
    <cfRule type="cellIs" dxfId="1" priority="687" operator="greaterThan">
      <formula>120</formula>
    </cfRule>
    <cfRule type="containsText" dxfId="2" priority="126" operator="between" text="库存为">
      <formula>NOT(ISERROR(SEARCH("库存为",AU441)))</formula>
    </cfRule>
  </conditionalFormatting>
  <conditionalFormatting sqref="AU442">
    <cfRule type="cellIs" dxfId="0" priority="1247" operator="lessThan">
      <formula>20</formula>
    </cfRule>
    <cfRule type="cellIs" dxfId="1" priority="686" operator="greaterThan">
      <formula>120</formula>
    </cfRule>
    <cfRule type="containsText" dxfId="2" priority="125" operator="between" text="库存为">
      <formula>NOT(ISERROR(SEARCH("库存为",AU442)))</formula>
    </cfRule>
  </conditionalFormatting>
  <conditionalFormatting sqref="AU443">
    <cfRule type="cellIs" dxfId="0" priority="1246" operator="lessThan">
      <formula>20</formula>
    </cfRule>
    <cfRule type="cellIs" dxfId="1" priority="685" operator="greaterThan">
      <formula>120</formula>
    </cfRule>
    <cfRule type="containsText" dxfId="2" priority="124" operator="between" text="库存为">
      <formula>NOT(ISERROR(SEARCH("库存为",AU443)))</formula>
    </cfRule>
  </conditionalFormatting>
  <conditionalFormatting sqref="AU444">
    <cfRule type="cellIs" dxfId="0" priority="1245" operator="lessThan">
      <formula>20</formula>
    </cfRule>
    <cfRule type="cellIs" dxfId="1" priority="684" operator="greaterThan">
      <formula>120</formula>
    </cfRule>
    <cfRule type="containsText" dxfId="2" priority="123" operator="between" text="库存为">
      <formula>NOT(ISERROR(SEARCH("库存为",AU444)))</formula>
    </cfRule>
  </conditionalFormatting>
  <conditionalFormatting sqref="AU445">
    <cfRule type="cellIs" dxfId="0" priority="1244" operator="lessThan">
      <formula>20</formula>
    </cfRule>
    <cfRule type="cellIs" dxfId="1" priority="683" operator="greaterThan">
      <formula>120</formula>
    </cfRule>
    <cfRule type="containsText" dxfId="2" priority="122" operator="between" text="库存为">
      <formula>NOT(ISERROR(SEARCH("库存为",AU445)))</formula>
    </cfRule>
  </conditionalFormatting>
  <conditionalFormatting sqref="AU446">
    <cfRule type="cellIs" dxfId="0" priority="1243" operator="lessThan">
      <formula>20</formula>
    </cfRule>
    <cfRule type="cellIs" dxfId="1" priority="682" operator="greaterThan">
      <formula>120</formula>
    </cfRule>
    <cfRule type="containsText" dxfId="2" priority="121" operator="between" text="库存为">
      <formula>NOT(ISERROR(SEARCH("库存为",AU446)))</formula>
    </cfRule>
  </conditionalFormatting>
  <conditionalFormatting sqref="AU447">
    <cfRule type="cellIs" dxfId="0" priority="1242" operator="lessThan">
      <formula>20</formula>
    </cfRule>
    <cfRule type="cellIs" dxfId="1" priority="681" operator="greaterThan">
      <formula>120</formula>
    </cfRule>
    <cfRule type="containsText" dxfId="2" priority="120" operator="between" text="库存为">
      <formula>NOT(ISERROR(SEARCH("库存为",AU447)))</formula>
    </cfRule>
  </conditionalFormatting>
  <conditionalFormatting sqref="AU448">
    <cfRule type="cellIs" dxfId="0" priority="1241" operator="lessThan">
      <formula>20</formula>
    </cfRule>
    <cfRule type="cellIs" dxfId="1" priority="680" operator="greaterThan">
      <formula>120</formula>
    </cfRule>
    <cfRule type="containsText" dxfId="2" priority="119" operator="between" text="库存为">
      <formula>NOT(ISERROR(SEARCH("库存为",AU448)))</formula>
    </cfRule>
  </conditionalFormatting>
  <conditionalFormatting sqref="AU449">
    <cfRule type="cellIs" dxfId="0" priority="1240" operator="lessThan">
      <formula>20</formula>
    </cfRule>
    <cfRule type="cellIs" dxfId="1" priority="679" operator="greaterThan">
      <formula>120</formula>
    </cfRule>
    <cfRule type="containsText" dxfId="2" priority="118" operator="between" text="库存为">
      <formula>NOT(ISERROR(SEARCH("库存为",AU449)))</formula>
    </cfRule>
  </conditionalFormatting>
  <conditionalFormatting sqref="AU450">
    <cfRule type="cellIs" dxfId="0" priority="1239" operator="lessThan">
      <formula>20</formula>
    </cfRule>
    <cfRule type="cellIs" dxfId="1" priority="678" operator="greaterThan">
      <formula>120</formula>
    </cfRule>
    <cfRule type="containsText" dxfId="2" priority="117" operator="between" text="库存为">
      <formula>NOT(ISERROR(SEARCH("库存为",AU450)))</formula>
    </cfRule>
  </conditionalFormatting>
  <conditionalFormatting sqref="AU451">
    <cfRule type="cellIs" dxfId="0" priority="1238" operator="lessThan">
      <formula>20</formula>
    </cfRule>
    <cfRule type="cellIs" dxfId="1" priority="677" operator="greaterThan">
      <formula>120</formula>
    </cfRule>
    <cfRule type="containsText" dxfId="2" priority="116" operator="between" text="库存为">
      <formula>NOT(ISERROR(SEARCH("库存为",AU451)))</formula>
    </cfRule>
  </conditionalFormatting>
  <conditionalFormatting sqref="AU452">
    <cfRule type="cellIs" dxfId="0" priority="1237" operator="lessThan">
      <formula>20</formula>
    </cfRule>
    <cfRule type="cellIs" dxfId="1" priority="676" operator="greaterThan">
      <formula>120</formula>
    </cfRule>
    <cfRule type="containsText" dxfId="2" priority="115" operator="between" text="库存为">
      <formula>NOT(ISERROR(SEARCH("库存为",AU452)))</formula>
    </cfRule>
  </conditionalFormatting>
  <conditionalFormatting sqref="AU453">
    <cfRule type="cellIs" dxfId="0" priority="1236" operator="lessThan">
      <formula>20</formula>
    </cfRule>
    <cfRule type="cellIs" dxfId="1" priority="675" operator="greaterThan">
      <formula>120</formula>
    </cfRule>
    <cfRule type="containsText" dxfId="2" priority="114" operator="between" text="库存为">
      <formula>NOT(ISERROR(SEARCH("库存为",AU453)))</formula>
    </cfRule>
  </conditionalFormatting>
  <conditionalFormatting sqref="AU454">
    <cfRule type="cellIs" dxfId="0" priority="1235" operator="lessThan">
      <formula>20</formula>
    </cfRule>
    <cfRule type="cellIs" dxfId="1" priority="674" operator="greaterThan">
      <formula>120</formula>
    </cfRule>
    <cfRule type="containsText" dxfId="2" priority="113" operator="between" text="库存为">
      <formula>NOT(ISERROR(SEARCH("库存为",AU454)))</formula>
    </cfRule>
  </conditionalFormatting>
  <conditionalFormatting sqref="AU455">
    <cfRule type="cellIs" dxfId="0" priority="1234" operator="lessThan">
      <formula>20</formula>
    </cfRule>
    <cfRule type="cellIs" dxfId="1" priority="673" operator="greaterThan">
      <formula>120</formula>
    </cfRule>
    <cfRule type="containsText" dxfId="2" priority="112" operator="between" text="库存为">
      <formula>NOT(ISERROR(SEARCH("库存为",AU455)))</formula>
    </cfRule>
  </conditionalFormatting>
  <conditionalFormatting sqref="AU456">
    <cfRule type="cellIs" dxfId="0" priority="1233" operator="lessThan">
      <formula>20</formula>
    </cfRule>
    <cfRule type="cellIs" dxfId="1" priority="672" operator="greaterThan">
      <formula>120</formula>
    </cfRule>
    <cfRule type="containsText" dxfId="2" priority="111" operator="between" text="库存为">
      <formula>NOT(ISERROR(SEARCH("库存为",AU456)))</formula>
    </cfRule>
  </conditionalFormatting>
  <conditionalFormatting sqref="AU457">
    <cfRule type="cellIs" dxfId="0" priority="1232" operator="lessThan">
      <formula>20</formula>
    </cfRule>
    <cfRule type="cellIs" dxfId="1" priority="671" operator="greaterThan">
      <formula>120</formula>
    </cfRule>
    <cfRule type="containsText" dxfId="2" priority="110" operator="between" text="库存为">
      <formula>NOT(ISERROR(SEARCH("库存为",AU457)))</formula>
    </cfRule>
  </conditionalFormatting>
  <conditionalFormatting sqref="AU458">
    <cfRule type="cellIs" dxfId="0" priority="1231" operator="lessThan">
      <formula>20</formula>
    </cfRule>
    <cfRule type="cellIs" dxfId="1" priority="670" operator="greaterThan">
      <formula>120</formula>
    </cfRule>
    <cfRule type="containsText" dxfId="2" priority="109" operator="between" text="库存为">
      <formula>NOT(ISERROR(SEARCH("库存为",AU458)))</formula>
    </cfRule>
  </conditionalFormatting>
  <conditionalFormatting sqref="AU459">
    <cfRule type="cellIs" dxfId="0" priority="1230" operator="lessThan">
      <formula>20</formula>
    </cfRule>
    <cfRule type="cellIs" dxfId="1" priority="669" operator="greaterThan">
      <formula>120</formula>
    </cfRule>
    <cfRule type="containsText" dxfId="2" priority="108" operator="between" text="库存为">
      <formula>NOT(ISERROR(SEARCH("库存为",AU459)))</formula>
    </cfRule>
  </conditionalFormatting>
  <conditionalFormatting sqref="AU460">
    <cfRule type="cellIs" dxfId="0" priority="1229" operator="lessThan">
      <formula>20</formula>
    </cfRule>
    <cfRule type="cellIs" dxfId="1" priority="668" operator="greaterThan">
      <formula>120</formula>
    </cfRule>
    <cfRule type="containsText" dxfId="2" priority="107" operator="between" text="库存为">
      <formula>NOT(ISERROR(SEARCH("库存为",AU460)))</formula>
    </cfRule>
  </conditionalFormatting>
  <conditionalFormatting sqref="AU461">
    <cfRule type="cellIs" dxfId="0" priority="1228" operator="lessThan">
      <formula>20</formula>
    </cfRule>
    <cfRule type="cellIs" dxfId="1" priority="667" operator="greaterThan">
      <formula>120</formula>
    </cfRule>
    <cfRule type="containsText" dxfId="2" priority="106" operator="between" text="库存为">
      <formula>NOT(ISERROR(SEARCH("库存为",AU461)))</formula>
    </cfRule>
  </conditionalFormatting>
  <conditionalFormatting sqref="AU462">
    <cfRule type="cellIs" dxfId="0" priority="1227" operator="lessThan">
      <formula>20</formula>
    </cfRule>
    <cfRule type="cellIs" dxfId="1" priority="666" operator="greaterThan">
      <formula>120</formula>
    </cfRule>
    <cfRule type="containsText" dxfId="2" priority="105" operator="between" text="库存为">
      <formula>NOT(ISERROR(SEARCH("库存为",AU462)))</formula>
    </cfRule>
  </conditionalFormatting>
  <conditionalFormatting sqref="AU463">
    <cfRule type="cellIs" dxfId="0" priority="1226" operator="lessThan">
      <formula>20</formula>
    </cfRule>
    <cfRule type="cellIs" dxfId="1" priority="665" operator="greaterThan">
      <formula>120</formula>
    </cfRule>
    <cfRule type="containsText" dxfId="2" priority="104" operator="between" text="库存为">
      <formula>NOT(ISERROR(SEARCH("库存为",AU463)))</formula>
    </cfRule>
  </conditionalFormatting>
  <conditionalFormatting sqref="AU464">
    <cfRule type="cellIs" dxfId="0" priority="1225" operator="lessThan">
      <formula>20</formula>
    </cfRule>
    <cfRule type="cellIs" dxfId="1" priority="664" operator="greaterThan">
      <formula>120</formula>
    </cfRule>
    <cfRule type="containsText" dxfId="2" priority="103" operator="between" text="库存为">
      <formula>NOT(ISERROR(SEARCH("库存为",AU464)))</formula>
    </cfRule>
  </conditionalFormatting>
  <conditionalFormatting sqref="AU465">
    <cfRule type="cellIs" dxfId="0" priority="1224" operator="lessThan">
      <formula>20</formula>
    </cfRule>
    <cfRule type="cellIs" dxfId="1" priority="663" operator="greaterThan">
      <formula>120</formula>
    </cfRule>
    <cfRule type="containsText" dxfId="2" priority="102" operator="between" text="库存为">
      <formula>NOT(ISERROR(SEARCH("库存为",AU465)))</formula>
    </cfRule>
  </conditionalFormatting>
  <conditionalFormatting sqref="AU466">
    <cfRule type="cellIs" dxfId="0" priority="1223" operator="lessThan">
      <formula>20</formula>
    </cfRule>
    <cfRule type="cellIs" dxfId="1" priority="662" operator="greaterThan">
      <formula>120</formula>
    </cfRule>
    <cfRule type="containsText" dxfId="2" priority="101" operator="between" text="库存为">
      <formula>NOT(ISERROR(SEARCH("库存为",AU466)))</formula>
    </cfRule>
  </conditionalFormatting>
  <conditionalFormatting sqref="AU467">
    <cfRule type="cellIs" dxfId="0" priority="1222" operator="lessThan">
      <formula>20</formula>
    </cfRule>
    <cfRule type="cellIs" dxfId="1" priority="661" operator="greaterThan">
      <formula>120</formula>
    </cfRule>
    <cfRule type="containsText" dxfId="2" priority="100" operator="between" text="库存为">
      <formula>NOT(ISERROR(SEARCH("库存为",AU467)))</formula>
    </cfRule>
  </conditionalFormatting>
  <conditionalFormatting sqref="AU468">
    <cfRule type="cellIs" dxfId="0" priority="1221" operator="lessThan">
      <formula>20</formula>
    </cfRule>
    <cfRule type="cellIs" dxfId="1" priority="660" operator="greaterThan">
      <formula>120</formula>
    </cfRule>
    <cfRule type="containsText" dxfId="2" priority="99" operator="between" text="库存为">
      <formula>NOT(ISERROR(SEARCH("库存为",AU468)))</formula>
    </cfRule>
  </conditionalFormatting>
  <conditionalFormatting sqref="AU469">
    <cfRule type="cellIs" dxfId="0" priority="1220" operator="lessThan">
      <formula>20</formula>
    </cfRule>
    <cfRule type="cellIs" dxfId="1" priority="659" operator="greaterThan">
      <formula>120</formula>
    </cfRule>
    <cfRule type="containsText" dxfId="2" priority="98" operator="between" text="库存为">
      <formula>NOT(ISERROR(SEARCH("库存为",AU469)))</formula>
    </cfRule>
  </conditionalFormatting>
  <conditionalFormatting sqref="AU470">
    <cfRule type="cellIs" dxfId="0" priority="1219" operator="lessThan">
      <formula>20</formula>
    </cfRule>
    <cfRule type="cellIs" dxfId="1" priority="658" operator="greaterThan">
      <formula>120</formula>
    </cfRule>
    <cfRule type="containsText" dxfId="2" priority="97" operator="between" text="库存为">
      <formula>NOT(ISERROR(SEARCH("库存为",AU470)))</formula>
    </cfRule>
  </conditionalFormatting>
  <conditionalFormatting sqref="AU471">
    <cfRule type="cellIs" dxfId="0" priority="1218" operator="lessThan">
      <formula>20</formula>
    </cfRule>
    <cfRule type="cellIs" dxfId="1" priority="657" operator="greaterThan">
      <formula>120</formula>
    </cfRule>
    <cfRule type="containsText" dxfId="2" priority="96" operator="between" text="库存为">
      <formula>NOT(ISERROR(SEARCH("库存为",AU471)))</formula>
    </cfRule>
  </conditionalFormatting>
  <conditionalFormatting sqref="AU472">
    <cfRule type="cellIs" dxfId="0" priority="1217" operator="lessThan">
      <formula>20</formula>
    </cfRule>
    <cfRule type="cellIs" dxfId="1" priority="656" operator="greaterThan">
      <formula>120</formula>
    </cfRule>
    <cfRule type="containsText" dxfId="2" priority="95" operator="between" text="库存为">
      <formula>NOT(ISERROR(SEARCH("库存为",AU472)))</formula>
    </cfRule>
  </conditionalFormatting>
  <conditionalFormatting sqref="AU473">
    <cfRule type="cellIs" dxfId="0" priority="1216" operator="lessThan">
      <formula>20</formula>
    </cfRule>
    <cfRule type="cellIs" dxfId="1" priority="655" operator="greaterThan">
      <formula>120</formula>
    </cfRule>
    <cfRule type="containsText" dxfId="2" priority="94" operator="between" text="库存为">
      <formula>NOT(ISERROR(SEARCH("库存为",AU473)))</formula>
    </cfRule>
  </conditionalFormatting>
  <conditionalFormatting sqref="AU474">
    <cfRule type="cellIs" dxfId="0" priority="1215" operator="lessThan">
      <formula>20</formula>
    </cfRule>
    <cfRule type="cellIs" dxfId="1" priority="654" operator="greaterThan">
      <formula>120</formula>
    </cfRule>
    <cfRule type="containsText" dxfId="2" priority="93" operator="between" text="库存为">
      <formula>NOT(ISERROR(SEARCH("库存为",AU474)))</formula>
    </cfRule>
  </conditionalFormatting>
  <conditionalFormatting sqref="AU475">
    <cfRule type="cellIs" dxfId="0" priority="1214" operator="lessThan">
      <formula>20</formula>
    </cfRule>
    <cfRule type="cellIs" dxfId="1" priority="653" operator="greaterThan">
      <formula>120</formula>
    </cfRule>
    <cfRule type="containsText" dxfId="2" priority="92" operator="between" text="库存为">
      <formula>NOT(ISERROR(SEARCH("库存为",AU475)))</formula>
    </cfRule>
  </conditionalFormatting>
  <conditionalFormatting sqref="AU476">
    <cfRule type="cellIs" dxfId="0" priority="1213" operator="lessThan">
      <formula>20</formula>
    </cfRule>
    <cfRule type="cellIs" dxfId="1" priority="652" operator="greaterThan">
      <formula>120</formula>
    </cfRule>
    <cfRule type="containsText" dxfId="2" priority="91" operator="between" text="库存为">
      <formula>NOT(ISERROR(SEARCH("库存为",AU476)))</formula>
    </cfRule>
  </conditionalFormatting>
  <conditionalFormatting sqref="AU477">
    <cfRule type="cellIs" dxfId="0" priority="1212" operator="lessThan">
      <formula>20</formula>
    </cfRule>
    <cfRule type="cellIs" dxfId="1" priority="651" operator="greaterThan">
      <formula>120</formula>
    </cfRule>
    <cfRule type="containsText" dxfId="2" priority="90" operator="between" text="库存为">
      <formula>NOT(ISERROR(SEARCH("库存为",AU477)))</formula>
    </cfRule>
  </conditionalFormatting>
  <conditionalFormatting sqref="AU478">
    <cfRule type="cellIs" dxfId="0" priority="1211" operator="lessThan">
      <formula>20</formula>
    </cfRule>
    <cfRule type="cellIs" dxfId="1" priority="650" operator="greaterThan">
      <formula>120</formula>
    </cfRule>
    <cfRule type="containsText" dxfId="2" priority="89" operator="between" text="库存为">
      <formula>NOT(ISERROR(SEARCH("库存为",AU478)))</formula>
    </cfRule>
  </conditionalFormatting>
  <conditionalFormatting sqref="AU479">
    <cfRule type="cellIs" dxfId="0" priority="1210" operator="lessThan">
      <formula>20</formula>
    </cfRule>
    <cfRule type="cellIs" dxfId="1" priority="649" operator="greaterThan">
      <formula>120</formula>
    </cfRule>
    <cfRule type="containsText" dxfId="2" priority="88" operator="between" text="库存为">
      <formula>NOT(ISERROR(SEARCH("库存为",AU479)))</formula>
    </cfRule>
  </conditionalFormatting>
  <conditionalFormatting sqref="AU480">
    <cfRule type="cellIs" dxfId="0" priority="1209" operator="lessThan">
      <formula>20</formula>
    </cfRule>
    <cfRule type="cellIs" dxfId="1" priority="648" operator="greaterThan">
      <formula>120</formula>
    </cfRule>
    <cfRule type="containsText" dxfId="2" priority="87" operator="between" text="库存为">
      <formula>NOT(ISERROR(SEARCH("库存为",AU480)))</formula>
    </cfRule>
  </conditionalFormatting>
  <conditionalFormatting sqref="AU481">
    <cfRule type="cellIs" dxfId="0" priority="1208" operator="lessThan">
      <formula>20</formula>
    </cfRule>
    <cfRule type="cellIs" dxfId="1" priority="647" operator="greaterThan">
      <formula>120</formula>
    </cfRule>
    <cfRule type="containsText" dxfId="2" priority="86" operator="between" text="库存为">
      <formula>NOT(ISERROR(SEARCH("库存为",AU481)))</formula>
    </cfRule>
  </conditionalFormatting>
  <conditionalFormatting sqref="AU482">
    <cfRule type="cellIs" dxfId="0" priority="1207" operator="lessThan">
      <formula>20</formula>
    </cfRule>
    <cfRule type="cellIs" dxfId="1" priority="646" operator="greaterThan">
      <formula>120</formula>
    </cfRule>
    <cfRule type="containsText" dxfId="2" priority="85" operator="between" text="库存为">
      <formula>NOT(ISERROR(SEARCH("库存为",AU482)))</formula>
    </cfRule>
  </conditionalFormatting>
  <conditionalFormatting sqref="AU483">
    <cfRule type="cellIs" dxfId="0" priority="1206" operator="lessThan">
      <formula>20</formula>
    </cfRule>
    <cfRule type="cellIs" dxfId="1" priority="645" operator="greaterThan">
      <formula>120</formula>
    </cfRule>
    <cfRule type="containsText" dxfId="2" priority="84" operator="between" text="库存为">
      <formula>NOT(ISERROR(SEARCH("库存为",AU483)))</formula>
    </cfRule>
  </conditionalFormatting>
  <conditionalFormatting sqref="AU484">
    <cfRule type="cellIs" dxfId="0" priority="1205" operator="lessThan">
      <formula>20</formula>
    </cfRule>
    <cfRule type="cellIs" dxfId="1" priority="644" operator="greaterThan">
      <formula>120</formula>
    </cfRule>
    <cfRule type="containsText" dxfId="2" priority="83" operator="between" text="库存为">
      <formula>NOT(ISERROR(SEARCH("库存为",AU484)))</formula>
    </cfRule>
  </conditionalFormatting>
  <conditionalFormatting sqref="AU485">
    <cfRule type="cellIs" dxfId="0" priority="1204" operator="lessThan">
      <formula>20</formula>
    </cfRule>
    <cfRule type="cellIs" dxfId="1" priority="643" operator="greaterThan">
      <formula>120</formula>
    </cfRule>
    <cfRule type="containsText" dxfId="2" priority="82" operator="between" text="库存为">
      <formula>NOT(ISERROR(SEARCH("库存为",AU485)))</formula>
    </cfRule>
  </conditionalFormatting>
  <conditionalFormatting sqref="AU486">
    <cfRule type="cellIs" dxfId="0" priority="1203" operator="lessThan">
      <formula>20</formula>
    </cfRule>
    <cfRule type="cellIs" dxfId="1" priority="642" operator="greaterThan">
      <formula>120</formula>
    </cfRule>
    <cfRule type="containsText" dxfId="2" priority="81" operator="between" text="库存为">
      <formula>NOT(ISERROR(SEARCH("库存为",AU486)))</formula>
    </cfRule>
  </conditionalFormatting>
  <conditionalFormatting sqref="AU487">
    <cfRule type="cellIs" dxfId="0" priority="1202" operator="lessThan">
      <formula>20</formula>
    </cfRule>
    <cfRule type="cellIs" dxfId="1" priority="641" operator="greaterThan">
      <formula>120</formula>
    </cfRule>
    <cfRule type="containsText" dxfId="2" priority="80" operator="between" text="库存为">
      <formula>NOT(ISERROR(SEARCH("库存为",AU487)))</formula>
    </cfRule>
  </conditionalFormatting>
  <conditionalFormatting sqref="AU488">
    <cfRule type="cellIs" dxfId="0" priority="1201" operator="lessThan">
      <formula>20</formula>
    </cfRule>
    <cfRule type="cellIs" dxfId="1" priority="640" operator="greaterThan">
      <formula>120</formula>
    </cfRule>
    <cfRule type="containsText" dxfId="2" priority="79" operator="between" text="库存为">
      <formula>NOT(ISERROR(SEARCH("库存为",AU488)))</formula>
    </cfRule>
  </conditionalFormatting>
  <conditionalFormatting sqref="AU489">
    <cfRule type="cellIs" dxfId="0" priority="1200" operator="lessThan">
      <formula>20</formula>
    </cfRule>
    <cfRule type="cellIs" dxfId="1" priority="639" operator="greaterThan">
      <formula>120</formula>
    </cfRule>
    <cfRule type="containsText" dxfId="2" priority="78" operator="between" text="库存为">
      <formula>NOT(ISERROR(SEARCH("库存为",AU489)))</formula>
    </cfRule>
  </conditionalFormatting>
  <conditionalFormatting sqref="AU490">
    <cfRule type="cellIs" dxfId="0" priority="1199" operator="lessThan">
      <formula>20</formula>
    </cfRule>
    <cfRule type="cellIs" dxfId="1" priority="638" operator="greaterThan">
      <formula>120</formula>
    </cfRule>
    <cfRule type="containsText" dxfId="2" priority="77" operator="between" text="库存为">
      <formula>NOT(ISERROR(SEARCH("库存为",AU490)))</formula>
    </cfRule>
  </conditionalFormatting>
  <conditionalFormatting sqref="AU491">
    <cfRule type="cellIs" dxfId="0" priority="1198" operator="lessThan">
      <formula>20</formula>
    </cfRule>
    <cfRule type="cellIs" dxfId="1" priority="637" operator="greaterThan">
      <formula>120</formula>
    </cfRule>
    <cfRule type="containsText" dxfId="2" priority="76" operator="between" text="库存为">
      <formula>NOT(ISERROR(SEARCH("库存为",AU491)))</formula>
    </cfRule>
  </conditionalFormatting>
  <conditionalFormatting sqref="AU492">
    <cfRule type="cellIs" dxfId="0" priority="1197" operator="lessThan">
      <formula>20</formula>
    </cfRule>
    <cfRule type="cellIs" dxfId="1" priority="636" operator="greaterThan">
      <formula>120</formula>
    </cfRule>
    <cfRule type="containsText" dxfId="2" priority="75" operator="between" text="库存为">
      <formula>NOT(ISERROR(SEARCH("库存为",AU492)))</formula>
    </cfRule>
  </conditionalFormatting>
  <conditionalFormatting sqref="AU493">
    <cfRule type="cellIs" dxfId="0" priority="1196" operator="lessThan">
      <formula>20</formula>
    </cfRule>
    <cfRule type="cellIs" dxfId="1" priority="635" operator="greaterThan">
      <formula>120</formula>
    </cfRule>
    <cfRule type="containsText" dxfId="2" priority="74" operator="between" text="库存为">
      <formula>NOT(ISERROR(SEARCH("库存为",AU493)))</formula>
    </cfRule>
  </conditionalFormatting>
  <conditionalFormatting sqref="AU494">
    <cfRule type="cellIs" dxfId="0" priority="1195" operator="lessThan">
      <formula>20</formula>
    </cfRule>
    <cfRule type="cellIs" dxfId="1" priority="634" operator="greaterThan">
      <formula>120</formula>
    </cfRule>
    <cfRule type="containsText" dxfId="2" priority="73" operator="between" text="库存为">
      <formula>NOT(ISERROR(SEARCH("库存为",AU494)))</formula>
    </cfRule>
  </conditionalFormatting>
  <conditionalFormatting sqref="AU495">
    <cfRule type="cellIs" dxfId="0" priority="1194" operator="lessThan">
      <formula>20</formula>
    </cfRule>
    <cfRule type="cellIs" dxfId="1" priority="633" operator="greaterThan">
      <formula>120</formula>
    </cfRule>
    <cfRule type="containsText" dxfId="2" priority="72" operator="between" text="库存为">
      <formula>NOT(ISERROR(SEARCH("库存为",AU495)))</formula>
    </cfRule>
  </conditionalFormatting>
  <conditionalFormatting sqref="AU496">
    <cfRule type="cellIs" dxfId="0" priority="1193" operator="lessThan">
      <formula>20</formula>
    </cfRule>
    <cfRule type="cellIs" dxfId="1" priority="632" operator="greaterThan">
      <formula>120</formula>
    </cfRule>
    <cfRule type="containsText" dxfId="2" priority="71" operator="between" text="库存为">
      <formula>NOT(ISERROR(SEARCH("库存为",AU496)))</formula>
    </cfRule>
  </conditionalFormatting>
  <conditionalFormatting sqref="AU497">
    <cfRule type="cellIs" dxfId="0" priority="1192" operator="lessThan">
      <formula>20</formula>
    </cfRule>
    <cfRule type="cellIs" dxfId="1" priority="631" operator="greaterThan">
      <formula>120</formula>
    </cfRule>
    <cfRule type="containsText" dxfId="2" priority="70" operator="between" text="库存为">
      <formula>NOT(ISERROR(SEARCH("库存为",AU497)))</formula>
    </cfRule>
  </conditionalFormatting>
  <conditionalFormatting sqref="AU498">
    <cfRule type="cellIs" dxfId="0" priority="1191" operator="lessThan">
      <formula>20</formula>
    </cfRule>
    <cfRule type="cellIs" dxfId="1" priority="630" operator="greaterThan">
      <formula>120</formula>
    </cfRule>
    <cfRule type="containsText" dxfId="2" priority="69" operator="between" text="库存为">
      <formula>NOT(ISERROR(SEARCH("库存为",AU498)))</formula>
    </cfRule>
  </conditionalFormatting>
  <conditionalFormatting sqref="AU499">
    <cfRule type="cellIs" dxfId="0" priority="1190" operator="lessThan">
      <formula>20</formula>
    </cfRule>
    <cfRule type="cellIs" dxfId="1" priority="629" operator="greaterThan">
      <formula>120</formula>
    </cfRule>
    <cfRule type="containsText" dxfId="2" priority="68" operator="between" text="库存为">
      <formula>NOT(ISERROR(SEARCH("库存为",AU499)))</formula>
    </cfRule>
  </conditionalFormatting>
  <conditionalFormatting sqref="AU500">
    <cfRule type="cellIs" dxfId="0" priority="1189" operator="lessThan">
      <formula>20</formula>
    </cfRule>
    <cfRule type="cellIs" dxfId="1" priority="628" operator="greaterThan">
      <formula>120</formula>
    </cfRule>
    <cfRule type="containsText" dxfId="2" priority="67" operator="between" text="库存为">
      <formula>NOT(ISERROR(SEARCH("库存为",AU500)))</formula>
    </cfRule>
  </conditionalFormatting>
  <conditionalFormatting sqref="AU501">
    <cfRule type="cellIs" dxfId="0" priority="1188" operator="lessThan">
      <formula>20</formula>
    </cfRule>
    <cfRule type="cellIs" dxfId="1" priority="627" operator="greaterThan">
      <formula>120</formula>
    </cfRule>
    <cfRule type="containsText" dxfId="2" priority="66" operator="between" text="库存为">
      <formula>NOT(ISERROR(SEARCH("库存为",AU501)))</formula>
    </cfRule>
  </conditionalFormatting>
  <conditionalFormatting sqref="AU502">
    <cfRule type="cellIs" dxfId="0" priority="1187" operator="lessThan">
      <formula>20</formula>
    </cfRule>
    <cfRule type="cellIs" dxfId="1" priority="626" operator="greaterThan">
      <formula>120</formula>
    </cfRule>
    <cfRule type="containsText" dxfId="2" priority="65" operator="between" text="库存为">
      <formula>NOT(ISERROR(SEARCH("库存为",AU502)))</formula>
    </cfRule>
  </conditionalFormatting>
  <conditionalFormatting sqref="AU503">
    <cfRule type="cellIs" dxfId="0" priority="1186" operator="lessThan">
      <formula>20</formula>
    </cfRule>
    <cfRule type="cellIs" dxfId="1" priority="625" operator="greaterThan">
      <formula>120</formula>
    </cfRule>
    <cfRule type="containsText" dxfId="2" priority="64" operator="between" text="库存为">
      <formula>NOT(ISERROR(SEARCH("库存为",AU503)))</formula>
    </cfRule>
  </conditionalFormatting>
  <conditionalFormatting sqref="AU504">
    <cfRule type="cellIs" dxfId="0" priority="1185" operator="lessThan">
      <formula>20</formula>
    </cfRule>
    <cfRule type="cellIs" dxfId="1" priority="624" operator="greaterThan">
      <formula>120</formula>
    </cfRule>
    <cfRule type="containsText" dxfId="2" priority="63" operator="between" text="库存为">
      <formula>NOT(ISERROR(SEARCH("库存为",AU504)))</formula>
    </cfRule>
  </conditionalFormatting>
  <conditionalFormatting sqref="AU505">
    <cfRule type="cellIs" dxfId="0" priority="1184" operator="lessThan">
      <formula>20</formula>
    </cfRule>
    <cfRule type="cellIs" dxfId="1" priority="623" operator="greaterThan">
      <formula>120</formula>
    </cfRule>
    <cfRule type="containsText" dxfId="2" priority="62" operator="between" text="库存为">
      <formula>NOT(ISERROR(SEARCH("库存为",AU505)))</formula>
    </cfRule>
  </conditionalFormatting>
  <conditionalFormatting sqref="AU506">
    <cfRule type="cellIs" dxfId="0" priority="1183" operator="lessThan">
      <formula>20</formula>
    </cfRule>
    <cfRule type="cellIs" dxfId="1" priority="622" operator="greaterThan">
      <formula>120</formula>
    </cfRule>
    <cfRule type="containsText" dxfId="2" priority="61" operator="between" text="库存为">
      <formula>NOT(ISERROR(SEARCH("库存为",AU506)))</formula>
    </cfRule>
  </conditionalFormatting>
  <conditionalFormatting sqref="AU507">
    <cfRule type="cellIs" dxfId="0" priority="1182" operator="lessThan">
      <formula>20</formula>
    </cfRule>
    <cfRule type="cellIs" dxfId="1" priority="621" operator="greaterThan">
      <formula>120</formula>
    </cfRule>
    <cfRule type="containsText" dxfId="2" priority="60" operator="between" text="库存为">
      <formula>NOT(ISERROR(SEARCH("库存为",AU507)))</formula>
    </cfRule>
  </conditionalFormatting>
  <conditionalFormatting sqref="AU508">
    <cfRule type="cellIs" dxfId="0" priority="1181" operator="lessThan">
      <formula>20</formula>
    </cfRule>
    <cfRule type="cellIs" dxfId="1" priority="620" operator="greaterThan">
      <formula>120</formula>
    </cfRule>
    <cfRule type="containsText" dxfId="2" priority="59" operator="between" text="库存为">
      <formula>NOT(ISERROR(SEARCH("库存为",AU508)))</formula>
    </cfRule>
  </conditionalFormatting>
  <conditionalFormatting sqref="AU509">
    <cfRule type="cellIs" dxfId="0" priority="1180" operator="lessThan">
      <formula>20</formula>
    </cfRule>
    <cfRule type="cellIs" dxfId="1" priority="619" operator="greaterThan">
      <formula>120</formula>
    </cfRule>
    <cfRule type="containsText" dxfId="2" priority="58" operator="between" text="库存为">
      <formula>NOT(ISERROR(SEARCH("库存为",AU509)))</formula>
    </cfRule>
  </conditionalFormatting>
  <conditionalFormatting sqref="AU510">
    <cfRule type="cellIs" dxfId="0" priority="1179" operator="lessThan">
      <formula>20</formula>
    </cfRule>
    <cfRule type="cellIs" dxfId="1" priority="618" operator="greaterThan">
      <formula>120</formula>
    </cfRule>
    <cfRule type="containsText" dxfId="2" priority="57" operator="between" text="库存为">
      <formula>NOT(ISERROR(SEARCH("库存为",AU510)))</formula>
    </cfRule>
  </conditionalFormatting>
  <conditionalFormatting sqref="AU511">
    <cfRule type="cellIs" dxfId="0" priority="1178" operator="lessThan">
      <formula>20</formula>
    </cfRule>
    <cfRule type="cellIs" dxfId="1" priority="617" operator="greaterThan">
      <formula>120</formula>
    </cfRule>
    <cfRule type="containsText" dxfId="2" priority="56" operator="between" text="库存为">
      <formula>NOT(ISERROR(SEARCH("库存为",AU511)))</formula>
    </cfRule>
  </conditionalFormatting>
  <conditionalFormatting sqref="AU512">
    <cfRule type="cellIs" dxfId="0" priority="1177" operator="lessThan">
      <formula>20</formula>
    </cfRule>
    <cfRule type="cellIs" dxfId="1" priority="616" operator="greaterThan">
      <formula>120</formula>
    </cfRule>
    <cfRule type="containsText" dxfId="2" priority="55" operator="between" text="库存为">
      <formula>NOT(ISERROR(SEARCH("库存为",AU512)))</formula>
    </cfRule>
  </conditionalFormatting>
  <conditionalFormatting sqref="AU513">
    <cfRule type="cellIs" dxfId="0" priority="1176" operator="lessThan">
      <formula>20</formula>
    </cfRule>
    <cfRule type="cellIs" dxfId="1" priority="615" operator="greaterThan">
      <formula>120</formula>
    </cfRule>
    <cfRule type="containsText" dxfId="2" priority="54" operator="between" text="库存为">
      <formula>NOT(ISERROR(SEARCH("库存为",AU513)))</formula>
    </cfRule>
  </conditionalFormatting>
  <conditionalFormatting sqref="AU514">
    <cfRule type="cellIs" dxfId="0" priority="1175" operator="lessThan">
      <formula>20</formula>
    </cfRule>
    <cfRule type="cellIs" dxfId="1" priority="614" operator="greaterThan">
      <formula>120</formula>
    </cfRule>
    <cfRule type="containsText" dxfId="2" priority="53" operator="between" text="库存为">
      <formula>NOT(ISERROR(SEARCH("库存为",AU514)))</formula>
    </cfRule>
  </conditionalFormatting>
  <conditionalFormatting sqref="AU515">
    <cfRule type="cellIs" dxfId="0" priority="1174" operator="lessThan">
      <formula>20</formula>
    </cfRule>
    <cfRule type="cellIs" dxfId="1" priority="613" operator="greaterThan">
      <formula>120</formula>
    </cfRule>
    <cfRule type="containsText" dxfId="2" priority="52" operator="between" text="库存为">
      <formula>NOT(ISERROR(SEARCH("库存为",AU515)))</formula>
    </cfRule>
  </conditionalFormatting>
  <conditionalFormatting sqref="AU516">
    <cfRule type="cellIs" dxfId="0" priority="1173" operator="lessThan">
      <formula>20</formula>
    </cfRule>
    <cfRule type="cellIs" dxfId="1" priority="612" operator="greaterThan">
      <formula>120</formula>
    </cfRule>
    <cfRule type="containsText" dxfId="2" priority="51" operator="between" text="库存为">
      <formula>NOT(ISERROR(SEARCH("库存为",AU516)))</formula>
    </cfRule>
  </conditionalFormatting>
  <conditionalFormatting sqref="AU517">
    <cfRule type="cellIs" dxfId="0" priority="1172" operator="lessThan">
      <formula>20</formula>
    </cfRule>
    <cfRule type="cellIs" dxfId="1" priority="611" operator="greaterThan">
      <formula>120</formula>
    </cfRule>
    <cfRule type="containsText" dxfId="2" priority="50" operator="between" text="库存为">
      <formula>NOT(ISERROR(SEARCH("库存为",AU517)))</formula>
    </cfRule>
  </conditionalFormatting>
  <conditionalFormatting sqref="AU518">
    <cfRule type="cellIs" dxfId="0" priority="1171" operator="lessThan">
      <formula>20</formula>
    </cfRule>
    <cfRule type="cellIs" dxfId="1" priority="610" operator="greaterThan">
      <formula>120</formula>
    </cfRule>
    <cfRule type="containsText" dxfId="2" priority="49" operator="between" text="库存为">
      <formula>NOT(ISERROR(SEARCH("库存为",AU518)))</formula>
    </cfRule>
  </conditionalFormatting>
  <conditionalFormatting sqref="AU519">
    <cfRule type="cellIs" dxfId="0" priority="1170" operator="lessThan">
      <formula>20</formula>
    </cfRule>
    <cfRule type="cellIs" dxfId="1" priority="609" operator="greaterThan">
      <formula>120</formula>
    </cfRule>
    <cfRule type="containsText" dxfId="2" priority="48" operator="between" text="库存为">
      <formula>NOT(ISERROR(SEARCH("库存为",AU519)))</formula>
    </cfRule>
  </conditionalFormatting>
  <conditionalFormatting sqref="AU520">
    <cfRule type="cellIs" dxfId="0" priority="1169" operator="lessThan">
      <formula>20</formula>
    </cfRule>
    <cfRule type="cellIs" dxfId="1" priority="608" operator="greaterThan">
      <formula>120</formula>
    </cfRule>
    <cfRule type="containsText" dxfId="2" priority="47" operator="between" text="库存为">
      <formula>NOT(ISERROR(SEARCH("库存为",AU520)))</formula>
    </cfRule>
  </conditionalFormatting>
  <conditionalFormatting sqref="AU521">
    <cfRule type="cellIs" dxfId="0" priority="1168" operator="lessThan">
      <formula>20</formula>
    </cfRule>
    <cfRule type="cellIs" dxfId="1" priority="607" operator="greaterThan">
      <formula>120</formula>
    </cfRule>
    <cfRule type="containsText" dxfId="2" priority="46" operator="between" text="库存为">
      <formula>NOT(ISERROR(SEARCH("库存为",AU521)))</formula>
    </cfRule>
  </conditionalFormatting>
  <conditionalFormatting sqref="AU522">
    <cfRule type="cellIs" dxfId="0" priority="1167" operator="lessThan">
      <formula>20</formula>
    </cfRule>
    <cfRule type="cellIs" dxfId="1" priority="606" operator="greaterThan">
      <formula>120</formula>
    </cfRule>
    <cfRule type="containsText" dxfId="2" priority="45" operator="between" text="库存为">
      <formula>NOT(ISERROR(SEARCH("库存为",AU522)))</formula>
    </cfRule>
  </conditionalFormatting>
  <conditionalFormatting sqref="AU523">
    <cfRule type="cellIs" dxfId="0" priority="1166" operator="lessThan">
      <formula>20</formula>
    </cfRule>
    <cfRule type="cellIs" dxfId="1" priority="605" operator="greaterThan">
      <formula>120</formula>
    </cfRule>
    <cfRule type="containsText" dxfId="2" priority="44" operator="between" text="库存为">
      <formula>NOT(ISERROR(SEARCH("库存为",AU523)))</formula>
    </cfRule>
  </conditionalFormatting>
  <conditionalFormatting sqref="AU524">
    <cfRule type="cellIs" dxfId="0" priority="1165" operator="lessThan">
      <formula>20</formula>
    </cfRule>
    <cfRule type="cellIs" dxfId="1" priority="604" operator="greaterThan">
      <formula>120</formula>
    </cfRule>
    <cfRule type="containsText" dxfId="2" priority="43" operator="between" text="库存为">
      <formula>NOT(ISERROR(SEARCH("库存为",AU524)))</formula>
    </cfRule>
  </conditionalFormatting>
  <conditionalFormatting sqref="AU525">
    <cfRule type="cellIs" dxfId="0" priority="1164" operator="lessThan">
      <formula>20</formula>
    </cfRule>
    <cfRule type="cellIs" dxfId="1" priority="603" operator="greaterThan">
      <formula>120</formula>
    </cfRule>
    <cfRule type="containsText" dxfId="2" priority="42" operator="between" text="库存为">
      <formula>NOT(ISERROR(SEARCH("库存为",AU525)))</formula>
    </cfRule>
  </conditionalFormatting>
  <conditionalFormatting sqref="AU526">
    <cfRule type="cellIs" dxfId="0" priority="1163" operator="lessThan">
      <formula>20</formula>
    </cfRule>
    <cfRule type="cellIs" dxfId="1" priority="602" operator="greaterThan">
      <formula>120</formula>
    </cfRule>
    <cfRule type="containsText" dxfId="2" priority="41" operator="between" text="库存为">
      <formula>NOT(ISERROR(SEARCH("库存为",AU526)))</formula>
    </cfRule>
  </conditionalFormatting>
  <conditionalFormatting sqref="AU527">
    <cfRule type="cellIs" dxfId="0" priority="1162" operator="lessThan">
      <formula>20</formula>
    </cfRule>
    <cfRule type="cellIs" dxfId="1" priority="601" operator="greaterThan">
      <formula>120</formula>
    </cfRule>
    <cfRule type="containsText" dxfId="2" priority="40" operator="between" text="库存为">
      <formula>NOT(ISERROR(SEARCH("库存为",AU527)))</formula>
    </cfRule>
  </conditionalFormatting>
  <conditionalFormatting sqref="AU528">
    <cfRule type="cellIs" dxfId="0" priority="1161" operator="lessThan">
      <formula>20</formula>
    </cfRule>
    <cfRule type="cellIs" dxfId="1" priority="600" operator="greaterThan">
      <formula>120</formula>
    </cfRule>
    <cfRule type="containsText" dxfId="2" priority="39" operator="between" text="库存为">
      <formula>NOT(ISERROR(SEARCH("库存为",AU528)))</formula>
    </cfRule>
  </conditionalFormatting>
  <conditionalFormatting sqref="AU529">
    <cfRule type="cellIs" dxfId="0" priority="1160" operator="lessThan">
      <formula>20</formula>
    </cfRule>
    <cfRule type="cellIs" dxfId="1" priority="599" operator="greaterThan">
      <formula>120</formula>
    </cfRule>
    <cfRule type="containsText" dxfId="2" priority="38" operator="between" text="库存为">
      <formula>NOT(ISERROR(SEARCH("库存为",AU529)))</formula>
    </cfRule>
  </conditionalFormatting>
  <conditionalFormatting sqref="AU530">
    <cfRule type="cellIs" dxfId="0" priority="1159" operator="lessThan">
      <formula>20</formula>
    </cfRule>
    <cfRule type="cellIs" dxfId="1" priority="598" operator="greaterThan">
      <formula>120</formula>
    </cfRule>
    <cfRule type="containsText" dxfId="2" priority="37" operator="between" text="库存为">
      <formula>NOT(ISERROR(SEARCH("库存为",AU530)))</formula>
    </cfRule>
  </conditionalFormatting>
  <conditionalFormatting sqref="AU531">
    <cfRule type="cellIs" dxfId="0" priority="1158" operator="lessThan">
      <formula>20</formula>
    </cfRule>
    <cfRule type="cellIs" dxfId="1" priority="597" operator="greaterThan">
      <formula>120</formula>
    </cfRule>
    <cfRule type="containsText" dxfId="2" priority="36" operator="between" text="库存为">
      <formula>NOT(ISERROR(SEARCH("库存为",AU531)))</formula>
    </cfRule>
  </conditionalFormatting>
  <conditionalFormatting sqref="AU532">
    <cfRule type="cellIs" dxfId="0" priority="1157" operator="lessThan">
      <formula>20</formula>
    </cfRule>
    <cfRule type="cellIs" dxfId="1" priority="596" operator="greaterThan">
      <formula>120</formula>
    </cfRule>
    <cfRule type="containsText" dxfId="2" priority="35" operator="between" text="库存为">
      <formula>NOT(ISERROR(SEARCH("库存为",AU532)))</formula>
    </cfRule>
  </conditionalFormatting>
  <conditionalFormatting sqref="AU533">
    <cfRule type="cellIs" dxfId="0" priority="1156" operator="lessThan">
      <formula>20</formula>
    </cfRule>
    <cfRule type="cellIs" dxfId="1" priority="595" operator="greaterThan">
      <formula>120</formula>
    </cfRule>
    <cfRule type="containsText" dxfId="2" priority="34" operator="between" text="库存为">
      <formula>NOT(ISERROR(SEARCH("库存为",AU533)))</formula>
    </cfRule>
  </conditionalFormatting>
  <conditionalFormatting sqref="AU534">
    <cfRule type="cellIs" dxfId="0" priority="1155" operator="lessThan">
      <formula>20</formula>
    </cfRule>
    <cfRule type="cellIs" dxfId="1" priority="594" operator="greaterThan">
      <formula>120</formula>
    </cfRule>
    <cfRule type="containsText" dxfId="2" priority="33" operator="between" text="库存为">
      <formula>NOT(ISERROR(SEARCH("库存为",AU534)))</formula>
    </cfRule>
  </conditionalFormatting>
  <conditionalFormatting sqref="AU535">
    <cfRule type="cellIs" dxfId="0" priority="1154" operator="lessThan">
      <formula>20</formula>
    </cfRule>
    <cfRule type="cellIs" dxfId="1" priority="593" operator="greaterThan">
      <formula>120</formula>
    </cfRule>
    <cfRule type="containsText" dxfId="2" priority="32" operator="between" text="库存为">
      <formula>NOT(ISERROR(SEARCH("库存为",AU535)))</formula>
    </cfRule>
  </conditionalFormatting>
  <conditionalFormatting sqref="AU536">
    <cfRule type="cellIs" dxfId="0" priority="1153" operator="lessThan">
      <formula>20</formula>
    </cfRule>
    <cfRule type="cellIs" dxfId="1" priority="592" operator="greaterThan">
      <formula>120</formula>
    </cfRule>
    <cfRule type="containsText" dxfId="2" priority="31" operator="between" text="库存为">
      <formula>NOT(ISERROR(SEARCH("库存为",AU536)))</formula>
    </cfRule>
  </conditionalFormatting>
  <conditionalFormatting sqref="AU537">
    <cfRule type="cellIs" dxfId="0" priority="1152" operator="lessThan">
      <formula>20</formula>
    </cfRule>
    <cfRule type="cellIs" dxfId="1" priority="591" operator="greaterThan">
      <formula>120</formula>
    </cfRule>
    <cfRule type="containsText" dxfId="2" priority="30" operator="between" text="库存为">
      <formula>NOT(ISERROR(SEARCH("库存为",AU537)))</formula>
    </cfRule>
  </conditionalFormatting>
  <conditionalFormatting sqref="AU538">
    <cfRule type="cellIs" dxfId="0" priority="1151" operator="lessThan">
      <formula>20</formula>
    </cfRule>
    <cfRule type="cellIs" dxfId="1" priority="590" operator="greaterThan">
      <formula>120</formula>
    </cfRule>
    <cfRule type="containsText" dxfId="2" priority="29" operator="between" text="库存为">
      <formula>NOT(ISERROR(SEARCH("库存为",AU538)))</formula>
    </cfRule>
  </conditionalFormatting>
  <conditionalFormatting sqref="AU539">
    <cfRule type="cellIs" dxfId="0" priority="1150" operator="lessThan">
      <formula>20</formula>
    </cfRule>
    <cfRule type="cellIs" dxfId="1" priority="589" operator="greaterThan">
      <formula>120</formula>
    </cfRule>
    <cfRule type="containsText" dxfId="2" priority="28" operator="between" text="库存为">
      <formula>NOT(ISERROR(SEARCH("库存为",AU539)))</formula>
    </cfRule>
  </conditionalFormatting>
  <conditionalFormatting sqref="AU540">
    <cfRule type="cellIs" dxfId="0" priority="1149" operator="lessThan">
      <formula>20</formula>
    </cfRule>
    <cfRule type="cellIs" dxfId="1" priority="588" operator="greaterThan">
      <formula>120</formula>
    </cfRule>
    <cfRule type="containsText" dxfId="2" priority="27" operator="between" text="库存为">
      <formula>NOT(ISERROR(SEARCH("库存为",AU540)))</formula>
    </cfRule>
  </conditionalFormatting>
  <conditionalFormatting sqref="AU541">
    <cfRule type="cellIs" dxfId="0" priority="1148" operator="lessThan">
      <formula>20</formula>
    </cfRule>
    <cfRule type="cellIs" dxfId="1" priority="587" operator="greaterThan">
      <formula>120</formula>
    </cfRule>
    <cfRule type="containsText" dxfId="2" priority="26" operator="between" text="库存为">
      <formula>NOT(ISERROR(SEARCH("库存为",AU541)))</formula>
    </cfRule>
  </conditionalFormatting>
  <conditionalFormatting sqref="AU542">
    <cfRule type="cellIs" dxfId="0" priority="1147" operator="lessThan">
      <formula>20</formula>
    </cfRule>
    <cfRule type="cellIs" dxfId="1" priority="586" operator="greaterThan">
      <formula>120</formula>
    </cfRule>
    <cfRule type="containsText" dxfId="2" priority="25" operator="between" text="库存为">
      <formula>NOT(ISERROR(SEARCH("库存为",AU542)))</formula>
    </cfRule>
  </conditionalFormatting>
  <conditionalFormatting sqref="AU543">
    <cfRule type="cellIs" dxfId="0" priority="1146" operator="lessThan">
      <formula>20</formula>
    </cfRule>
    <cfRule type="cellIs" dxfId="1" priority="585" operator="greaterThan">
      <formula>120</formula>
    </cfRule>
    <cfRule type="containsText" dxfId="2" priority="24" operator="between" text="库存为">
      <formula>NOT(ISERROR(SEARCH("库存为",AU543)))</formula>
    </cfRule>
  </conditionalFormatting>
  <conditionalFormatting sqref="AU544">
    <cfRule type="cellIs" dxfId="0" priority="1145" operator="lessThan">
      <formula>20</formula>
    </cfRule>
    <cfRule type="cellIs" dxfId="1" priority="584" operator="greaterThan">
      <formula>120</formula>
    </cfRule>
    <cfRule type="containsText" dxfId="2" priority="23" operator="between" text="库存为">
      <formula>NOT(ISERROR(SEARCH("库存为",AU544)))</formula>
    </cfRule>
  </conditionalFormatting>
  <conditionalFormatting sqref="AU545">
    <cfRule type="cellIs" dxfId="0" priority="1144" operator="lessThan">
      <formula>20</formula>
    </cfRule>
    <cfRule type="cellIs" dxfId="1" priority="583" operator="greaterThan">
      <formula>120</formula>
    </cfRule>
    <cfRule type="containsText" dxfId="2" priority="22" operator="between" text="库存为">
      <formula>NOT(ISERROR(SEARCH("库存为",AU545)))</formula>
    </cfRule>
  </conditionalFormatting>
  <conditionalFormatting sqref="AU546">
    <cfRule type="cellIs" dxfId="0" priority="1143" operator="lessThan">
      <formula>20</formula>
    </cfRule>
    <cfRule type="cellIs" dxfId="1" priority="582" operator="greaterThan">
      <formula>120</formula>
    </cfRule>
    <cfRule type="containsText" dxfId="2" priority="21" operator="between" text="库存为">
      <formula>NOT(ISERROR(SEARCH("库存为",AU546)))</formula>
    </cfRule>
  </conditionalFormatting>
  <conditionalFormatting sqref="AU547">
    <cfRule type="cellIs" dxfId="0" priority="1142" operator="lessThan">
      <formula>20</formula>
    </cfRule>
    <cfRule type="cellIs" dxfId="1" priority="581" operator="greaterThan">
      <formula>120</formula>
    </cfRule>
    <cfRule type="containsText" dxfId="2" priority="20" operator="between" text="库存为">
      <formula>NOT(ISERROR(SEARCH("库存为",AU547)))</formula>
    </cfRule>
  </conditionalFormatting>
  <conditionalFormatting sqref="AU548">
    <cfRule type="cellIs" dxfId="0" priority="1141" operator="lessThan">
      <formula>20</formula>
    </cfRule>
    <cfRule type="cellIs" dxfId="1" priority="580" operator="greaterThan">
      <formula>120</formula>
    </cfRule>
    <cfRule type="containsText" dxfId="2" priority="19" operator="between" text="库存为">
      <formula>NOT(ISERROR(SEARCH("库存为",AU548)))</formula>
    </cfRule>
  </conditionalFormatting>
  <conditionalFormatting sqref="AU549">
    <cfRule type="cellIs" dxfId="0" priority="1140" operator="lessThan">
      <formula>20</formula>
    </cfRule>
    <cfRule type="cellIs" dxfId="1" priority="579" operator="greaterThan">
      <formula>120</formula>
    </cfRule>
    <cfRule type="containsText" dxfId="2" priority="18" operator="between" text="库存为">
      <formula>NOT(ISERROR(SEARCH("库存为",AU549)))</formula>
    </cfRule>
  </conditionalFormatting>
  <conditionalFormatting sqref="AU550">
    <cfRule type="cellIs" dxfId="0" priority="1139" operator="lessThan">
      <formula>20</formula>
    </cfRule>
    <cfRule type="cellIs" dxfId="1" priority="578" operator="greaterThan">
      <formula>120</formula>
    </cfRule>
    <cfRule type="containsText" dxfId="2" priority="17" operator="between" text="库存为">
      <formula>NOT(ISERROR(SEARCH("库存为",AU550)))</formula>
    </cfRule>
  </conditionalFormatting>
  <conditionalFormatting sqref="AU551">
    <cfRule type="cellIs" dxfId="0" priority="1138" operator="lessThan">
      <formula>20</formula>
    </cfRule>
    <cfRule type="cellIs" dxfId="1" priority="577" operator="greaterThan">
      <formula>120</formula>
    </cfRule>
    <cfRule type="containsText" dxfId="2" priority="16" operator="between" text="库存为">
      <formula>NOT(ISERROR(SEARCH("库存为",AU551)))</formula>
    </cfRule>
  </conditionalFormatting>
  <conditionalFormatting sqref="AU552">
    <cfRule type="cellIs" dxfId="0" priority="1137" operator="lessThan">
      <formula>20</formula>
    </cfRule>
    <cfRule type="cellIs" dxfId="1" priority="576" operator="greaterThan">
      <formula>120</formula>
    </cfRule>
    <cfRule type="containsText" dxfId="2" priority="15" operator="between" text="库存为">
      <formula>NOT(ISERROR(SEARCH("库存为",AU552)))</formula>
    </cfRule>
  </conditionalFormatting>
  <conditionalFormatting sqref="AU553">
    <cfRule type="cellIs" dxfId="0" priority="1136" operator="lessThan">
      <formula>20</formula>
    </cfRule>
    <cfRule type="cellIs" dxfId="1" priority="575" operator="greaterThan">
      <formula>120</formula>
    </cfRule>
    <cfRule type="containsText" dxfId="2" priority="14" operator="between" text="库存为">
      <formula>NOT(ISERROR(SEARCH("库存为",AU553)))</formula>
    </cfRule>
  </conditionalFormatting>
  <conditionalFormatting sqref="AU554">
    <cfRule type="cellIs" dxfId="0" priority="1135" operator="lessThan">
      <formula>20</formula>
    </cfRule>
    <cfRule type="cellIs" dxfId="1" priority="574" operator="greaterThan">
      <formula>120</formula>
    </cfRule>
    <cfRule type="containsText" dxfId="2" priority="13" operator="between" text="库存为">
      <formula>NOT(ISERROR(SEARCH("库存为",AU554)))</formula>
    </cfRule>
  </conditionalFormatting>
  <conditionalFormatting sqref="AU555">
    <cfRule type="cellIs" dxfId="0" priority="1134" operator="lessThan">
      <formula>20</formula>
    </cfRule>
    <cfRule type="cellIs" dxfId="1" priority="573" operator="greaterThan">
      <formula>120</formula>
    </cfRule>
    <cfRule type="containsText" dxfId="2" priority="12" operator="between" text="库存为">
      <formula>NOT(ISERROR(SEARCH("库存为",AU555)))</formula>
    </cfRule>
  </conditionalFormatting>
  <conditionalFormatting sqref="AU556">
    <cfRule type="cellIs" dxfId="0" priority="1133" operator="lessThan">
      <formula>20</formula>
    </cfRule>
    <cfRule type="cellIs" dxfId="1" priority="572" operator="greaterThan">
      <formula>120</formula>
    </cfRule>
    <cfRule type="containsText" dxfId="2" priority="11" operator="between" text="库存为">
      <formula>NOT(ISERROR(SEARCH("库存为",AU556)))</formula>
    </cfRule>
  </conditionalFormatting>
  <conditionalFormatting sqref="AU557">
    <cfRule type="cellIs" dxfId="0" priority="1132" operator="lessThan">
      <formula>20</formula>
    </cfRule>
    <cfRule type="cellIs" dxfId="1" priority="571" operator="greaterThan">
      <formula>120</formula>
    </cfRule>
    <cfRule type="containsText" dxfId="2" priority="10" operator="between" text="库存为">
      <formula>NOT(ISERROR(SEARCH("库存为",AU557)))</formula>
    </cfRule>
  </conditionalFormatting>
  <conditionalFormatting sqref="AU558">
    <cfRule type="cellIs" dxfId="0" priority="1131" operator="lessThan">
      <formula>20</formula>
    </cfRule>
    <cfRule type="cellIs" dxfId="1" priority="570" operator="greaterThan">
      <formula>120</formula>
    </cfRule>
    <cfRule type="containsText" dxfId="2" priority="9" operator="between" text="库存为">
      <formula>NOT(ISERROR(SEARCH("库存为",AU558)))</formula>
    </cfRule>
  </conditionalFormatting>
  <conditionalFormatting sqref="AU559">
    <cfRule type="cellIs" dxfId="0" priority="1130" operator="lessThan">
      <formula>20</formula>
    </cfRule>
    <cfRule type="cellIs" dxfId="1" priority="569" operator="greaterThan">
      <formula>120</formula>
    </cfRule>
    <cfRule type="containsText" dxfId="2" priority="8" operator="between" text="库存为">
      <formula>NOT(ISERROR(SEARCH("库存为",AU559)))</formula>
    </cfRule>
  </conditionalFormatting>
  <conditionalFormatting sqref="AU560">
    <cfRule type="cellIs" dxfId="0" priority="1129" operator="lessThan">
      <formula>20</formula>
    </cfRule>
    <cfRule type="cellIs" dxfId="1" priority="568" operator="greaterThan">
      <formula>120</formula>
    </cfRule>
    <cfRule type="containsText" dxfId="2" priority="7" operator="between" text="库存为">
      <formula>NOT(ISERROR(SEARCH("库存为",AU560)))</formula>
    </cfRule>
  </conditionalFormatting>
  <conditionalFormatting sqref="AU561">
    <cfRule type="cellIs" dxfId="0" priority="1128" operator="lessThan">
      <formula>20</formula>
    </cfRule>
    <cfRule type="cellIs" dxfId="1" priority="567" operator="greaterThan">
      <formula>120</formula>
    </cfRule>
    <cfRule type="containsText" dxfId="2" priority="6" operator="between" text="库存为">
      <formula>NOT(ISERROR(SEARCH("库存为",AU561)))</formula>
    </cfRule>
  </conditionalFormatting>
  <conditionalFormatting sqref="AU562">
    <cfRule type="cellIs" dxfId="0" priority="1127" operator="lessThan">
      <formula>20</formula>
    </cfRule>
    <cfRule type="cellIs" dxfId="1" priority="566" operator="greaterThan">
      <formula>120</formula>
    </cfRule>
    <cfRule type="containsText" dxfId="2" priority="5" operator="between" text="库存为">
      <formula>NOT(ISERROR(SEARCH("库存为",AU562)))</formula>
    </cfRule>
  </conditionalFormatting>
  <conditionalFormatting sqref="AU563">
    <cfRule type="cellIs" dxfId="0" priority="1126" operator="lessThan">
      <formula>20</formula>
    </cfRule>
    <cfRule type="cellIs" dxfId="1" priority="565" operator="greaterThan">
      <formula>120</formula>
    </cfRule>
    <cfRule type="containsText" dxfId="2" priority="4" operator="between" text="库存为">
      <formula>NOT(ISERROR(SEARCH("库存为",AU563)))</formula>
    </cfRule>
  </conditionalFormatting>
  <conditionalFormatting sqref="AU564">
    <cfRule type="cellIs" dxfId="0" priority="1125" operator="lessThan">
      <formula>20</formula>
    </cfRule>
    <cfRule type="cellIs" dxfId="1" priority="564" operator="greaterThan">
      <formula>120</formula>
    </cfRule>
    <cfRule type="containsText" dxfId="2" priority="3" operator="between" text="库存为">
      <formula>NOT(ISERROR(SEARCH("库存为",AU564)))</formula>
    </cfRule>
  </conditionalFormatting>
  <conditionalFormatting sqref="AU565">
    <cfRule type="cellIs" dxfId="0" priority="1124" operator="lessThan">
      <formula>20</formula>
    </cfRule>
    <cfRule type="cellIs" dxfId="1" priority="563" operator="greaterThan">
      <formula>120</formula>
    </cfRule>
    <cfRule type="containsText" dxfId="2" priority="2" operator="between" text="库存为">
      <formula>NOT(ISERROR(SEARCH("库存为",AU565)))</formula>
    </cfRule>
  </conditionalFormatting>
  <conditionalFormatting sqref="AU566">
    <cfRule type="cellIs" dxfId="0" priority="1123" operator="lessThan">
      <formula>20</formula>
    </cfRule>
    <cfRule type="cellIs" dxfId="1" priority="562" operator="greaterThan">
      <formula>120</formula>
    </cfRule>
    <cfRule type="containsText" dxfId="2" priority="1" operator="between" text="库存为">
      <formula>NOT(ISERROR(SEARCH("库存为",AU566)))</formula>
    </cfRule>
  </conditionalFormatting>
  <conditionalFormatting sqref="AU567">
    <cfRule type="cellIs" dxfId="0" priority="19074" operator="lessThan">
      <formula>20</formula>
    </cfRule>
    <cfRule type="cellIs" dxfId="1" priority="18229" operator="greaterThan">
      <formula>120</formula>
    </cfRule>
    <cfRule type="containsText" dxfId="2" priority="17384" operator="between" text="库存为">
      <formula>NOT(ISERROR(SEARCH("库存为",AU567)))</formula>
    </cfRule>
  </conditionalFormatting>
  <conditionalFormatting sqref="AU568">
    <cfRule type="cellIs" dxfId="0" priority="19073" operator="lessThan">
      <formula>20</formula>
    </cfRule>
    <cfRule type="cellIs" dxfId="1" priority="18228" operator="greaterThan">
      <formula>120</formula>
    </cfRule>
    <cfRule type="containsText" dxfId="2" priority="17383" operator="between" text="库存为">
      <formula>NOT(ISERROR(SEARCH("库存为",AU568)))</formula>
    </cfRule>
  </conditionalFormatting>
  <conditionalFormatting sqref="AU569">
    <cfRule type="cellIs" dxfId="0" priority="19072" operator="lessThan">
      <formula>20</formula>
    </cfRule>
    <cfRule type="cellIs" dxfId="1" priority="18227" operator="greaterThan">
      <formula>120</formula>
    </cfRule>
    <cfRule type="containsText" dxfId="2" priority="17382" operator="between" text="库存为">
      <formula>NOT(ISERROR(SEARCH("库存为",AU569)))</formula>
    </cfRule>
  </conditionalFormatting>
  <conditionalFormatting sqref="AU570">
    <cfRule type="cellIs" dxfId="0" priority="19071" operator="lessThan">
      <formula>20</formula>
    </cfRule>
    <cfRule type="cellIs" dxfId="1" priority="18226" operator="greaterThan">
      <formula>120</formula>
    </cfRule>
    <cfRule type="containsText" dxfId="2" priority="17381" operator="between" text="库存为">
      <formula>NOT(ISERROR(SEARCH("库存为",AU570)))</formula>
    </cfRule>
  </conditionalFormatting>
  <conditionalFormatting sqref="AU571">
    <cfRule type="cellIs" dxfId="0" priority="19070" operator="lessThan">
      <formula>20</formula>
    </cfRule>
    <cfRule type="cellIs" dxfId="1" priority="18225" operator="greaterThan">
      <formula>120</formula>
    </cfRule>
    <cfRule type="containsText" dxfId="2" priority="17380" operator="between" text="库存为">
      <formula>NOT(ISERROR(SEARCH("库存为",AU571)))</formula>
    </cfRule>
  </conditionalFormatting>
  <conditionalFormatting sqref="AU572">
    <cfRule type="cellIs" dxfId="0" priority="19069" operator="lessThan">
      <formula>20</formula>
    </cfRule>
    <cfRule type="cellIs" dxfId="1" priority="18224" operator="greaterThan">
      <formula>120</formula>
    </cfRule>
    <cfRule type="containsText" dxfId="2" priority="17379" operator="between" text="库存为">
      <formula>NOT(ISERROR(SEARCH("库存为",AU572)))</formula>
    </cfRule>
  </conditionalFormatting>
  <conditionalFormatting sqref="AU573">
    <cfRule type="cellIs" dxfId="0" priority="19068" operator="lessThan">
      <formula>20</formula>
    </cfRule>
    <cfRule type="cellIs" dxfId="1" priority="18223" operator="greaterThan">
      <formula>120</formula>
    </cfRule>
    <cfRule type="containsText" dxfId="2" priority="17378" operator="between" text="库存为">
      <formula>NOT(ISERROR(SEARCH("库存为",AU573)))</formula>
    </cfRule>
  </conditionalFormatting>
  <conditionalFormatting sqref="AU574">
    <cfRule type="cellIs" dxfId="0" priority="19067" operator="lessThan">
      <formula>20</formula>
    </cfRule>
    <cfRule type="cellIs" dxfId="1" priority="18222" operator="greaterThan">
      <formula>120</formula>
    </cfRule>
    <cfRule type="containsText" dxfId="2" priority="17377" operator="between" text="库存为">
      <formula>NOT(ISERROR(SEARCH("库存为",AU574)))</formula>
    </cfRule>
  </conditionalFormatting>
  <conditionalFormatting sqref="AU575">
    <cfRule type="cellIs" dxfId="0" priority="19066" operator="lessThan">
      <formula>20</formula>
    </cfRule>
    <cfRule type="cellIs" dxfId="1" priority="18221" operator="greaterThan">
      <formula>120</formula>
    </cfRule>
    <cfRule type="containsText" dxfId="2" priority="17376" operator="between" text="库存为">
      <formula>NOT(ISERROR(SEARCH("库存为",AU575)))</formula>
    </cfRule>
  </conditionalFormatting>
  <conditionalFormatting sqref="AU576">
    <cfRule type="cellIs" dxfId="0" priority="19065" operator="lessThan">
      <formula>20</formula>
    </cfRule>
    <cfRule type="cellIs" dxfId="1" priority="18220" operator="greaterThan">
      <formula>120</formula>
    </cfRule>
    <cfRule type="containsText" dxfId="2" priority="17375" operator="between" text="库存为">
      <formula>NOT(ISERROR(SEARCH("库存为",AU576)))</formula>
    </cfRule>
  </conditionalFormatting>
  <conditionalFormatting sqref="AU577">
    <cfRule type="cellIs" dxfId="0" priority="19064" operator="lessThan">
      <formula>20</formula>
    </cfRule>
    <cfRule type="cellIs" dxfId="1" priority="18219" operator="greaterThan">
      <formula>120</formula>
    </cfRule>
    <cfRule type="containsText" dxfId="2" priority="17374" operator="between" text="库存为">
      <formula>NOT(ISERROR(SEARCH("库存为",AU577)))</formula>
    </cfRule>
  </conditionalFormatting>
  <conditionalFormatting sqref="AU578">
    <cfRule type="cellIs" dxfId="0" priority="19063" operator="lessThan">
      <formula>20</formula>
    </cfRule>
    <cfRule type="cellIs" dxfId="1" priority="18218" operator="greaterThan">
      <formula>120</formula>
    </cfRule>
    <cfRule type="containsText" dxfId="2" priority="17373" operator="between" text="库存为">
      <formula>NOT(ISERROR(SEARCH("库存为",AU578)))</formula>
    </cfRule>
  </conditionalFormatting>
  <conditionalFormatting sqref="AU579">
    <cfRule type="cellIs" dxfId="0" priority="19062" operator="lessThan">
      <formula>20</formula>
    </cfRule>
    <cfRule type="cellIs" dxfId="1" priority="18217" operator="greaterThan">
      <formula>120</formula>
    </cfRule>
    <cfRule type="containsText" dxfId="2" priority="17372" operator="between" text="库存为">
      <formula>NOT(ISERROR(SEARCH("库存为",AU579)))</formula>
    </cfRule>
  </conditionalFormatting>
  <conditionalFormatting sqref="AU580">
    <cfRule type="cellIs" dxfId="0" priority="19061" operator="lessThan">
      <formula>20</formula>
    </cfRule>
    <cfRule type="cellIs" dxfId="1" priority="18216" operator="greaterThan">
      <formula>120</formula>
    </cfRule>
    <cfRule type="containsText" dxfId="2" priority="17371" operator="between" text="库存为">
      <formula>NOT(ISERROR(SEARCH("库存为",AU580)))</formula>
    </cfRule>
  </conditionalFormatting>
  <conditionalFormatting sqref="AU581">
    <cfRule type="cellIs" dxfId="0" priority="19060" operator="lessThan">
      <formula>20</formula>
    </cfRule>
    <cfRule type="cellIs" dxfId="1" priority="18215" operator="greaterThan">
      <formula>120</formula>
    </cfRule>
    <cfRule type="containsText" dxfId="2" priority="17370" operator="between" text="库存为">
      <formula>NOT(ISERROR(SEARCH("库存为",AU581)))</formula>
    </cfRule>
  </conditionalFormatting>
  <conditionalFormatting sqref="AU582">
    <cfRule type="cellIs" dxfId="0" priority="19059" operator="lessThan">
      <formula>20</formula>
    </cfRule>
    <cfRule type="cellIs" dxfId="1" priority="18214" operator="greaterThan">
      <formula>120</formula>
    </cfRule>
    <cfRule type="containsText" dxfId="2" priority="17369" operator="between" text="库存为">
      <formula>NOT(ISERROR(SEARCH("库存为",AU582)))</formula>
    </cfRule>
  </conditionalFormatting>
  <conditionalFormatting sqref="AU583">
    <cfRule type="cellIs" dxfId="0" priority="19058" operator="lessThan">
      <formula>20</formula>
    </cfRule>
    <cfRule type="cellIs" dxfId="1" priority="18213" operator="greaterThan">
      <formula>120</formula>
    </cfRule>
    <cfRule type="containsText" dxfId="2" priority="17368" operator="between" text="库存为">
      <formula>NOT(ISERROR(SEARCH("库存为",AU583)))</formula>
    </cfRule>
  </conditionalFormatting>
  <conditionalFormatting sqref="AU584">
    <cfRule type="cellIs" dxfId="0" priority="19057" operator="lessThan">
      <formula>20</formula>
    </cfRule>
    <cfRule type="cellIs" dxfId="1" priority="18212" operator="greaterThan">
      <formula>120</formula>
    </cfRule>
    <cfRule type="containsText" dxfId="2" priority="17367" operator="between" text="库存为">
      <formula>NOT(ISERROR(SEARCH("库存为",AU584)))</formula>
    </cfRule>
  </conditionalFormatting>
  <conditionalFormatting sqref="AU585">
    <cfRule type="cellIs" dxfId="0" priority="19056" operator="lessThan">
      <formula>20</formula>
    </cfRule>
    <cfRule type="cellIs" dxfId="1" priority="18211" operator="greaterThan">
      <formula>120</formula>
    </cfRule>
    <cfRule type="containsText" dxfId="2" priority="17366" operator="between" text="库存为">
      <formula>NOT(ISERROR(SEARCH("库存为",AU585)))</formula>
    </cfRule>
  </conditionalFormatting>
  <conditionalFormatting sqref="AU586">
    <cfRule type="cellIs" dxfId="0" priority="19055" operator="lessThan">
      <formula>20</formula>
    </cfRule>
    <cfRule type="cellIs" dxfId="1" priority="18210" operator="greaterThan">
      <formula>120</formula>
    </cfRule>
    <cfRule type="containsText" dxfId="2" priority="17365" operator="between" text="库存为">
      <formula>NOT(ISERROR(SEARCH("库存为",AU586)))</formula>
    </cfRule>
  </conditionalFormatting>
  <conditionalFormatting sqref="AU587">
    <cfRule type="cellIs" dxfId="0" priority="19054" operator="lessThan">
      <formula>20</formula>
    </cfRule>
    <cfRule type="cellIs" dxfId="1" priority="18209" operator="greaterThan">
      <formula>120</formula>
    </cfRule>
    <cfRule type="containsText" dxfId="2" priority="17364" operator="between" text="库存为">
      <formula>NOT(ISERROR(SEARCH("库存为",AU587)))</formula>
    </cfRule>
  </conditionalFormatting>
  <conditionalFormatting sqref="AU588">
    <cfRule type="cellIs" dxfId="0" priority="19053" operator="lessThan">
      <formula>20</formula>
    </cfRule>
    <cfRule type="cellIs" dxfId="1" priority="18208" operator="greaterThan">
      <formula>120</formula>
    </cfRule>
    <cfRule type="containsText" dxfId="2" priority="17363" operator="between" text="库存为">
      <formula>NOT(ISERROR(SEARCH("库存为",AU588)))</formula>
    </cfRule>
  </conditionalFormatting>
  <conditionalFormatting sqref="AU589">
    <cfRule type="cellIs" dxfId="0" priority="19052" operator="lessThan">
      <formula>20</formula>
    </cfRule>
    <cfRule type="cellIs" dxfId="1" priority="18207" operator="greaterThan">
      <formula>120</formula>
    </cfRule>
    <cfRule type="containsText" dxfId="2" priority="17362" operator="between" text="库存为">
      <formula>NOT(ISERROR(SEARCH("库存为",AU589)))</formula>
    </cfRule>
  </conditionalFormatting>
  <conditionalFormatting sqref="AU590">
    <cfRule type="cellIs" dxfId="0" priority="19051" operator="lessThan">
      <formula>20</formula>
    </cfRule>
    <cfRule type="cellIs" dxfId="1" priority="18206" operator="greaterThan">
      <formula>120</formula>
    </cfRule>
    <cfRule type="containsText" dxfId="2" priority="17361" operator="between" text="库存为">
      <formula>NOT(ISERROR(SEARCH("库存为",AU590)))</formula>
    </cfRule>
  </conditionalFormatting>
  <conditionalFormatting sqref="AU591">
    <cfRule type="cellIs" dxfId="0" priority="19050" operator="lessThan">
      <formula>20</formula>
    </cfRule>
    <cfRule type="cellIs" dxfId="1" priority="18205" operator="greaterThan">
      <formula>120</formula>
    </cfRule>
    <cfRule type="containsText" dxfId="2" priority="17360" operator="between" text="库存为">
      <formula>NOT(ISERROR(SEARCH("库存为",AU591)))</formula>
    </cfRule>
  </conditionalFormatting>
  <conditionalFormatting sqref="AU592">
    <cfRule type="cellIs" dxfId="0" priority="19049" operator="lessThan">
      <formula>20</formula>
    </cfRule>
    <cfRule type="cellIs" dxfId="1" priority="18204" operator="greaterThan">
      <formula>120</formula>
    </cfRule>
    <cfRule type="containsText" dxfId="2" priority="17359" operator="between" text="库存为">
      <formula>NOT(ISERROR(SEARCH("库存为",AU592)))</formula>
    </cfRule>
  </conditionalFormatting>
  <conditionalFormatting sqref="AU593">
    <cfRule type="cellIs" dxfId="0" priority="19048" operator="lessThan">
      <formula>20</formula>
    </cfRule>
    <cfRule type="cellIs" dxfId="1" priority="18203" operator="greaterThan">
      <formula>120</formula>
    </cfRule>
    <cfRule type="containsText" dxfId="2" priority="17358" operator="between" text="库存为">
      <formula>NOT(ISERROR(SEARCH("库存为",AU593)))</formula>
    </cfRule>
  </conditionalFormatting>
  <conditionalFormatting sqref="AU594">
    <cfRule type="cellIs" dxfId="0" priority="19047" operator="lessThan">
      <formula>20</formula>
    </cfRule>
    <cfRule type="cellIs" dxfId="1" priority="18202" operator="greaterThan">
      <formula>120</formula>
    </cfRule>
    <cfRule type="containsText" dxfId="2" priority="17357" operator="between" text="库存为">
      <formula>NOT(ISERROR(SEARCH("库存为",AU594)))</formula>
    </cfRule>
  </conditionalFormatting>
  <conditionalFormatting sqref="AU595">
    <cfRule type="cellIs" dxfId="0" priority="19046" operator="lessThan">
      <formula>20</formula>
    </cfRule>
    <cfRule type="cellIs" dxfId="1" priority="18201" operator="greaterThan">
      <formula>120</formula>
    </cfRule>
    <cfRule type="containsText" dxfId="2" priority="17356" operator="between" text="库存为">
      <formula>NOT(ISERROR(SEARCH("库存为",AU595)))</formula>
    </cfRule>
  </conditionalFormatting>
  <conditionalFormatting sqref="AU596">
    <cfRule type="cellIs" dxfId="0" priority="19045" operator="lessThan">
      <formula>20</formula>
    </cfRule>
    <cfRule type="cellIs" dxfId="1" priority="18200" operator="greaterThan">
      <formula>120</formula>
    </cfRule>
    <cfRule type="containsText" dxfId="2" priority="17355" operator="between" text="库存为">
      <formula>NOT(ISERROR(SEARCH("库存为",AU596)))</formula>
    </cfRule>
  </conditionalFormatting>
  <conditionalFormatting sqref="AU597">
    <cfRule type="cellIs" dxfId="0" priority="19044" operator="lessThan">
      <formula>20</formula>
    </cfRule>
    <cfRule type="cellIs" dxfId="1" priority="18199" operator="greaterThan">
      <formula>120</formula>
    </cfRule>
    <cfRule type="containsText" dxfId="2" priority="17354" operator="between" text="库存为">
      <formula>NOT(ISERROR(SEARCH("库存为",AU597)))</formula>
    </cfRule>
  </conditionalFormatting>
  <conditionalFormatting sqref="AU598">
    <cfRule type="cellIs" dxfId="0" priority="19043" operator="lessThan">
      <formula>20</formula>
    </cfRule>
    <cfRule type="cellIs" dxfId="1" priority="18198" operator="greaterThan">
      <formula>120</formula>
    </cfRule>
    <cfRule type="containsText" dxfId="2" priority="17353" operator="between" text="库存为">
      <formula>NOT(ISERROR(SEARCH("库存为",AU598)))</formula>
    </cfRule>
  </conditionalFormatting>
  <conditionalFormatting sqref="AU599">
    <cfRule type="cellIs" dxfId="0" priority="19042" operator="lessThan">
      <formula>20</formula>
    </cfRule>
    <cfRule type="cellIs" dxfId="1" priority="18197" operator="greaterThan">
      <formula>120</formula>
    </cfRule>
    <cfRule type="containsText" dxfId="2" priority="17352" operator="between" text="库存为">
      <formula>NOT(ISERROR(SEARCH("库存为",AU599)))</formula>
    </cfRule>
  </conditionalFormatting>
  <conditionalFormatting sqref="AU600">
    <cfRule type="cellIs" dxfId="0" priority="19041" operator="lessThan">
      <formula>20</formula>
    </cfRule>
    <cfRule type="cellIs" dxfId="1" priority="18196" operator="greaterThan">
      <formula>120</formula>
    </cfRule>
    <cfRule type="containsText" dxfId="2" priority="17351" operator="between" text="库存为">
      <formula>NOT(ISERROR(SEARCH("库存为",AU600)))</formula>
    </cfRule>
  </conditionalFormatting>
  <conditionalFormatting sqref="AU601">
    <cfRule type="cellIs" dxfId="0" priority="19040" operator="lessThan">
      <formula>20</formula>
    </cfRule>
    <cfRule type="cellIs" dxfId="1" priority="18195" operator="greaterThan">
      <formula>120</formula>
    </cfRule>
    <cfRule type="containsText" dxfId="2" priority="17350" operator="between" text="库存为">
      <formula>NOT(ISERROR(SEARCH("库存为",AU601)))</formula>
    </cfRule>
  </conditionalFormatting>
  <conditionalFormatting sqref="AU602">
    <cfRule type="cellIs" dxfId="0" priority="19039" operator="lessThan">
      <formula>20</formula>
    </cfRule>
    <cfRule type="cellIs" dxfId="1" priority="18194" operator="greaterThan">
      <formula>120</formula>
    </cfRule>
    <cfRule type="containsText" dxfId="2" priority="17349" operator="between" text="库存为">
      <formula>NOT(ISERROR(SEARCH("库存为",AU602)))</formula>
    </cfRule>
  </conditionalFormatting>
  <conditionalFormatting sqref="AU603">
    <cfRule type="cellIs" dxfId="0" priority="19038" operator="lessThan">
      <formula>20</formula>
    </cfRule>
    <cfRule type="cellIs" dxfId="1" priority="18193" operator="greaterThan">
      <formula>120</formula>
    </cfRule>
    <cfRule type="containsText" dxfId="2" priority="17348" operator="between" text="库存为">
      <formula>NOT(ISERROR(SEARCH("库存为",AU603)))</formula>
    </cfRule>
  </conditionalFormatting>
  <conditionalFormatting sqref="AU604">
    <cfRule type="cellIs" dxfId="0" priority="19037" operator="lessThan">
      <formula>20</formula>
    </cfRule>
    <cfRule type="cellIs" dxfId="1" priority="18192" operator="greaterThan">
      <formula>120</formula>
    </cfRule>
    <cfRule type="containsText" dxfId="2" priority="17347" operator="between" text="库存为">
      <formula>NOT(ISERROR(SEARCH("库存为",AU604)))</formula>
    </cfRule>
  </conditionalFormatting>
  <conditionalFormatting sqref="AU605">
    <cfRule type="cellIs" dxfId="0" priority="19036" operator="lessThan">
      <formula>20</formula>
    </cfRule>
    <cfRule type="cellIs" dxfId="1" priority="18191" operator="greaterThan">
      <formula>120</formula>
    </cfRule>
    <cfRule type="containsText" dxfId="2" priority="17346" operator="between" text="库存为">
      <formula>NOT(ISERROR(SEARCH("库存为",AU605)))</formula>
    </cfRule>
  </conditionalFormatting>
  <conditionalFormatting sqref="AU606">
    <cfRule type="cellIs" dxfId="0" priority="19035" operator="lessThan">
      <formula>20</formula>
    </cfRule>
    <cfRule type="cellIs" dxfId="1" priority="18190" operator="greaterThan">
      <formula>120</formula>
    </cfRule>
    <cfRule type="containsText" dxfId="2" priority="17345" operator="between" text="库存为">
      <formula>NOT(ISERROR(SEARCH("库存为",AU606)))</formula>
    </cfRule>
  </conditionalFormatting>
  <conditionalFormatting sqref="AU607">
    <cfRule type="cellIs" dxfId="0" priority="19034" operator="lessThan">
      <formula>20</formula>
    </cfRule>
    <cfRule type="cellIs" dxfId="1" priority="18189" operator="greaterThan">
      <formula>120</formula>
    </cfRule>
    <cfRule type="containsText" dxfId="2" priority="17344" operator="between" text="库存为">
      <formula>NOT(ISERROR(SEARCH("库存为",AU607)))</formula>
    </cfRule>
  </conditionalFormatting>
  <conditionalFormatting sqref="AU608">
    <cfRule type="cellIs" dxfId="0" priority="19033" operator="lessThan">
      <formula>20</formula>
    </cfRule>
    <cfRule type="cellIs" dxfId="1" priority="18188" operator="greaterThan">
      <formula>120</formula>
    </cfRule>
    <cfRule type="containsText" dxfId="2" priority="17343" operator="between" text="库存为">
      <formula>NOT(ISERROR(SEARCH("库存为",AU608)))</formula>
    </cfRule>
  </conditionalFormatting>
  <conditionalFormatting sqref="AU609">
    <cfRule type="cellIs" dxfId="0" priority="19032" operator="lessThan">
      <formula>20</formula>
    </cfRule>
    <cfRule type="cellIs" dxfId="1" priority="18187" operator="greaterThan">
      <formula>120</formula>
    </cfRule>
    <cfRule type="containsText" dxfId="2" priority="17342" operator="between" text="库存为">
      <formula>NOT(ISERROR(SEARCH("库存为",AU609)))</formula>
    </cfRule>
  </conditionalFormatting>
  <conditionalFormatting sqref="AU610">
    <cfRule type="cellIs" dxfId="0" priority="19031" operator="lessThan">
      <formula>20</formula>
    </cfRule>
    <cfRule type="cellIs" dxfId="1" priority="18186" operator="greaterThan">
      <formula>120</formula>
    </cfRule>
    <cfRule type="containsText" dxfId="2" priority="17341" operator="between" text="库存为">
      <formula>NOT(ISERROR(SEARCH("库存为",AU610)))</formula>
    </cfRule>
  </conditionalFormatting>
  <conditionalFormatting sqref="AU611">
    <cfRule type="cellIs" dxfId="0" priority="19030" operator="lessThan">
      <formula>20</formula>
    </cfRule>
    <cfRule type="cellIs" dxfId="1" priority="18185" operator="greaterThan">
      <formula>120</formula>
    </cfRule>
    <cfRule type="containsText" dxfId="2" priority="17340" operator="between" text="库存为">
      <formula>NOT(ISERROR(SEARCH("库存为",AU611)))</formula>
    </cfRule>
  </conditionalFormatting>
  <conditionalFormatting sqref="AU612">
    <cfRule type="cellIs" dxfId="0" priority="19029" operator="lessThan">
      <formula>20</formula>
    </cfRule>
    <cfRule type="cellIs" dxfId="1" priority="18184" operator="greaterThan">
      <formula>120</formula>
    </cfRule>
    <cfRule type="containsText" dxfId="2" priority="17339" operator="between" text="库存为">
      <formula>NOT(ISERROR(SEARCH("库存为",AU612)))</formula>
    </cfRule>
  </conditionalFormatting>
  <conditionalFormatting sqref="AU613">
    <cfRule type="cellIs" dxfId="0" priority="19028" operator="lessThan">
      <formula>20</formula>
    </cfRule>
    <cfRule type="cellIs" dxfId="1" priority="18183" operator="greaterThan">
      <formula>120</formula>
    </cfRule>
    <cfRule type="containsText" dxfId="2" priority="17338" operator="between" text="库存为">
      <formula>NOT(ISERROR(SEARCH("库存为",AU613)))</formula>
    </cfRule>
  </conditionalFormatting>
  <conditionalFormatting sqref="AU614">
    <cfRule type="cellIs" dxfId="0" priority="19027" operator="lessThan">
      <formula>20</formula>
    </cfRule>
    <cfRule type="cellIs" dxfId="1" priority="18182" operator="greaterThan">
      <formula>120</formula>
    </cfRule>
    <cfRule type="containsText" dxfId="2" priority="17337" operator="between" text="库存为">
      <formula>NOT(ISERROR(SEARCH("库存为",AU614)))</formula>
    </cfRule>
  </conditionalFormatting>
  <conditionalFormatting sqref="AU615">
    <cfRule type="cellIs" dxfId="0" priority="19026" operator="lessThan">
      <formula>20</formula>
    </cfRule>
    <cfRule type="cellIs" dxfId="1" priority="18181" operator="greaterThan">
      <formula>120</formula>
    </cfRule>
    <cfRule type="containsText" dxfId="2" priority="17336" operator="between" text="库存为">
      <formula>NOT(ISERROR(SEARCH("库存为",AU615)))</formula>
    </cfRule>
  </conditionalFormatting>
  <conditionalFormatting sqref="AU616">
    <cfRule type="cellIs" dxfId="0" priority="19025" operator="lessThan">
      <formula>20</formula>
    </cfRule>
    <cfRule type="cellIs" dxfId="1" priority="18180" operator="greaterThan">
      <formula>120</formula>
    </cfRule>
    <cfRule type="containsText" dxfId="2" priority="17335" operator="between" text="库存为">
      <formula>NOT(ISERROR(SEARCH("库存为",AU616)))</formula>
    </cfRule>
  </conditionalFormatting>
  <conditionalFormatting sqref="AU617">
    <cfRule type="cellIs" dxfId="0" priority="19024" operator="lessThan">
      <formula>20</formula>
    </cfRule>
    <cfRule type="cellIs" dxfId="1" priority="18179" operator="greaterThan">
      <formula>120</formula>
    </cfRule>
    <cfRule type="containsText" dxfId="2" priority="17334" operator="between" text="库存为">
      <formula>NOT(ISERROR(SEARCH("库存为",AU617)))</formula>
    </cfRule>
  </conditionalFormatting>
  <conditionalFormatting sqref="AU618">
    <cfRule type="cellIs" dxfId="0" priority="19023" operator="lessThan">
      <formula>20</formula>
    </cfRule>
    <cfRule type="cellIs" dxfId="1" priority="18178" operator="greaterThan">
      <formula>120</formula>
    </cfRule>
    <cfRule type="containsText" dxfId="2" priority="17333" operator="between" text="库存为">
      <formula>NOT(ISERROR(SEARCH("库存为",AU618)))</formula>
    </cfRule>
  </conditionalFormatting>
  <conditionalFormatting sqref="AU619">
    <cfRule type="cellIs" dxfId="0" priority="19022" operator="lessThan">
      <formula>20</formula>
    </cfRule>
    <cfRule type="cellIs" dxfId="1" priority="18177" operator="greaterThan">
      <formula>120</formula>
    </cfRule>
    <cfRule type="containsText" dxfId="2" priority="17332" operator="between" text="库存为">
      <formula>NOT(ISERROR(SEARCH("库存为",AU619)))</formula>
    </cfRule>
  </conditionalFormatting>
  <conditionalFormatting sqref="AU620">
    <cfRule type="cellIs" dxfId="0" priority="19021" operator="lessThan">
      <formula>20</formula>
    </cfRule>
    <cfRule type="cellIs" dxfId="1" priority="18176" operator="greaterThan">
      <formula>120</formula>
    </cfRule>
    <cfRule type="containsText" dxfId="2" priority="17331" operator="between" text="库存为">
      <formula>NOT(ISERROR(SEARCH("库存为",AU620)))</formula>
    </cfRule>
  </conditionalFormatting>
  <conditionalFormatting sqref="AU621">
    <cfRule type="cellIs" dxfId="0" priority="19020" operator="lessThan">
      <formula>20</formula>
    </cfRule>
    <cfRule type="cellIs" dxfId="1" priority="18175" operator="greaterThan">
      <formula>120</formula>
    </cfRule>
    <cfRule type="containsText" dxfId="2" priority="17330" operator="between" text="库存为">
      <formula>NOT(ISERROR(SEARCH("库存为",AU621)))</formula>
    </cfRule>
  </conditionalFormatting>
  <conditionalFormatting sqref="AU622">
    <cfRule type="cellIs" dxfId="0" priority="19019" operator="lessThan">
      <formula>20</formula>
    </cfRule>
    <cfRule type="cellIs" dxfId="1" priority="18174" operator="greaterThan">
      <formula>120</formula>
    </cfRule>
    <cfRule type="containsText" dxfId="2" priority="17329" operator="between" text="库存为">
      <formula>NOT(ISERROR(SEARCH("库存为",AU622)))</formula>
    </cfRule>
  </conditionalFormatting>
  <conditionalFormatting sqref="AU623">
    <cfRule type="cellIs" dxfId="0" priority="19018" operator="lessThan">
      <formula>20</formula>
    </cfRule>
    <cfRule type="cellIs" dxfId="1" priority="18173" operator="greaterThan">
      <formula>120</formula>
    </cfRule>
    <cfRule type="containsText" dxfId="2" priority="17328" operator="between" text="库存为">
      <formula>NOT(ISERROR(SEARCH("库存为",AU623)))</formula>
    </cfRule>
  </conditionalFormatting>
  <conditionalFormatting sqref="AU624">
    <cfRule type="cellIs" dxfId="0" priority="19017" operator="lessThan">
      <formula>20</formula>
    </cfRule>
    <cfRule type="cellIs" dxfId="1" priority="18172" operator="greaterThan">
      <formula>120</formula>
    </cfRule>
    <cfRule type="containsText" dxfId="2" priority="17327" operator="between" text="库存为">
      <formula>NOT(ISERROR(SEARCH("库存为",AU624)))</formula>
    </cfRule>
  </conditionalFormatting>
  <conditionalFormatting sqref="AU625">
    <cfRule type="cellIs" dxfId="0" priority="19016" operator="lessThan">
      <formula>20</formula>
    </cfRule>
    <cfRule type="cellIs" dxfId="1" priority="18171" operator="greaterThan">
      <formula>120</formula>
    </cfRule>
    <cfRule type="containsText" dxfId="2" priority="17326" operator="between" text="库存为">
      <formula>NOT(ISERROR(SEARCH("库存为",AU625)))</formula>
    </cfRule>
  </conditionalFormatting>
  <conditionalFormatting sqref="AU626">
    <cfRule type="cellIs" dxfId="0" priority="19015" operator="lessThan">
      <formula>20</formula>
    </cfRule>
    <cfRule type="cellIs" dxfId="1" priority="18170" operator="greaterThan">
      <formula>120</formula>
    </cfRule>
    <cfRule type="containsText" dxfId="2" priority="17325" operator="between" text="库存为">
      <formula>NOT(ISERROR(SEARCH("库存为",AU626)))</formula>
    </cfRule>
  </conditionalFormatting>
  <conditionalFormatting sqref="AU627">
    <cfRule type="cellIs" dxfId="0" priority="19014" operator="lessThan">
      <formula>20</formula>
    </cfRule>
    <cfRule type="cellIs" dxfId="1" priority="18169" operator="greaterThan">
      <formula>120</formula>
    </cfRule>
    <cfRule type="containsText" dxfId="2" priority="17324" operator="between" text="库存为">
      <formula>NOT(ISERROR(SEARCH("库存为",AU627)))</formula>
    </cfRule>
  </conditionalFormatting>
  <conditionalFormatting sqref="AU628">
    <cfRule type="cellIs" dxfId="0" priority="19013" operator="lessThan">
      <formula>20</formula>
    </cfRule>
    <cfRule type="cellIs" dxfId="1" priority="18168" operator="greaterThan">
      <formula>120</formula>
    </cfRule>
    <cfRule type="containsText" dxfId="2" priority="17323" operator="between" text="库存为">
      <formula>NOT(ISERROR(SEARCH("库存为",AU628)))</formula>
    </cfRule>
  </conditionalFormatting>
  <conditionalFormatting sqref="AU629">
    <cfRule type="cellIs" dxfId="0" priority="19012" operator="lessThan">
      <formula>20</formula>
    </cfRule>
    <cfRule type="cellIs" dxfId="1" priority="18167" operator="greaterThan">
      <formula>120</formula>
    </cfRule>
    <cfRule type="containsText" dxfId="2" priority="17322" operator="between" text="库存为">
      <formula>NOT(ISERROR(SEARCH("库存为",AU629)))</formula>
    </cfRule>
  </conditionalFormatting>
  <conditionalFormatting sqref="AU630">
    <cfRule type="cellIs" dxfId="0" priority="19011" operator="lessThan">
      <formula>20</formula>
    </cfRule>
    <cfRule type="cellIs" dxfId="1" priority="18166" operator="greaterThan">
      <formula>120</formula>
    </cfRule>
    <cfRule type="containsText" dxfId="2" priority="17321" operator="between" text="库存为">
      <formula>NOT(ISERROR(SEARCH("库存为",AU630)))</formula>
    </cfRule>
  </conditionalFormatting>
  <conditionalFormatting sqref="AU631">
    <cfRule type="cellIs" dxfId="0" priority="19010" operator="lessThan">
      <formula>20</formula>
    </cfRule>
    <cfRule type="cellIs" dxfId="1" priority="18165" operator="greaterThan">
      <formula>120</formula>
    </cfRule>
    <cfRule type="containsText" dxfId="2" priority="17320" operator="between" text="库存为">
      <formula>NOT(ISERROR(SEARCH("库存为",AU631)))</formula>
    </cfRule>
  </conditionalFormatting>
  <conditionalFormatting sqref="AU632">
    <cfRule type="cellIs" dxfId="0" priority="19009" operator="lessThan">
      <formula>20</formula>
    </cfRule>
    <cfRule type="cellIs" dxfId="1" priority="18164" operator="greaterThan">
      <formula>120</formula>
    </cfRule>
    <cfRule type="containsText" dxfId="2" priority="17319" operator="between" text="库存为">
      <formula>NOT(ISERROR(SEARCH("库存为",AU632)))</formula>
    </cfRule>
  </conditionalFormatting>
  <conditionalFormatting sqref="AU633">
    <cfRule type="cellIs" dxfId="0" priority="19008" operator="lessThan">
      <formula>20</formula>
    </cfRule>
    <cfRule type="cellIs" dxfId="1" priority="18163" operator="greaterThan">
      <formula>120</formula>
    </cfRule>
    <cfRule type="containsText" dxfId="2" priority="17318" operator="between" text="库存为">
      <formula>NOT(ISERROR(SEARCH("库存为",AU633)))</formula>
    </cfRule>
  </conditionalFormatting>
  <conditionalFormatting sqref="AU634">
    <cfRule type="cellIs" dxfId="0" priority="19007" operator="lessThan">
      <formula>20</formula>
    </cfRule>
    <cfRule type="cellIs" dxfId="1" priority="18162" operator="greaterThan">
      <formula>120</formula>
    </cfRule>
    <cfRule type="containsText" dxfId="2" priority="17317" operator="between" text="库存为">
      <formula>NOT(ISERROR(SEARCH("库存为",AU634)))</formula>
    </cfRule>
  </conditionalFormatting>
  <conditionalFormatting sqref="AU635">
    <cfRule type="cellIs" dxfId="0" priority="19006" operator="lessThan">
      <formula>20</formula>
    </cfRule>
    <cfRule type="cellIs" dxfId="1" priority="18161" operator="greaterThan">
      <formula>120</formula>
    </cfRule>
    <cfRule type="containsText" dxfId="2" priority="17316" operator="between" text="库存为">
      <formula>NOT(ISERROR(SEARCH("库存为",AU635)))</formula>
    </cfRule>
  </conditionalFormatting>
  <conditionalFormatting sqref="AU636">
    <cfRule type="cellIs" dxfId="0" priority="19005" operator="lessThan">
      <formula>20</formula>
    </cfRule>
    <cfRule type="cellIs" dxfId="1" priority="18160" operator="greaterThan">
      <formula>120</formula>
    </cfRule>
    <cfRule type="containsText" dxfId="2" priority="17315" operator="between" text="库存为">
      <formula>NOT(ISERROR(SEARCH("库存为",AU636)))</formula>
    </cfRule>
  </conditionalFormatting>
  <conditionalFormatting sqref="AU637">
    <cfRule type="cellIs" dxfId="0" priority="19004" operator="lessThan">
      <formula>20</formula>
    </cfRule>
    <cfRule type="cellIs" dxfId="1" priority="18159" operator="greaterThan">
      <formula>120</formula>
    </cfRule>
    <cfRule type="containsText" dxfId="2" priority="17314" operator="between" text="库存为">
      <formula>NOT(ISERROR(SEARCH("库存为",AU637)))</formula>
    </cfRule>
  </conditionalFormatting>
  <conditionalFormatting sqref="AU638">
    <cfRule type="cellIs" dxfId="0" priority="19003" operator="lessThan">
      <formula>20</formula>
    </cfRule>
    <cfRule type="cellIs" dxfId="1" priority="18158" operator="greaterThan">
      <formula>120</formula>
    </cfRule>
    <cfRule type="containsText" dxfId="2" priority="17313" operator="between" text="库存为">
      <formula>NOT(ISERROR(SEARCH("库存为",AU638)))</formula>
    </cfRule>
  </conditionalFormatting>
  <conditionalFormatting sqref="AU639">
    <cfRule type="cellIs" dxfId="0" priority="19002" operator="lessThan">
      <formula>20</formula>
    </cfRule>
    <cfRule type="cellIs" dxfId="1" priority="18157" operator="greaterThan">
      <formula>120</formula>
    </cfRule>
    <cfRule type="containsText" dxfId="2" priority="17312" operator="between" text="库存为">
      <formula>NOT(ISERROR(SEARCH("库存为",AU639)))</formula>
    </cfRule>
  </conditionalFormatting>
  <conditionalFormatting sqref="AU640">
    <cfRule type="cellIs" dxfId="0" priority="19001" operator="lessThan">
      <formula>20</formula>
    </cfRule>
    <cfRule type="cellIs" dxfId="1" priority="18156" operator="greaterThan">
      <formula>120</formula>
    </cfRule>
    <cfRule type="containsText" dxfId="2" priority="17311" operator="between" text="库存为">
      <formula>NOT(ISERROR(SEARCH("库存为",AU640)))</formula>
    </cfRule>
  </conditionalFormatting>
  <conditionalFormatting sqref="AU641">
    <cfRule type="cellIs" dxfId="0" priority="19000" operator="lessThan">
      <formula>20</formula>
    </cfRule>
    <cfRule type="cellIs" dxfId="1" priority="18155" operator="greaterThan">
      <formula>120</formula>
    </cfRule>
    <cfRule type="containsText" dxfId="2" priority="17310" operator="between" text="库存为">
      <formula>NOT(ISERROR(SEARCH("库存为",AU641)))</formula>
    </cfRule>
  </conditionalFormatting>
  <conditionalFormatting sqref="AU642">
    <cfRule type="cellIs" dxfId="0" priority="18999" operator="lessThan">
      <formula>20</formula>
    </cfRule>
    <cfRule type="cellIs" dxfId="1" priority="18154" operator="greaterThan">
      <formula>120</formula>
    </cfRule>
    <cfRule type="containsText" dxfId="2" priority="17309" operator="between" text="库存为">
      <formula>NOT(ISERROR(SEARCH("库存为",AU642)))</formula>
    </cfRule>
  </conditionalFormatting>
  <conditionalFormatting sqref="AU643">
    <cfRule type="cellIs" dxfId="0" priority="18998" operator="lessThan">
      <formula>20</formula>
    </cfRule>
    <cfRule type="cellIs" dxfId="1" priority="18153" operator="greaterThan">
      <formula>120</formula>
    </cfRule>
    <cfRule type="containsText" dxfId="2" priority="17308" operator="between" text="库存为">
      <formula>NOT(ISERROR(SEARCH("库存为",AU643)))</formula>
    </cfRule>
  </conditionalFormatting>
  <conditionalFormatting sqref="AU644">
    <cfRule type="cellIs" dxfId="0" priority="18997" operator="lessThan">
      <formula>20</formula>
    </cfRule>
    <cfRule type="cellIs" dxfId="1" priority="18152" operator="greaterThan">
      <formula>120</formula>
    </cfRule>
    <cfRule type="containsText" dxfId="2" priority="17307" operator="between" text="库存为">
      <formula>NOT(ISERROR(SEARCH("库存为",AU644)))</formula>
    </cfRule>
  </conditionalFormatting>
  <conditionalFormatting sqref="AU645">
    <cfRule type="cellIs" dxfId="0" priority="18996" operator="lessThan">
      <formula>20</formula>
    </cfRule>
    <cfRule type="cellIs" dxfId="1" priority="18151" operator="greaterThan">
      <formula>120</formula>
    </cfRule>
    <cfRule type="containsText" dxfId="2" priority="17306" operator="between" text="库存为">
      <formula>NOT(ISERROR(SEARCH("库存为",AU645)))</formula>
    </cfRule>
  </conditionalFormatting>
  <conditionalFormatting sqref="AU646">
    <cfRule type="cellIs" dxfId="0" priority="18995" operator="lessThan">
      <formula>20</formula>
    </cfRule>
    <cfRule type="cellIs" dxfId="1" priority="18150" operator="greaterThan">
      <formula>120</formula>
    </cfRule>
    <cfRule type="containsText" dxfId="2" priority="17305" operator="between" text="库存为">
      <formula>NOT(ISERROR(SEARCH("库存为",AU646)))</formula>
    </cfRule>
  </conditionalFormatting>
  <conditionalFormatting sqref="AU647">
    <cfRule type="cellIs" dxfId="0" priority="18994" operator="lessThan">
      <formula>20</formula>
    </cfRule>
    <cfRule type="cellIs" dxfId="1" priority="18149" operator="greaterThan">
      <formula>120</formula>
    </cfRule>
    <cfRule type="containsText" dxfId="2" priority="17304" operator="between" text="库存为">
      <formula>NOT(ISERROR(SEARCH("库存为",AU647)))</formula>
    </cfRule>
  </conditionalFormatting>
  <conditionalFormatting sqref="AU648">
    <cfRule type="cellIs" dxfId="0" priority="18993" operator="lessThan">
      <formula>20</formula>
    </cfRule>
    <cfRule type="cellIs" dxfId="1" priority="18148" operator="greaterThan">
      <formula>120</formula>
    </cfRule>
    <cfRule type="containsText" dxfId="2" priority="17303" operator="between" text="库存为">
      <formula>NOT(ISERROR(SEARCH("库存为",AU648)))</formula>
    </cfRule>
  </conditionalFormatting>
  <conditionalFormatting sqref="AU649">
    <cfRule type="cellIs" dxfId="0" priority="18992" operator="lessThan">
      <formula>20</formula>
    </cfRule>
    <cfRule type="cellIs" dxfId="1" priority="18147" operator="greaterThan">
      <formula>120</formula>
    </cfRule>
    <cfRule type="containsText" dxfId="2" priority="17302" operator="between" text="库存为">
      <formula>NOT(ISERROR(SEARCH("库存为",AU649)))</formula>
    </cfRule>
  </conditionalFormatting>
  <conditionalFormatting sqref="AU650">
    <cfRule type="cellIs" dxfId="0" priority="18991" operator="lessThan">
      <formula>20</formula>
    </cfRule>
    <cfRule type="cellIs" dxfId="1" priority="18146" operator="greaterThan">
      <formula>120</formula>
    </cfRule>
    <cfRule type="containsText" dxfId="2" priority="17301" operator="between" text="库存为">
      <formula>NOT(ISERROR(SEARCH("库存为",AU650)))</formula>
    </cfRule>
  </conditionalFormatting>
  <conditionalFormatting sqref="AU651">
    <cfRule type="cellIs" dxfId="0" priority="18990" operator="lessThan">
      <formula>20</formula>
    </cfRule>
    <cfRule type="cellIs" dxfId="1" priority="18145" operator="greaterThan">
      <formula>120</formula>
    </cfRule>
    <cfRule type="containsText" dxfId="2" priority="17300" operator="between" text="库存为">
      <formula>NOT(ISERROR(SEARCH("库存为",AU651)))</formula>
    </cfRule>
  </conditionalFormatting>
  <conditionalFormatting sqref="AU652">
    <cfRule type="cellIs" dxfId="0" priority="18989" operator="lessThan">
      <formula>20</formula>
    </cfRule>
    <cfRule type="cellIs" dxfId="1" priority="18144" operator="greaterThan">
      <formula>120</formula>
    </cfRule>
    <cfRule type="containsText" dxfId="2" priority="17299" operator="between" text="库存为">
      <formula>NOT(ISERROR(SEARCH("库存为",AU652)))</formula>
    </cfRule>
  </conditionalFormatting>
  <conditionalFormatting sqref="AU653">
    <cfRule type="cellIs" dxfId="0" priority="18988" operator="lessThan">
      <formula>20</formula>
    </cfRule>
    <cfRule type="cellIs" dxfId="1" priority="18143" operator="greaterThan">
      <formula>120</formula>
    </cfRule>
    <cfRule type="containsText" dxfId="2" priority="17298" operator="between" text="库存为">
      <formula>NOT(ISERROR(SEARCH("库存为",AU653)))</formula>
    </cfRule>
  </conditionalFormatting>
  <conditionalFormatting sqref="AU654">
    <cfRule type="cellIs" dxfId="0" priority="18987" operator="lessThan">
      <formula>20</formula>
    </cfRule>
    <cfRule type="cellIs" dxfId="1" priority="18142" operator="greaterThan">
      <formula>120</formula>
    </cfRule>
    <cfRule type="containsText" dxfId="2" priority="17297" operator="between" text="库存为">
      <formula>NOT(ISERROR(SEARCH("库存为",AU654)))</formula>
    </cfRule>
  </conditionalFormatting>
  <conditionalFormatting sqref="AU655">
    <cfRule type="cellIs" dxfId="0" priority="18986" operator="lessThan">
      <formula>20</formula>
    </cfRule>
    <cfRule type="cellIs" dxfId="1" priority="18141" operator="greaterThan">
      <formula>120</formula>
    </cfRule>
    <cfRule type="containsText" dxfId="2" priority="17296" operator="between" text="库存为">
      <formula>NOT(ISERROR(SEARCH("库存为",AU655)))</formula>
    </cfRule>
  </conditionalFormatting>
  <conditionalFormatting sqref="AU656">
    <cfRule type="cellIs" dxfId="0" priority="18985" operator="lessThan">
      <formula>20</formula>
    </cfRule>
    <cfRule type="cellIs" dxfId="1" priority="18140" operator="greaterThan">
      <formula>120</formula>
    </cfRule>
    <cfRule type="containsText" dxfId="2" priority="17295" operator="between" text="库存为">
      <formula>NOT(ISERROR(SEARCH("库存为",AU656)))</formula>
    </cfRule>
  </conditionalFormatting>
  <conditionalFormatting sqref="AU657">
    <cfRule type="cellIs" dxfId="0" priority="18984" operator="lessThan">
      <formula>20</formula>
    </cfRule>
    <cfRule type="cellIs" dxfId="1" priority="18139" operator="greaterThan">
      <formula>120</formula>
    </cfRule>
    <cfRule type="containsText" dxfId="2" priority="17294" operator="between" text="库存为">
      <formula>NOT(ISERROR(SEARCH("库存为",AU657)))</formula>
    </cfRule>
  </conditionalFormatting>
  <conditionalFormatting sqref="AU658">
    <cfRule type="cellIs" dxfId="0" priority="18983" operator="lessThan">
      <formula>20</formula>
    </cfRule>
    <cfRule type="cellIs" dxfId="1" priority="18138" operator="greaterThan">
      <formula>120</formula>
    </cfRule>
    <cfRule type="containsText" dxfId="2" priority="17293" operator="between" text="库存为">
      <formula>NOT(ISERROR(SEARCH("库存为",AU658)))</formula>
    </cfRule>
  </conditionalFormatting>
  <conditionalFormatting sqref="AU659">
    <cfRule type="cellIs" dxfId="0" priority="18982" operator="lessThan">
      <formula>20</formula>
    </cfRule>
    <cfRule type="cellIs" dxfId="1" priority="18137" operator="greaterThan">
      <formula>120</formula>
    </cfRule>
    <cfRule type="containsText" dxfId="2" priority="17292" operator="between" text="库存为">
      <formula>NOT(ISERROR(SEARCH("库存为",AU659)))</formula>
    </cfRule>
  </conditionalFormatting>
  <conditionalFormatting sqref="AU660">
    <cfRule type="cellIs" dxfId="0" priority="18981" operator="lessThan">
      <formula>20</formula>
    </cfRule>
    <cfRule type="cellIs" dxfId="1" priority="18136" operator="greaterThan">
      <formula>120</formula>
    </cfRule>
    <cfRule type="containsText" dxfId="2" priority="17291" operator="between" text="库存为">
      <formula>NOT(ISERROR(SEARCH("库存为",AU660)))</formula>
    </cfRule>
  </conditionalFormatting>
  <conditionalFormatting sqref="AU661">
    <cfRule type="cellIs" dxfId="0" priority="18980" operator="lessThan">
      <formula>20</formula>
    </cfRule>
    <cfRule type="cellIs" dxfId="1" priority="18135" operator="greaterThan">
      <formula>120</formula>
    </cfRule>
    <cfRule type="containsText" dxfId="2" priority="17290" operator="between" text="库存为">
      <formula>NOT(ISERROR(SEARCH("库存为",AU661)))</formula>
    </cfRule>
  </conditionalFormatting>
  <conditionalFormatting sqref="AU662">
    <cfRule type="cellIs" dxfId="0" priority="18979" operator="lessThan">
      <formula>20</formula>
    </cfRule>
    <cfRule type="cellIs" dxfId="1" priority="18134" operator="greaterThan">
      <formula>120</formula>
    </cfRule>
    <cfRule type="containsText" dxfId="2" priority="17289" operator="between" text="库存为">
      <formula>NOT(ISERROR(SEARCH("库存为",AU662)))</formula>
    </cfRule>
  </conditionalFormatting>
  <conditionalFormatting sqref="AU663">
    <cfRule type="cellIs" dxfId="0" priority="18978" operator="lessThan">
      <formula>20</formula>
    </cfRule>
    <cfRule type="cellIs" dxfId="1" priority="18133" operator="greaterThan">
      <formula>120</formula>
    </cfRule>
    <cfRule type="containsText" dxfId="2" priority="17288" operator="between" text="库存为">
      <formula>NOT(ISERROR(SEARCH("库存为",AU663)))</formula>
    </cfRule>
  </conditionalFormatting>
  <conditionalFormatting sqref="AU664">
    <cfRule type="cellIs" dxfId="0" priority="18977" operator="lessThan">
      <formula>20</formula>
    </cfRule>
    <cfRule type="cellIs" dxfId="1" priority="18132" operator="greaterThan">
      <formula>120</formula>
    </cfRule>
    <cfRule type="containsText" dxfId="2" priority="17287" operator="between" text="库存为">
      <formula>NOT(ISERROR(SEARCH("库存为",AU664)))</formula>
    </cfRule>
  </conditionalFormatting>
  <conditionalFormatting sqref="AU665">
    <cfRule type="cellIs" dxfId="0" priority="18976" operator="lessThan">
      <formula>20</formula>
    </cfRule>
    <cfRule type="cellIs" dxfId="1" priority="18131" operator="greaterThan">
      <formula>120</formula>
    </cfRule>
    <cfRule type="containsText" dxfId="2" priority="17286" operator="between" text="库存为">
      <formula>NOT(ISERROR(SEARCH("库存为",AU665)))</formula>
    </cfRule>
  </conditionalFormatting>
  <conditionalFormatting sqref="AU666">
    <cfRule type="cellIs" dxfId="0" priority="18975" operator="lessThan">
      <formula>20</formula>
    </cfRule>
    <cfRule type="cellIs" dxfId="1" priority="18130" operator="greaterThan">
      <formula>120</formula>
    </cfRule>
    <cfRule type="containsText" dxfId="2" priority="17285" operator="between" text="库存为">
      <formula>NOT(ISERROR(SEARCH("库存为",AU666)))</formula>
    </cfRule>
  </conditionalFormatting>
  <conditionalFormatting sqref="AU667">
    <cfRule type="cellIs" dxfId="0" priority="18974" operator="lessThan">
      <formula>20</formula>
    </cfRule>
    <cfRule type="cellIs" dxfId="1" priority="18129" operator="greaterThan">
      <formula>120</formula>
    </cfRule>
    <cfRule type="containsText" dxfId="2" priority="17284" operator="between" text="库存为">
      <formula>NOT(ISERROR(SEARCH("库存为",AU667)))</formula>
    </cfRule>
  </conditionalFormatting>
  <conditionalFormatting sqref="AU668">
    <cfRule type="cellIs" dxfId="0" priority="18973" operator="lessThan">
      <formula>20</formula>
    </cfRule>
    <cfRule type="cellIs" dxfId="1" priority="18128" operator="greaterThan">
      <formula>120</formula>
    </cfRule>
    <cfRule type="containsText" dxfId="2" priority="17283" operator="between" text="库存为">
      <formula>NOT(ISERROR(SEARCH("库存为",AU668)))</formula>
    </cfRule>
  </conditionalFormatting>
  <conditionalFormatting sqref="AU669">
    <cfRule type="cellIs" dxfId="0" priority="18972" operator="lessThan">
      <formula>20</formula>
    </cfRule>
    <cfRule type="cellIs" dxfId="1" priority="18127" operator="greaterThan">
      <formula>120</formula>
    </cfRule>
    <cfRule type="containsText" dxfId="2" priority="17282" operator="between" text="库存为">
      <formula>NOT(ISERROR(SEARCH("库存为",AU669)))</formula>
    </cfRule>
  </conditionalFormatting>
  <conditionalFormatting sqref="AU670">
    <cfRule type="cellIs" dxfId="0" priority="18971" operator="lessThan">
      <formula>20</formula>
    </cfRule>
    <cfRule type="cellIs" dxfId="1" priority="18126" operator="greaterThan">
      <formula>120</formula>
    </cfRule>
    <cfRule type="containsText" dxfId="2" priority="17281" operator="between" text="库存为">
      <formula>NOT(ISERROR(SEARCH("库存为",AU670)))</formula>
    </cfRule>
  </conditionalFormatting>
  <conditionalFormatting sqref="AU671">
    <cfRule type="cellIs" dxfId="0" priority="18970" operator="lessThan">
      <formula>20</formula>
    </cfRule>
    <cfRule type="cellIs" dxfId="1" priority="18125" operator="greaterThan">
      <formula>120</formula>
    </cfRule>
    <cfRule type="containsText" dxfId="2" priority="17280" operator="between" text="库存为">
      <formula>NOT(ISERROR(SEARCH("库存为",AU671)))</formula>
    </cfRule>
  </conditionalFormatting>
  <conditionalFormatting sqref="AU672">
    <cfRule type="cellIs" dxfId="0" priority="18969" operator="lessThan">
      <formula>20</formula>
    </cfRule>
    <cfRule type="cellIs" dxfId="1" priority="18124" operator="greaterThan">
      <formula>120</formula>
    </cfRule>
    <cfRule type="containsText" dxfId="2" priority="17279" operator="between" text="库存为">
      <formula>NOT(ISERROR(SEARCH("库存为",AU672)))</formula>
    </cfRule>
  </conditionalFormatting>
  <conditionalFormatting sqref="AU673">
    <cfRule type="cellIs" dxfId="0" priority="18968" operator="lessThan">
      <formula>20</formula>
    </cfRule>
    <cfRule type="cellIs" dxfId="1" priority="18123" operator="greaterThan">
      <formula>120</formula>
    </cfRule>
    <cfRule type="containsText" dxfId="2" priority="17278" operator="between" text="库存为">
      <formula>NOT(ISERROR(SEARCH("库存为",AU673)))</formula>
    </cfRule>
  </conditionalFormatting>
  <conditionalFormatting sqref="AU674">
    <cfRule type="cellIs" dxfId="0" priority="18967" operator="lessThan">
      <formula>20</formula>
    </cfRule>
    <cfRule type="cellIs" dxfId="1" priority="18122" operator="greaterThan">
      <formula>120</formula>
    </cfRule>
    <cfRule type="containsText" dxfId="2" priority="17277" operator="between" text="库存为">
      <formula>NOT(ISERROR(SEARCH("库存为",AU674)))</formula>
    </cfRule>
  </conditionalFormatting>
  <conditionalFormatting sqref="AU675">
    <cfRule type="cellIs" dxfId="0" priority="18966" operator="lessThan">
      <formula>20</formula>
    </cfRule>
    <cfRule type="cellIs" dxfId="1" priority="18121" operator="greaterThan">
      <formula>120</formula>
    </cfRule>
    <cfRule type="containsText" dxfId="2" priority="17276" operator="between" text="库存为">
      <formula>NOT(ISERROR(SEARCH("库存为",AU675)))</formula>
    </cfRule>
  </conditionalFormatting>
  <conditionalFormatting sqref="AU676">
    <cfRule type="cellIs" dxfId="0" priority="18965" operator="lessThan">
      <formula>20</formula>
    </cfRule>
    <cfRule type="cellIs" dxfId="1" priority="18120" operator="greaterThan">
      <formula>120</formula>
    </cfRule>
    <cfRule type="containsText" dxfId="2" priority="17275" operator="between" text="库存为">
      <formula>NOT(ISERROR(SEARCH("库存为",AU676)))</formula>
    </cfRule>
  </conditionalFormatting>
  <conditionalFormatting sqref="AU677">
    <cfRule type="cellIs" dxfId="0" priority="18964" operator="lessThan">
      <formula>20</formula>
    </cfRule>
    <cfRule type="cellIs" dxfId="1" priority="18119" operator="greaterThan">
      <formula>120</formula>
    </cfRule>
    <cfRule type="containsText" dxfId="2" priority="17274" operator="between" text="库存为">
      <formula>NOT(ISERROR(SEARCH("库存为",AU677)))</formula>
    </cfRule>
  </conditionalFormatting>
  <conditionalFormatting sqref="AU678">
    <cfRule type="cellIs" dxfId="0" priority="18963" operator="lessThan">
      <formula>20</formula>
    </cfRule>
    <cfRule type="cellIs" dxfId="1" priority="18118" operator="greaterThan">
      <formula>120</formula>
    </cfRule>
    <cfRule type="containsText" dxfId="2" priority="17273" operator="between" text="库存为">
      <formula>NOT(ISERROR(SEARCH("库存为",AU678)))</formula>
    </cfRule>
  </conditionalFormatting>
  <conditionalFormatting sqref="AU679">
    <cfRule type="cellIs" dxfId="0" priority="18962" operator="lessThan">
      <formula>20</formula>
    </cfRule>
    <cfRule type="cellIs" dxfId="1" priority="18117" operator="greaterThan">
      <formula>120</formula>
    </cfRule>
    <cfRule type="containsText" dxfId="2" priority="17272" operator="between" text="库存为">
      <formula>NOT(ISERROR(SEARCH("库存为",AU679)))</formula>
    </cfRule>
  </conditionalFormatting>
  <conditionalFormatting sqref="AU680">
    <cfRule type="cellIs" dxfId="0" priority="18961" operator="lessThan">
      <formula>20</formula>
    </cfRule>
    <cfRule type="cellIs" dxfId="1" priority="18116" operator="greaterThan">
      <formula>120</formula>
    </cfRule>
    <cfRule type="containsText" dxfId="2" priority="17271" operator="between" text="库存为">
      <formula>NOT(ISERROR(SEARCH("库存为",AU680)))</formula>
    </cfRule>
  </conditionalFormatting>
  <conditionalFormatting sqref="AU681">
    <cfRule type="cellIs" dxfId="0" priority="18960" operator="lessThan">
      <formula>20</formula>
    </cfRule>
    <cfRule type="cellIs" dxfId="1" priority="18115" operator="greaterThan">
      <formula>120</formula>
    </cfRule>
    <cfRule type="containsText" dxfId="2" priority="17270" operator="between" text="库存为">
      <formula>NOT(ISERROR(SEARCH("库存为",AU681)))</formula>
    </cfRule>
  </conditionalFormatting>
  <conditionalFormatting sqref="AU682">
    <cfRule type="cellIs" dxfId="0" priority="18959" operator="lessThan">
      <formula>20</formula>
    </cfRule>
    <cfRule type="cellIs" dxfId="1" priority="18114" operator="greaterThan">
      <formula>120</formula>
    </cfRule>
    <cfRule type="containsText" dxfId="2" priority="17269" operator="between" text="库存为">
      <formula>NOT(ISERROR(SEARCH("库存为",AU682)))</formula>
    </cfRule>
  </conditionalFormatting>
  <conditionalFormatting sqref="AU683">
    <cfRule type="cellIs" dxfId="0" priority="18958" operator="lessThan">
      <formula>20</formula>
    </cfRule>
    <cfRule type="cellIs" dxfId="1" priority="18113" operator="greaterThan">
      <formula>120</formula>
    </cfRule>
    <cfRule type="containsText" dxfId="2" priority="17268" operator="between" text="库存为">
      <formula>NOT(ISERROR(SEARCH("库存为",AU683)))</formula>
    </cfRule>
  </conditionalFormatting>
  <conditionalFormatting sqref="AU684">
    <cfRule type="cellIs" dxfId="0" priority="18957" operator="lessThan">
      <formula>20</formula>
    </cfRule>
    <cfRule type="cellIs" dxfId="1" priority="18112" operator="greaterThan">
      <formula>120</formula>
    </cfRule>
    <cfRule type="containsText" dxfId="2" priority="17267" operator="between" text="库存为">
      <formula>NOT(ISERROR(SEARCH("库存为",AU684)))</formula>
    </cfRule>
  </conditionalFormatting>
  <conditionalFormatting sqref="AU685">
    <cfRule type="cellIs" dxfId="0" priority="18956" operator="lessThan">
      <formula>20</formula>
    </cfRule>
    <cfRule type="cellIs" dxfId="1" priority="18111" operator="greaterThan">
      <formula>120</formula>
    </cfRule>
    <cfRule type="containsText" dxfId="2" priority="17266" operator="between" text="库存为">
      <formula>NOT(ISERROR(SEARCH("库存为",AU685)))</formula>
    </cfRule>
  </conditionalFormatting>
  <conditionalFormatting sqref="AU686">
    <cfRule type="cellIs" dxfId="0" priority="18955" operator="lessThan">
      <formula>20</formula>
    </cfRule>
    <cfRule type="cellIs" dxfId="1" priority="18110" operator="greaterThan">
      <formula>120</formula>
    </cfRule>
    <cfRule type="containsText" dxfId="2" priority="17265" operator="between" text="库存为">
      <formula>NOT(ISERROR(SEARCH("库存为",AU686)))</formula>
    </cfRule>
  </conditionalFormatting>
  <conditionalFormatting sqref="AU687">
    <cfRule type="cellIs" dxfId="0" priority="18954" operator="lessThan">
      <formula>20</formula>
    </cfRule>
    <cfRule type="cellIs" dxfId="1" priority="18109" operator="greaterThan">
      <formula>120</formula>
    </cfRule>
    <cfRule type="containsText" dxfId="2" priority="17264" operator="between" text="库存为">
      <formula>NOT(ISERROR(SEARCH("库存为",AU687)))</formula>
    </cfRule>
  </conditionalFormatting>
  <conditionalFormatting sqref="AU688">
    <cfRule type="cellIs" dxfId="0" priority="18953" operator="lessThan">
      <formula>20</formula>
    </cfRule>
    <cfRule type="cellIs" dxfId="1" priority="18108" operator="greaterThan">
      <formula>120</formula>
    </cfRule>
    <cfRule type="containsText" dxfId="2" priority="17263" operator="between" text="库存为">
      <formula>NOT(ISERROR(SEARCH("库存为",AU688)))</formula>
    </cfRule>
  </conditionalFormatting>
  <conditionalFormatting sqref="AU689">
    <cfRule type="cellIs" dxfId="0" priority="18952" operator="lessThan">
      <formula>20</formula>
    </cfRule>
    <cfRule type="cellIs" dxfId="1" priority="18107" operator="greaterThan">
      <formula>120</formula>
    </cfRule>
    <cfRule type="containsText" dxfId="2" priority="17262" operator="between" text="库存为">
      <formula>NOT(ISERROR(SEARCH("库存为",AU689)))</formula>
    </cfRule>
  </conditionalFormatting>
  <conditionalFormatting sqref="AU690">
    <cfRule type="cellIs" dxfId="0" priority="18951" operator="lessThan">
      <formula>20</formula>
    </cfRule>
    <cfRule type="cellIs" dxfId="1" priority="18106" operator="greaterThan">
      <formula>120</formula>
    </cfRule>
    <cfRule type="containsText" dxfId="2" priority="17261" operator="between" text="库存为">
      <formula>NOT(ISERROR(SEARCH("库存为",AU690)))</formula>
    </cfRule>
  </conditionalFormatting>
  <conditionalFormatting sqref="AU691">
    <cfRule type="cellIs" dxfId="0" priority="18950" operator="lessThan">
      <formula>20</formula>
    </cfRule>
    <cfRule type="cellIs" dxfId="1" priority="18105" operator="greaterThan">
      <formula>120</formula>
    </cfRule>
    <cfRule type="containsText" dxfId="2" priority="17260" operator="between" text="库存为">
      <formula>NOT(ISERROR(SEARCH("库存为",AU691)))</formula>
    </cfRule>
  </conditionalFormatting>
  <conditionalFormatting sqref="AU692">
    <cfRule type="cellIs" dxfId="0" priority="18949" operator="lessThan">
      <formula>20</formula>
    </cfRule>
    <cfRule type="cellIs" dxfId="1" priority="18104" operator="greaterThan">
      <formula>120</formula>
    </cfRule>
    <cfRule type="containsText" dxfId="2" priority="17259" operator="between" text="库存为">
      <formula>NOT(ISERROR(SEARCH("库存为",AU692)))</formula>
    </cfRule>
  </conditionalFormatting>
  <conditionalFormatting sqref="AU693">
    <cfRule type="cellIs" dxfId="0" priority="18948" operator="lessThan">
      <formula>20</formula>
    </cfRule>
    <cfRule type="cellIs" dxfId="1" priority="18103" operator="greaterThan">
      <formula>120</formula>
    </cfRule>
    <cfRule type="containsText" dxfId="2" priority="17258" operator="between" text="库存为">
      <formula>NOT(ISERROR(SEARCH("库存为",AU693)))</formula>
    </cfRule>
  </conditionalFormatting>
  <conditionalFormatting sqref="AU694">
    <cfRule type="cellIs" dxfId="0" priority="18947" operator="lessThan">
      <formula>20</formula>
    </cfRule>
    <cfRule type="cellIs" dxfId="1" priority="18102" operator="greaterThan">
      <formula>120</formula>
    </cfRule>
    <cfRule type="containsText" dxfId="2" priority="17257" operator="between" text="库存为">
      <formula>NOT(ISERROR(SEARCH("库存为",AU694)))</formula>
    </cfRule>
  </conditionalFormatting>
  <conditionalFormatting sqref="AU695">
    <cfRule type="cellIs" dxfId="0" priority="18946" operator="lessThan">
      <formula>20</formula>
    </cfRule>
    <cfRule type="cellIs" dxfId="1" priority="18101" operator="greaterThan">
      <formula>120</formula>
    </cfRule>
    <cfRule type="containsText" dxfId="2" priority="17256" operator="between" text="库存为">
      <formula>NOT(ISERROR(SEARCH("库存为",AU695)))</formula>
    </cfRule>
  </conditionalFormatting>
  <conditionalFormatting sqref="AU696">
    <cfRule type="cellIs" dxfId="0" priority="18945" operator="lessThan">
      <formula>20</formula>
    </cfRule>
    <cfRule type="cellIs" dxfId="1" priority="18100" operator="greaterThan">
      <formula>120</formula>
    </cfRule>
    <cfRule type="containsText" dxfId="2" priority="17255" operator="between" text="库存为">
      <formula>NOT(ISERROR(SEARCH("库存为",AU696)))</formula>
    </cfRule>
  </conditionalFormatting>
  <conditionalFormatting sqref="AU697">
    <cfRule type="cellIs" dxfId="0" priority="18944" operator="lessThan">
      <formula>20</formula>
    </cfRule>
    <cfRule type="cellIs" dxfId="1" priority="18099" operator="greaterThan">
      <formula>120</formula>
    </cfRule>
    <cfRule type="containsText" dxfId="2" priority="17254" operator="between" text="库存为">
      <formula>NOT(ISERROR(SEARCH("库存为",AU697)))</formula>
    </cfRule>
  </conditionalFormatting>
  <conditionalFormatting sqref="AU698">
    <cfRule type="cellIs" dxfId="0" priority="18943" operator="lessThan">
      <formula>20</formula>
    </cfRule>
    <cfRule type="cellIs" dxfId="1" priority="18098" operator="greaterThan">
      <formula>120</formula>
    </cfRule>
    <cfRule type="containsText" dxfId="2" priority="17253" operator="between" text="库存为">
      <formula>NOT(ISERROR(SEARCH("库存为",AU698)))</formula>
    </cfRule>
  </conditionalFormatting>
  <conditionalFormatting sqref="AU699">
    <cfRule type="cellIs" dxfId="0" priority="18942" operator="lessThan">
      <formula>20</formula>
    </cfRule>
    <cfRule type="cellIs" dxfId="1" priority="18097" operator="greaterThan">
      <formula>120</formula>
    </cfRule>
    <cfRule type="containsText" dxfId="2" priority="17252" operator="between" text="库存为">
      <formula>NOT(ISERROR(SEARCH("库存为",AU699)))</formula>
    </cfRule>
  </conditionalFormatting>
  <conditionalFormatting sqref="AU700">
    <cfRule type="cellIs" dxfId="0" priority="18941" operator="lessThan">
      <formula>20</formula>
    </cfRule>
    <cfRule type="cellIs" dxfId="1" priority="18096" operator="greaterThan">
      <formula>120</formula>
    </cfRule>
    <cfRule type="containsText" dxfId="2" priority="17251" operator="between" text="库存为">
      <formula>NOT(ISERROR(SEARCH("库存为",AU700)))</formula>
    </cfRule>
  </conditionalFormatting>
  <conditionalFormatting sqref="AU701">
    <cfRule type="cellIs" dxfId="0" priority="18940" operator="lessThan">
      <formula>20</formula>
    </cfRule>
    <cfRule type="cellIs" dxfId="1" priority="18095" operator="greaterThan">
      <formula>120</formula>
    </cfRule>
    <cfRule type="containsText" dxfId="2" priority="17250" operator="between" text="库存为">
      <formula>NOT(ISERROR(SEARCH("库存为",AU701)))</formula>
    </cfRule>
  </conditionalFormatting>
  <conditionalFormatting sqref="AU702">
    <cfRule type="cellIs" dxfId="0" priority="18939" operator="lessThan">
      <formula>20</formula>
    </cfRule>
    <cfRule type="cellIs" dxfId="1" priority="18094" operator="greaterThan">
      <formula>120</formula>
    </cfRule>
    <cfRule type="containsText" dxfId="2" priority="17249" operator="between" text="库存为">
      <formula>NOT(ISERROR(SEARCH("库存为",AU702)))</formula>
    </cfRule>
  </conditionalFormatting>
  <conditionalFormatting sqref="AU703">
    <cfRule type="cellIs" dxfId="0" priority="18938" operator="lessThan">
      <formula>20</formula>
    </cfRule>
    <cfRule type="cellIs" dxfId="1" priority="18093" operator="greaterThan">
      <formula>120</formula>
    </cfRule>
    <cfRule type="containsText" dxfId="2" priority="17248" operator="between" text="库存为">
      <formula>NOT(ISERROR(SEARCH("库存为",AU703)))</formula>
    </cfRule>
  </conditionalFormatting>
  <conditionalFormatting sqref="AU704">
    <cfRule type="cellIs" dxfId="0" priority="18937" operator="lessThan">
      <formula>20</formula>
    </cfRule>
    <cfRule type="cellIs" dxfId="1" priority="18092" operator="greaterThan">
      <formula>120</formula>
    </cfRule>
    <cfRule type="containsText" dxfId="2" priority="17247" operator="between" text="库存为">
      <formula>NOT(ISERROR(SEARCH("库存为",AU704)))</formula>
    </cfRule>
  </conditionalFormatting>
  <conditionalFormatting sqref="AU705">
    <cfRule type="cellIs" dxfId="0" priority="18936" operator="lessThan">
      <formula>20</formula>
    </cfRule>
    <cfRule type="cellIs" dxfId="1" priority="18091" operator="greaterThan">
      <formula>120</formula>
    </cfRule>
    <cfRule type="containsText" dxfId="2" priority="17246" operator="between" text="库存为">
      <formula>NOT(ISERROR(SEARCH("库存为",AU705)))</formula>
    </cfRule>
  </conditionalFormatting>
  <conditionalFormatting sqref="AU706">
    <cfRule type="cellIs" dxfId="0" priority="18935" operator="lessThan">
      <formula>20</formula>
    </cfRule>
    <cfRule type="cellIs" dxfId="1" priority="18090" operator="greaterThan">
      <formula>120</formula>
    </cfRule>
    <cfRule type="containsText" dxfId="2" priority="17245" operator="between" text="库存为">
      <formula>NOT(ISERROR(SEARCH("库存为",AU706)))</formula>
    </cfRule>
  </conditionalFormatting>
  <conditionalFormatting sqref="AU707">
    <cfRule type="cellIs" dxfId="0" priority="18934" operator="lessThan">
      <formula>20</formula>
    </cfRule>
    <cfRule type="cellIs" dxfId="1" priority="18089" operator="greaterThan">
      <formula>120</formula>
    </cfRule>
    <cfRule type="containsText" dxfId="2" priority="17244" operator="between" text="库存为">
      <formula>NOT(ISERROR(SEARCH("库存为",AU707)))</formula>
    </cfRule>
  </conditionalFormatting>
  <conditionalFormatting sqref="AU708">
    <cfRule type="cellIs" dxfId="0" priority="18933" operator="lessThan">
      <formula>20</formula>
    </cfRule>
    <cfRule type="cellIs" dxfId="1" priority="18088" operator="greaterThan">
      <formula>120</formula>
    </cfRule>
    <cfRule type="containsText" dxfId="2" priority="17243" operator="between" text="库存为">
      <formula>NOT(ISERROR(SEARCH("库存为",AU708)))</formula>
    </cfRule>
  </conditionalFormatting>
  <conditionalFormatting sqref="AU709">
    <cfRule type="cellIs" dxfId="0" priority="18932" operator="lessThan">
      <formula>20</formula>
    </cfRule>
    <cfRule type="cellIs" dxfId="1" priority="18087" operator="greaterThan">
      <formula>120</formula>
    </cfRule>
    <cfRule type="containsText" dxfId="2" priority="17242" operator="between" text="库存为">
      <formula>NOT(ISERROR(SEARCH("库存为",AU709)))</formula>
    </cfRule>
  </conditionalFormatting>
  <conditionalFormatting sqref="AU710">
    <cfRule type="cellIs" dxfId="0" priority="18931" operator="lessThan">
      <formula>20</formula>
    </cfRule>
    <cfRule type="cellIs" dxfId="1" priority="18086" operator="greaterThan">
      <formula>120</formula>
    </cfRule>
    <cfRule type="containsText" dxfId="2" priority="17241" operator="between" text="库存为">
      <formula>NOT(ISERROR(SEARCH("库存为",AU710)))</formula>
    </cfRule>
  </conditionalFormatting>
  <conditionalFormatting sqref="AU711">
    <cfRule type="cellIs" dxfId="0" priority="18930" operator="lessThan">
      <formula>20</formula>
    </cfRule>
    <cfRule type="cellIs" dxfId="1" priority="18085" operator="greaterThan">
      <formula>120</formula>
    </cfRule>
    <cfRule type="containsText" dxfId="2" priority="17240" operator="between" text="库存为">
      <formula>NOT(ISERROR(SEARCH("库存为",AU711)))</formula>
    </cfRule>
  </conditionalFormatting>
  <conditionalFormatting sqref="AU712">
    <cfRule type="cellIs" dxfId="0" priority="18929" operator="lessThan">
      <formula>20</formula>
    </cfRule>
    <cfRule type="cellIs" dxfId="1" priority="18084" operator="greaterThan">
      <formula>120</formula>
    </cfRule>
    <cfRule type="containsText" dxfId="2" priority="17239" operator="between" text="库存为">
      <formula>NOT(ISERROR(SEARCH("库存为",AU712)))</formula>
    </cfRule>
  </conditionalFormatting>
  <conditionalFormatting sqref="AU713">
    <cfRule type="cellIs" dxfId="0" priority="18928" operator="lessThan">
      <formula>20</formula>
    </cfRule>
    <cfRule type="cellIs" dxfId="1" priority="18083" operator="greaterThan">
      <formula>120</formula>
    </cfRule>
    <cfRule type="containsText" dxfId="2" priority="17238" operator="between" text="库存为">
      <formula>NOT(ISERROR(SEARCH("库存为",AU713)))</formula>
    </cfRule>
  </conditionalFormatting>
  <conditionalFormatting sqref="AU714">
    <cfRule type="cellIs" dxfId="0" priority="18927" operator="lessThan">
      <formula>20</formula>
    </cfRule>
    <cfRule type="cellIs" dxfId="1" priority="18082" operator="greaterThan">
      <formula>120</formula>
    </cfRule>
    <cfRule type="containsText" dxfId="2" priority="17237" operator="between" text="库存为">
      <formula>NOT(ISERROR(SEARCH("库存为",AU714)))</formula>
    </cfRule>
  </conditionalFormatting>
  <conditionalFormatting sqref="AU715">
    <cfRule type="cellIs" dxfId="0" priority="18926" operator="lessThan">
      <formula>20</formula>
    </cfRule>
    <cfRule type="cellIs" dxfId="1" priority="18081" operator="greaterThan">
      <formula>120</formula>
    </cfRule>
    <cfRule type="containsText" dxfId="2" priority="17236" operator="between" text="库存为">
      <formula>NOT(ISERROR(SEARCH("库存为",AU715)))</formula>
    </cfRule>
  </conditionalFormatting>
  <conditionalFormatting sqref="AU716">
    <cfRule type="cellIs" dxfId="0" priority="18925" operator="lessThan">
      <formula>20</formula>
    </cfRule>
    <cfRule type="cellIs" dxfId="1" priority="18080" operator="greaterThan">
      <formula>120</formula>
    </cfRule>
    <cfRule type="containsText" dxfId="2" priority="17235" operator="between" text="库存为">
      <formula>NOT(ISERROR(SEARCH("库存为",AU716)))</formula>
    </cfRule>
  </conditionalFormatting>
  <conditionalFormatting sqref="AU717">
    <cfRule type="cellIs" dxfId="0" priority="18924" operator="lessThan">
      <formula>20</formula>
    </cfRule>
    <cfRule type="cellIs" dxfId="1" priority="18079" operator="greaterThan">
      <formula>120</formula>
    </cfRule>
    <cfRule type="containsText" dxfId="2" priority="17234" operator="between" text="库存为">
      <formula>NOT(ISERROR(SEARCH("库存为",AU717)))</formula>
    </cfRule>
  </conditionalFormatting>
  <conditionalFormatting sqref="AU718">
    <cfRule type="cellIs" dxfId="0" priority="18923" operator="lessThan">
      <formula>20</formula>
    </cfRule>
    <cfRule type="cellIs" dxfId="1" priority="18078" operator="greaterThan">
      <formula>120</formula>
    </cfRule>
    <cfRule type="containsText" dxfId="2" priority="17233" operator="between" text="库存为">
      <formula>NOT(ISERROR(SEARCH("库存为",AU718)))</formula>
    </cfRule>
  </conditionalFormatting>
  <conditionalFormatting sqref="AU719">
    <cfRule type="cellIs" dxfId="0" priority="18922" operator="lessThan">
      <formula>20</formula>
    </cfRule>
    <cfRule type="cellIs" dxfId="1" priority="18077" operator="greaterThan">
      <formula>120</formula>
    </cfRule>
    <cfRule type="containsText" dxfId="2" priority="17232" operator="between" text="库存为">
      <formula>NOT(ISERROR(SEARCH("库存为",AU719)))</formula>
    </cfRule>
  </conditionalFormatting>
  <conditionalFormatting sqref="AU720">
    <cfRule type="cellIs" dxfId="0" priority="18921" operator="lessThan">
      <formula>20</formula>
    </cfRule>
    <cfRule type="cellIs" dxfId="1" priority="18076" operator="greaterThan">
      <formula>120</formula>
    </cfRule>
    <cfRule type="containsText" dxfId="2" priority="17231" operator="between" text="库存为">
      <formula>NOT(ISERROR(SEARCH("库存为",AU720)))</formula>
    </cfRule>
  </conditionalFormatting>
  <conditionalFormatting sqref="AU721">
    <cfRule type="cellIs" dxfId="0" priority="18920" operator="lessThan">
      <formula>20</formula>
    </cfRule>
    <cfRule type="cellIs" dxfId="1" priority="18075" operator="greaterThan">
      <formula>120</formula>
    </cfRule>
    <cfRule type="containsText" dxfId="2" priority="17230" operator="between" text="库存为">
      <formula>NOT(ISERROR(SEARCH("库存为",AU721)))</formula>
    </cfRule>
  </conditionalFormatting>
  <conditionalFormatting sqref="AU722">
    <cfRule type="cellIs" dxfId="0" priority="18919" operator="lessThan">
      <formula>20</formula>
    </cfRule>
    <cfRule type="cellIs" dxfId="1" priority="18074" operator="greaterThan">
      <formula>120</formula>
    </cfRule>
    <cfRule type="containsText" dxfId="2" priority="17229" operator="between" text="库存为">
      <formula>NOT(ISERROR(SEARCH("库存为",AU722)))</formula>
    </cfRule>
  </conditionalFormatting>
  <conditionalFormatting sqref="AU723">
    <cfRule type="cellIs" dxfId="0" priority="18918" operator="lessThan">
      <formula>20</formula>
    </cfRule>
    <cfRule type="cellIs" dxfId="1" priority="18073" operator="greaterThan">
      <formula>120</formula>
    </cfRule>
    <cfRule type="containsText" dxfId="2" priority="17228" operator="between" text="库存为">
      <formula>NOT(ISERROR(SEARCH("库存为",AU723)))</formula>
    </cfRule>
  </conditionalFormatting>
  <conditionalFormatting sqref="AU724">
    <cfRule type="cellIs" dxfId="0" priority="18917" operator="lessThan">
      <formula>20</formula>
    </cfRule>
    <cfRule type="cellIs" dxfId="1" priority="18072" operator="greaterThan">
      <formula>120</formula>
    </cfRule>
    <cfRule type="containsText" dxfId="2" priority="17227" operator="between" text="库存为">
      <formula>NOT(ISERROR(SEARCH("库存为",AU724)))</formula>
    </cfRule>
  </conditionalFormatting>
  <conditionalFormatting sqref="AU725">
    <cfRule type="cellIs" dxfId="0" priority="18916" operator="lessThan">
      <formula>20</formula>
    </cfRule>
    <cfRule type="cellIs" dxfId="1" priority="18071" operator="greaterThan">
      <formula>120</formula>
    </cfRule>
    <cfRule type="containsText" dxfId="2" priority="17226" operator="between" text="库存为">
      <formula>NOT(ISERROR(SEARCH("库存为",AU725)))</formula>
    </cfRule>
  </conditionalFormatting>
  <conditionalFormatting sqref="AU726">
    <cfRule type="cellIs" dxfId="0" priority="18915" operator="lessThan">
      <formula>20</formula>
    </cfRule>
    <cfRule type="cellIs" dxfId="1" priority="18070" operator="greaterThan">
      <formula>120</formula>
    </cfRule>
    <cfRule type="containsText" dxfId="2" priority="17225" operator="between" text="库存为">
      <formula>NOT(ISERROR(SEARCH("库存为",AU726)))</formula>
    </cfRule>
  </conditionalFormatting>
  <conditionalFormatting sqref="AU727">
    <cfRule type="cellIs" dxfId="0" priority="18914" operator="lessThan">
      <formula>20</formula>
    </cfRule>
    <cfRule type="cellIs" dxfId="1" priority="18069" operator="greaterThan">
      <formula>120</formula>
    </cfRule>
    <cfRule type="containsText" dxfId="2" priority="17224" operator="between" text="库存为">
      <formula>NOT(ISERROR(SEARCH("库存为",AU727)))</formula>
    </cfRule>
  </conditionalFormatting>
  <conditionalFormatting sqref="AU728">
    <cfRule type="cellIs" dxfId="0" priority="18913" operator="lessThan">
      <formula>20</formula>
    </cfRule>
    <cfRule type="cellIs" dxfId="1" priority="18068" operator="greaterThan">
      <formula>120</formula>
    </cfRule>
    <cfRule type="containsText" dxfId="2" priority="17223" operator="between" text="库存为">
      <formula>NOT(ISERROR(SEARCH("库存为",AU728)))</formula>
    </cfRule>
  </conditionalFormatting>
  <conditionalFormatting sqref="AU729">
    <cfRule type="cellIs" dxfId="0" priority="18912" operator="lessThan">
      <formula>20</formula>
    </cfRule>
    <cfRule type="cellIs" dxfId="1" priority="18067" operator="greaterThan">
      <formula>120</formula>
    </cfRule>
    <cfRule type="containsText" dxfId="2" priority="17222" operator="between" text="库存为">
      <formula>NOT(ISERROR(SEARCH("库存为",AU729)))</formula>
    </cfRule>
  </conditionalFormatting>
  <conditionalFormatting sqref="AU730">
    <cfRule type="cellIs" dxfId="0" priority="18911" operator="lessThan">
      <formula>20</formula>
    </cfRule>
    <cfRule type="cellIs" dxfId="1" priority="18066" operator="greaterThan">
      <formula>120</formula>
    </cfRule>
    <cfRule type="containsText" dxfId="2" priority="17221" operator="between" text="库存为">
      <formula>NOT(ISERROR(SEARCH("库存为",AU730)))</formula>
    </cfRule>
  </conditionalFormatting>
  <conditionalFormatting sqref="AU731">
    <cfRule type="cellIs" dxfId="0" priority="18910" operator="lessThan">
      <formula>20</formula>
    </cfRule>
    <cfRule type="cellIs" dxfId="1" priority="18065" operator="greaterThan">
      <formula>120</formula>
    </cfRule>
    <cfRule type="containsText" dxfId="2" priority="17220" operator="between" text="库存为">
      <formula>NOT(ISERROR(SEARCH("库存为",AU731)))</formula>
    </cfRule>
  </conditionalFormatting>
  <conditionalFormatting sqref="AU732">
    <cfRule type="cellIs" dxfId="0" priority="18909" operator="lessThan">
      <formula>20</formula>
    </cfRule>
    <cfRule type="cellIs" dxfId="1" priority="18064" operator="greaterThan">
      <formula>120</formula>
    </cfRule>
    <cfRule type="containsText" dxfId="2" priority="17219" operator="between" text="库存为">
      <formula>NOT(ISERROR(SEARCH("库存为",AU732)))</formula>
    </cfRule>
  </conditionalFormatting>
  <conditionalFormatting sqref="AU733">
    <cfRule type="cellIs" dxfId="0" priority="18908" operator="lessThan">
      <formula>20</formula>
    </cfRule>
    <cfRule type="cellIs" dxfId="1" priority="18063" operator="greaterThan">
      <formula>120</formula>
    </cfRule>
    <cfRule type="containsText" dxfId="2" priority="17218" operator="between" text="库存为">
      <formula>NOT(ISERROR(SEARCH("库存为",AU733)))</formula>
    </cfRule>
  </conditionalFormatting>
  <conditionalFormatting sqref="AU734">
    <cfRule type="cellIs" dxfId="0" priority="18907" operator="lessThan">
      <formula>20</formula>
    </cfRule>
    <cfRule type="cellIs" dxfId="1" priority="18062" operator="greaterThan">
      <formula>120</formula>
    </cfRule>
    <cfRule type="containsText" dxfId="2" priority="17217" operator="between" text="库存为">
      <formula>NOT(ISERROR(SEARCH("库存为",AU734)))</formula>
    </cfRule>
  </conditionalFormatting>
  <conditionalFormatting sqref="AU735">
    <cfRule type="cellIs" dxfId="0" priority="18906" operator="lessThan">
      <formula>20</formula>
    </cfRule>
    <cfRule type="cellIs" dxfId="1" priority="18061" operator="greaterThan">
      <formula>120</formula>
    </cfRule>
    <cfRule type="containsText" dxfId="2" priority="17216" operator="between" text="库存为">
      <formula>NOT(ISERROR(SEARCH("库存为",AU735)))</formula>
    </cfRule>
  </conditionalFormatting>
  <conditionalFormatting sqref="AU736">
    <cfRule type="cellIs" dxfId="0" priority="18905" operator="lessThan">
      <formula>20</formula>
    </cfRule>
    <cfRule type="cellIs" dxfId="1" priority="18060" operator="greaterThan">
      <formula>120</formula>
    </cfRule>
    <cfRule type="containsText" dxfId="2" priority="17215" operator="between" text="库存为">
      <formula>NOT(ISERROR(SEARCH("库存为",AU736)))</formula>
    </cfRule>
  </conditionalFormatting>
  <conditionalFormatting sqref="AU737">
    <cfRule type="cellIs" dxfId="0" priority="18904" operator="lessThan">
      <formula>20</formula>
    </cfRule>
    <cfRule type="cellIs" dxfId="1" priority="18059" operator="greaterThan">
      <formula>120</formula>
    </cfRule>
    <cfRule type="containsText" dxfId="2" priority="17214" operator="between" text="库存为">
      <formula>NOT(ISERROR(SEARCH("库存为",AU737)))</formula>
    </cfRule>
  </conditionalFormatting>
  <conditionalFormatting sqref="AU738">
    <cfRule type="cellIs" dxfId="0" priority="18903" operator="lessThan">
      <formula>20</formula>
    </cfRule>
    <cfRule type="cellIs" dxfId="1" priority="18058" operator="greaterThan">
      <formula>120</formula>
    </cfRule>
    <cfRule type="containsText" dxfId="2" priority="17213" operator="between" text="库存为">
      <formula>NOT(ISERROR(SEARCH("库存为",AU738)))</formula>
    </cfRule>
  </conditionalFormatting>
  <conditionalFormatting sqref="AU739">
    <cfRule type="cellIs" dxfId="0" priority="18902" operator="lessThan">
      <formula>20</formula>
    </cfRule>
    <cfRule type="cellIs" dxfId="1" priority="18057" operator="greaterThan">
      <formula>120</formula>
    </cfRule>
    <cfRule type="containsText" dxfId="2" priority="17212" operator="between" text="库存为">
      <formula>NOT(ISERROR(SEARCH("库存为",AU739)))</formula>
    </cfRule>
  </conditionalFormatting>
  <conditionalFormatting sqref="AU740">
    <cfRule type="cellIs" dxfId="0" priority="18901" operator="lessThan">
      <formula>20</formula>
    </cfRule>
    <cfRule type="cellIs" dxfId="1" priority="18056" operator="greaterThan">
      <formula>120</formula>
    </cfRule>
    <cfRule type="containsText" dxfId="2" priority="17211" operator="between" text="库存为">
      <formula>NOT(ISERROR(SEARCH("库存为",AU740)))</formula>
    </cfRule>
  </conditionalFormatting>
  <conditionalFormatting sqref="AU741">
    <cfRule type="cellIs" dxfId="0" priority="18900" operator="lessThan">
      <formula>20</formula>
    </cfRule>
    <cfRule type="cellIs" dxfId="1" priority="18055" operator="greaterThan">
      <formula>120</formula>
    </cfRule>
    <cfRule type="containsText" dxfId="2" priority="17210" operator="between" text="库存为">
      <formula>NOT(ISERROR(SEARCH("库存为",AU741)))</formula>
    </cfRule>
  </conditionalFormatting>
  <conditionalFormatting sqref="AU742">
    <cfRule type="cellIs" dxfId="0" priority="18899" operator="lessThan">
      <formula>20</formula>
    </cfRule>
    <cfRule type="cellIs" dxfId="1" priority="18054" operator="greaterThan">
      <formula>120</formula>
    </cfRule>
    <cfRule type="containsText" dxfId="2" priority="17209" operator="between" text="库存为">
      <formula>NOT(ISERROR(SEARCH("库存为",AU742)))</formula>
    </cfRule>
  </conditionalFormatting>
  <conditionalFormatting sqref="AU743">
    <cfRule type="cellIs" dxfId="0" priority="18898" operator="lessThan">
      <formula>20</formula>
    </cfRule>
    <cfRule type="cellIs" dxfId="1" priority="18053" operator="greaterThan">
      <formula>120</formula>
    </cfRule>
    <cfRule type="containsText" dxfId="2" priority="17208" operator="between" text="库存为">
      <formula>NOT(ISERROR(SEARCH("库存为",AU743)))</formula>
    </cfRule>
  </conditionalFormatting>
  <conditionalFormatting sqref="AU744">
    <cfRule type="cellIs" dxfId="0" priority="18897" operator="lessThan">
      <formula>20</formula>
    </cfRule>
    <cfRule type="cellIs" dxfId="1" priority="18052" operator="greaterThan">
      <formula>120</formula>
    </cfRule>
    <cfRule type="containsText" dxfId="2" priority="17207" operator="between" text="库存为">
      <formula>NOT(ISERROR(SEARCH("库存为",AU744)))</formula>
    </cfRule>
  </conditionalFormatting>
  <conditionalFormatting sqref="AU745">
    <cfRule type="cellIs" dxfId="0" priority="18896" operator="lessThan">
      <formula>20</formula>
    </cfRule>
    <cfRule type="cellIs" dxfId="1" priority="18051" operator="greaterThan">
      <formula>120</formula>
    </cfRule>
    <cfRule type="containsText" dxfId="2" priority="17206" operator="between" text="库存为">
      <formula>NOT(ISERROR(SEARCH("库存为",AU745)))</formula>
    </cfRule>
  </conditionalFormatting>
  <conditionalFormatting sqref="AU746">
    <cfRule type="cellIs" dxfId="0" priority="18895" operator="lessThan">
      <formula>20</formula>
    </cfRule>
    <cfRule type="cellIs" dxfId="1" priority="18050" operator="greaterThan">
      <formula>120</formula>
    </cfRule>
    <cfRule type="containsText" dxfId="2" priority="17205" operator="between" text="库存为">
      <formula>NOT(ISERROR(SEARCH("库存为",AU746)))</formula>
    </cfRule>
  </conditionalFormatting>
  <conditionalFormatting sqref="AU747">
    <cfRule type="cellIs" dxfId="0" priority="18894" operator="lessThan">
      <formula>20</formula>
    </cfRule>
    <cfRule type="cellIs" dxfId="1" priority="18049" operator="greaterThan">
      <formula>120</formula>
    </cfRule>
    <cfRule type="containsText" dxfId="2" priority="17204" operator="between" text="库存为">
      <formula>NOT(ISERROR(SEARCH("库存为",AU747)))</formula>
    </cfRule>
  </conditionalFormatting>
  <conditionalFormatting sqref="AU748">
    <cfRule type="cellIs" dxfId="0" priority="18893" operator="lessThan">
      <formula>20</formula>
    </cfRule>
    <cfRule type="cellIs" dxfId="1" priority="18048" operator="greaterThan">
      <formula>120</formula>
    </cfRule>
    <cfRule type="containsText" dxfId="2" priority="17203" operator="between" text="库存为">
      <formula>NOT(ISERROR(SEARCH("库存为",AU748)))</formula>
    </cfRule>
  </conditionalFormatting>
  <conditionalFormatting sqref="AU749">
    <cfRule type="cellIs" dxfId="0" priority="18892" operator="lessThan">
      <formula>20</formula>
    </cfRule>
    <cfRule type="cellIs" dxfId="1" priority="18047" operator="greaterThan">
      <formula>120</formula>
    </cfRule>
    <cfRule type="containsText" dxfId="2" priority="17202" operator="between" text="库存为">
      <formula>NOT(ISERROR(SEARCH("库存为",AU749)))</formula>
    </cfRule>
  </conditionalFormatting>
  <conditionalFormatting sqref="AU750">
    <cfRule type="cellIs" dxfId="0" priority="18891" operator="lessThan">
      <formula>20</formula>
    </cfRule>
    <cfRule type="cellIs" dxfId="1" priority="18046" operator="greaterThan">
      <formula>120</formula>
    </cfRule>
    <cfRule type="containsText" dxfId="2" priority="17201" operator="between" text="库存为">
      <formula>NOT(ISERROR(SEARCH("库存为",AU750)))</formula>
    </cfRule>
  </conditionalFormatting>
  <conditionalFormatting sqref="AU751">
    <cfRule type="cellIs" dxfId="0" priority="18890" operator="lessThan">
      <formula>20</formula>
    </cfRule>
    <cfRule type="cellIs" dxfId="1" priority="18045" operator="greaterThan">
      <formula>120</formula>
    </cfRule>
    <cfRule type="containsText" dxfId="2" priority="17200" operator="between" text="库存为">
      <formula>NOT(ISERROR(SEARCH("库存为",AU751)))</formula>
    </cfRule>
  </conditionalFormatting>
  <conditionalFormatting sqref="AU752">
    <cfRule type="cellIs" dxfId="0" priority="18889" operator="lessThan">
      <formula>20</formula>
    </cfRule>
    <cfRule type="cellIs" dxfId="1" priority="18044" operator="greaterThan">
      <formula>120</formula>
    </cfRule>
    <cfRule type="containsText" dxfId="2" priority="17199" operator="between" text="库存为">
      <formula>NOT(ISERROR(SEARCH("库存为",AU752)))</formula>
    </cfRule>
  </conditionalFormatting>
  <conditionalFormatting sqref="AU753">
    <cfRule type="cellIs" dxfId="0" priority="18888" operator="lessThan">
      <formula>20</formula>
    </cfRule>
    <cfRule type="cellIs" dxfId="1" priority="18043" operator="greaterThan">
      <formula>120</formula>
    </cfRule>
    <cfRule type="containsText" dxfId="2" priority="17198" operator="between" text="库存为">
      <formula>NOT(ISERROR(SEARCH("库存为",AU753)))</formula>
    </cfRule>
  </conditionalFormatting>
  <conditionalFormatting sqref="AU754">
    <cfRule type="cellIs" dxfId="0" priority="18887" operator="lessThan">
      <formula>20</formula>
    </cfRule>
    <cfRule type="cellIs" dxfId="1" priority="18042" operator="greaterThan">
      <formula>120</formula>
    </cfRule>
    <cfRule type="containsText" dxfId="2" priority="17197" operator="between" text="库存为">
      <formula>NOT(ISERROR(SEARCH("库存为",AU754)))</formula>
    </cfRule>
  </conditionalFormatting>
  <conditionalFormatting sqref="AU755">
    <cfRule type="cellIs" dxfId="0" priority="18886" operator="lessThan">
      <formula>20</formula>
    </cfRule>
    <cfRule type="cellIs" dxfId="1" priority="18041" operator="greaterThan">
      <formula>120</formula>
    </cfRule>
    <cfRule type="containsText" dxfId="2" priority="17196" operator="between" text="库存为">
      <formula>NOT(ISERROR(SEARCH("库存为",AU755)))</formula>
    </cfRule>
  </conditionalFormatting>
  <conditionalFormatting sqref="AU756">
    <cfRule type="cellIs" dxfId="0" priority="18885" operator="lessThan">
      <formula>20</formula>
    </cfRule>
    <cfRule type="cellIs" dxfId="1" priority="18040" operator="greaterThan">
      <formula>120</formula>
    </cfRule>
    <cfRule type="containsText" dxfId="2" priority="17195" operator="between" text="库存为">
      <formula>NOT(ISERROR(SEARCH("库存为",AU756)))</formula>
    </cfRule>
  </conditionalFormatting>
  <conditionalFormatting sqref="AU757">
    <cfRule type="cellIs" dxfId="0" priority="18884" operator="lessThan">
      <formula>20</formula>
    </cfRule>
    <cfRule type="cellIs" dxfId="1" priority="18039" operator="greaterThan">
      <formula>120</formula>
    </cfRule>
    <cfRule type="containsText" dxfId="2" priority="17194" operator="between" text="库存为">
      <formula>NOT(ISERROR(SEARCH("库存为",AU757)))</formula>
    </cfRule>
  </conditionalFormatting>
  <conditionalFormatting sqref="AU758">
    <cfRule type="cellIs" dxfId="0" priority="18883" operator="lessThan">
      <formula>20</formula>
    </cfRule>
    <cfRule type="cellIs" dxfId="1" priority="18038" operator="greaterThan">
      <formula>120</formula>
    </cfRule>
    <cfRule type="containsText" dxfId="2" priority="17193" operator="between" text="库存为">
      <formula>NOT(ISERROR(SEARCH("库存为",AU758)))</formula>
    </cfRule>
  </conditionalFormatting>
  <conditionalFormatting sqref="AU759">
    <cfRule type="cellIs" dxfId="0" priority="18882" operator="lessThan">
      <formula>20</formula>
    </cfRule>
    <cfRule type="cellIs" dxfId="1" priority="18037" operator="greaterThan">
      <formula>120</formula>
    </cfRule>
    <cfRule type="containsText" dxfId="2" priority="17192" operator="between" text="库存为">
      <formula>NOT(ISERROR(SEARCH("库存为",AU759)))</formula>
    </cfRule>
  </conditionalFormatting>
  <conditionalFormatting sqref="AU760">
    <cfRule type="cellIs" dxfId="0" priority="18881" operator="lessThan">
      <formula>20</formula>
    </cfRule>
    <cfRule type="cellIs" dxfId="1" priority="18036" operator="greaterThan">
      <formula>120</formula>
    </cfRule>
    <cfRule type="containsText" dxfId="2" priority="17191" operator="between" text="库存为">
      <formula>NOT(ISERROR(SEARCH("库存为",AU760)))</formula>
    </cfRule>
  </conditionalFormatting>
  <conditionalFormatting sqref="AU761">
    <cfRule type="cellIs" dxfId="0" priority="18880" operator="lessThan">
      <formula>20</formula>
    </cfRule>
    <cfRule type="cellIs" dxfId="1" priority="18035" operator="greaterThan">
      <formula>120</formula>
    </cfRule>
    <cfRule type="containsText" dxfId="2" priority="17190" operator="between" text="库存为">
      <formula>NOT(ISERROR(SEARCH("库存为",AU761)))</formula>
    </cfRule>
  </conditionalFormatting>
  <conditionalFormatting sqref="AU762">
    <cfRule type="cellIs" dxfId="0" priority="18879" operator="lessThan">
      <formula>20</formula>
    </cfRule>
    <cfRule type="cellIs" dxfId="1" priority="18034" operator="greaterThan">
      <formula>120</formula>
    </cfRule>
    <cfRule type="containsText" dxfId="2" priority="17189" operator="between" text="库存为">
      <formula>NOT(ISERROR(SEARCH("库存为",AU762)))</formula>
    </cfRule>
  </conditionalFormatting>
  <conditionalFormatting sqref="AU763">
    <cfRule type="cellIs" dxfId="0" priority="18878" operator="lessThan">
      <formula>20</formula>
    </cfRule>
    <cfRule type="cellIs" dxfId="1" priority="18033" operator="greaterThan">
      <formula>120</formula>
    </cfRule>
    <cfRule type="containsText" dxfId="2" priority="17188" operator="between" text="库存为">
      <formula>NOT(ISERROR(SEARCH("库存为",AU763)))</formula>
    </cfRule>
  </conditionalFormatting>
  <conditionalFormatting sqref="AU764">
    <cfRule type="cellIs" dxfId="0" priority="18877" operator="lessThan">
      <formula>20</formula>
    </cfRule>
    <cfRule type="cellIs" dxfId="1" priority="18032" operator="greaterThan">
      <formula>120</formula>
    </cfRule>
    <cfRule type="containsText" dxfId="2" priority="17187" operator="between" text="库存为">
      <formula>NOT(ISERROR(SEARCH("库存为",AU764)))</formula>
    </cfRule>
  </conditionalFormatting>
  <conditionalFormatting sqref="AU765">
    <cfRule type="cellIs" dxfId="0" priority="18876" operator="lessThan">
      <formula>20</formula>
    </cfRule>
    <cfRule type="cellIs" dxfId="1" priority="18031" operator="greaterThan">
      <formula>120</formula>
    </cfRule>
    <cfRule type="containsText" dxfId="2" priority="17186" operator="between" text="库存为">
      <formula>NOT(ISERROR(SEARCH("库存为",AU765)))</formula>
    </cfRule>
  </conditionalFormatting>
  <conditionalFormatting sqref="AU766">
    <cfRule type="cellIs" dxfId="0" priority="18875" operator="lessThan">
      <formula>20</formula>
    </cfRule>
    <cfRule type="cellIs" dxfId="1" priority="18030" operator="greaterThan">
      <formula>120</formula>
    </cfRule>
    <cfRule type="containsText" dxfId="2" priority="17185" operator="between" text="库存为">
      <formula>NOT(ISERROR(SEARCH("库存为",AU766)))</formula>
    </cfRule>
  </conditionalFormatting>
  <conditionalFormatting sqref="AU767">
    <cfRule type="cellIs" dxfId="0" priority="18874" operator="lessThan">
      <formula>20</formula>
    </cfRule>
    <cfRule type="cellIs" dxfId="1" priority="18029" operator="greaterThan">
      <formula>120</formula>
    </cfRule>
    <cfRule type="containsText" dxfId="2" priority="17184" operator="between" text="库存为">
      <formula>NOT(ISERROR(SEARCH("库存为",AU767)))</formula>
    </cfRule>
  </conditionalFormatting>
  <conditionalFormatting sqref="AU768">
    <cfRule type="cellIs" dxfId="0" priority="18873" operator="lessThan">
      <formula>20</formula>
    </cfRule>
    <cfRule type="cellIs" dxfId="1" priority="18028" operator="greaterThan">
      <formula>120</formula>
    </cfRule>
    <cfRule type="containsText" dxfId="2" priority="17183" operator="between" text="库存为">
      <formula>NOT(ISERROR(SEARCH("库存为",AU768)))</formula>
    </cfRule>
  </conditionalFormatting>
  <conditionalFormatting sqref="AU769">
    <cfRule type="cellIs" dxfId="0" priority="18872" operator="lessThan">
      <formula>20</formula>
    </cfRule>
    <cfRule type="cellIs" dxfId="1" priority="18027" operator="greaterThan">
      <formula>120</formula>
    </cfRule>
    <cfRule type="containsText" dxfId="2" priority="17182" operator="between" text="库存为">
      <formula>NOT(ISERROR(SEARCH("库存为",AU769)))</formula>
    </cfRule>
  </conditionalFormatting>
  <conditionalFormatting sqref="AU770">
    <cfRule type="cellIs" dxfId="0" priority="18871" operator="lessThan">
      <formula>20</formula>
    </cfRule>
    <cfRule type="cellIs" dxfId="1" priority="18026" operator="greaterThan">
      <formula>120</formula>
    </cfRule>
    <cfRule type="containsText" dxfId="2" priority="17181" operator="between" text="库存为">
      <formula>NOT(ISERROR(SEARCH("库存为",AU770)))</formula>
    </cfRule>
  </conditionalFormatting>
  <conditionalFormatting sqref="AU771">
    <cfRule type="cellIs" dxfId="0" priority="18870" operator="lessThan">
      <formula>20</formula>
    </cfRule>
    <cfRule type="cellIs" dxfId="1" priority="18025" operator="greaterThan">
      <formula>120</formula>
    </cfRule>
    <cfRule type="containsText" dxfId="2" priority="17180" operator="between" text="库存为">
      <formula>NOT(ISERROR(SEARCH("库存为",AU771)))</formula>
    </cfRule>
  </conditionalFormatting>
  <conditionalFormatting sqref="AU772">
    <cfRule type="cellIs" dxfId="0" priority="18869" operator="lessThan">
      <formula>20</formula>
    </cfRule>
    <cfRule type="cellIs" dxfId="1" priority="18024" operator="greaterThan">
      <formula>120</formula>
    </cfRule>
    <cfRule type="containsText" dxfId="2" priority="17179" operator="between" text="库存为">
      <formula>NOT(ISERROR(SEARCH("库存为",AU772)))</formula>
    </cfRule>
  </conditionalFormatting>
  <conditionalFormatting sqref="AU773">
    <cfRule type="cellIs" dxfId="0" priority="18868" operator="lessThan">
      <formula>20</formula>
    </cfRule>
    <cfRule type="cellIs" dxfId="1" priority="18023" operator="greaterThan">
      <formula>120</formula>
    </cfRule>
    <cfRule type="containsText" dxfId="2" priority="17178" operator="between" text="库存为">
      <formula>NOT(ISERROR(SEARCH("库存为",AU773)))</formula>
    </cfRule>
  </conditionalFormatting>
  <conditionalFormatting sqref="AU774">
    <cfRule type="cellIs" dxfId="0" priority="18867" operator="lessThan">
      <formula>20</formula>
    </cfRule>
    <cfRule type="cellIs" dxfId="1" priority="18022" operator="greaterThan">
      <formula>120</formula>
    </cfRule>
    <cfRule type="containsText" dxfId="2" priority="17177" operator="between" text="库存为">
      <formula>NOT(ISERROR(SEARCH("库存为",AU774)))</formula>
    </cfRule>
  </conditionalFormatting>
  <conditionalFormatting sqref="AU775">
    <cfRule type="cellIs" dxfId="0" priority="18866" operator="lessThan">
      <formula>20</formula>
    </cfRule>
    <cfRule type="cellIs" dxfId="1" priority="18021" operator="greaterThan">
      <formula>120</formula>
    </cfRule>
    <cfRule type="containsText" dxfId="2" priority="17176" operator="between" text="库存为">
      <formula>NOT(ISERROR(SEARCH("库存为",AU775)))</formula>
    </cfRule>
  </conditionalFormatting>
  <conditionalFormatting sqref="AU776">
    <cfRule type="cellIs" dxfId="0" priority="18865" operator="lessThan">
      <formula>20</formula>
    </cfRule>
    <cfRule type="cellIs" dxfId="1" priority="18020" operator="greaterThan">
      <formula>120</formula>
    </cfRule>
    <cfRule type="containsText" dxfId="2" priority="17175" operator="between" text="库存为">
      <formula>NOT(ISERROR(SEARCH("库存为",AU776)))</formula>
    </cfRule>
  </conditionalFormatting>
  <conditionalFormatting sqref="AU777">
    <cfRule type="cellIs" dxfId="0" priority="18864" operator="lessThan">
      <formula>20</formula>
    </cfRule>
    <cfRule type="cellIs" dxfId="1" priority="18019" operator="greaterThan">
      <formula>120</formula>
    </cfRule>
    <cfRule type="containsText" dxfId="2" priority="17174" operator="between" text="库存为">
      <formula>NOT(ISERROR(SEARCH("库存为",AU777)))</formula>
    </cfRule>
  </conditionalFormatting>
  <conditionalFormatting sqref="AU778">
    <cfRule type="cellIs" dxfId="0" priority="18863" operator="lessThan">
      <formula>20</formula>
    </cfRule>
    <cfRule type="cellIs" dxfId="1" priority="18018" operator="greaterThan">
      <formula>120</formula>
    </cfRule>
    <cfRule type="containsText" dxfId="2" priority="17173" operator="between" text="库存为">
      <formula>NOT(ISERROR(SEARCH("库存为",AU778)))</formula>
    </cfRule>
  </conditionalFormatting>
  <conditionalFormatting sqref="AU779">
    <cfRule type="cellIs" dxfId="0" priority="18862" operator="lessThan">
      <formula>20</formula>
    </cfRule>
    <cfRule type="cellIs" dxfId="1" priority="18017" operator="greaterThan">
      <formula>120</formula>
    </cfRule>
    <cfRule type="containsText" dxfId="2" priority="17172" operator="between" text="库存为">
      <formula>NOT(ISERROR(SEARCH("库存为",AU779)))</formula>
    </cfRule>
  </conditionalFormatting>
  <conditionalFormatting sqref="AU780">
    <cfRule type="cellIs" dxfId="0" priority="18861" operator="lessThan">
      <formula>20</formula>
    </cfRule>
    <cfRule type="cellIs" dxfId="1" priority="18016" operator="greaterThan">
      <formula>120</formula>
    </cfRule>
    <cfRule type="containsText" dxfId="2" priority="17171" operator="between" text="库存为">
      <formula>NOT(ISERROR(SEARCH("库存为",AU780)))</formula>
    </cfRule>
  </conditionalFormatting>
  <conditionalFormatting sqref="AU781">
    <cfRule type="cellIs" dxfId="0" priority="18860" operator="lessThan">
      <formula>20</formula>
    </cfRule>
    <cfRule type="cellIs" dxfId="1" priority="18015" operator="greaterThan">
      <formula>120</formula>
    </cfRule>
    <cfRule type="containsText" dxfId="2" priority="17170" operator="between" text="库存为">
      <formula>NOT(ISERROR(SEARCH("库存为",AU781)))</formula>
    </cfRule>
  </conditionalFormatting>
  <conditionalFormatting sqref="AU782">
    <cfRule type="cellIs" dxfId="0" priority="18859" operator="lessThan">
      <formula>20</formula>
    </cfRule>
    <cfRule type="cellIs" dxfId="1" priority="18014" operator="greaterThan">
      <formula>120</formula>
    </cfRule>
    <cfRule type="containsText" dxfId="2" priority="17169" operator="between" text="库存为">
      <formula>NOT(ISERROR(SEARCH("库存为",AU782)))</formula>
    </cfRule>
  </conditionalFormatting>
  <conditionalFormatting sqref="AU783">
    <cfRule type="cellIs" dxfId="0" priority="18858" operator="lessThan">
      <formula>20</formula>
    </cfRule>
    <cfRule type="cellIs" dxfId="1" priority="18013" operator="greaterThan">
      <formula>120</formula>
    </cfRule>
    <cfRule type="containsText" dxfId="2" priority="17168" operator="between" text="库存为">
      <formula>NOT(ISERROR(SEARCH("库存为",AU783)))</formula>
    </cfRule>
  </conditionalFormatting>
  <conditionalFormatting sqref="AU784">
    <cfRule type="cellIs" dxfId="0" priority="18857" operator="lessThan">
      <formula>20</formula>
    </cfRule>
    <cfRule type="cellIs" dxfId="1" priority="18012" operator="greaterThan">
      <formula>120</formula>
    </cfRule>
    <cfRule type="containsText" dxfId="2" priority="17167" operator="between" text="库存为">
      <formula>NOT(ISERROR(SEARCH("库存为",AU784)))</formula>
    </cfRule>
  </conditionalFormatting>
  <conditionalFormatting sqref="AU785">
    <cfRule type="cellIs" dxfId="0" priority="18856" operator="lessThan">
      <formula>20</formula>
    </cfRule>
    <cfRule type="cellIs" dxfId="1" priority="18011" operator="greaterThan">
      <formula>120</formula>
    </cfRule>
    <cfRule type="containsText" dxfId="2" priority="17166" operator="between" text="库存为">
      <formula>NOT(ISERROR(SEARCH("库存为",AU785)))</formula>
    </cfRule>
  </conditionalFormatting>
  <conditionalFormatting sqref="AU786">
    <cfRule type="cellIs" dxfId="0" priority="18855" operator="lessThan">
      <formula>20</formula>
    </cfRule>
    <cfRule type="cellIs" dxfId="1" priority="18010" operator="greaterThan">
      <formula>120</formula>
    </cfRule>
    <cfRule type="containsText" dxfId="2" priority="17165" operator="between" text="库存为">
      <formula>NOT(ISERROR(SEARCH("库存为",AU786)))</formula>
    </cfRule>
  </conditionalFormatting>
  <conditionalFormatting sqref="AU787">
    <cfRule type="cellIs" dxfId="0" priority="18854" operator="lessThan">
      <formula>20</formula>
    </cfRule>
    <cfRule type="cellIs" dxfId="1" priority="18009" operator="greaterThan">
      <formula>120</formula>
    </cfRule>
    <cfRule type="containsText" dxfId="2" priority="17164" operator="between" text="库存为">
      <formula>NOT(ISERROR(SEARCH("库存为",AU787)))</formula>
    </cfRule>
  </conditionalFormatting>
  <conditionalFormatting sqref="AU788">
    <cfRule type="cellIs" dxfId="0" priority="18853" operator="lessThan">
      <formula>20</formula>
    </cfRule>
    <cfRule type="cellIs" dxfId="1" priority="18008" operator="greaterThan">
      <formula>120</formula>
    </cfRule>
    <cfRule type="containsText" dxfId="2" priority="17163" operator="between" text="库存为">
      <formula>NOT(ISERROR(SEARCH("库存为",AU788)))</formula>
    </cfRule>
  </conditionalFormatting>
  <conditionalFormatting sqref="AU789">
    <cfRule type="cellIs" dxfId="0" priority="18852" operator="lessThan">
      <formula>20</formula>
    </cfRule>
    <cfRule type="cellIs" dxfId="1" priority="18007" operator="greaterThan">
      <formula>120</formula>
    </cfRule>
    <cfRule type="containsText" dxfId="2" priority="17162" operator="between" text="库存为">
      <formula>NOT(ISERROR(SEARCH("库存为",AU789)))</formula>
    </cfRule>
  </conditionalFormatting>
  <conditionalFormatting sqref="AU790">
    <cfRule type="cellIs" dxfId="0" priority="18851" operator="lessThan">
      <formula>20</formula>
    </cfRule>
    <cfRule type="cellIs" dxfId="1" priority="18006" operator="greaterThan">
      <formula>120</formula>
    </cfRule>
    <cfRule type="containsText" dxfId="2" priority="17161" operator="between" text="库存为">
      <formula>NOT(ISERROR(SEARCH("库存为",AU790)))</formula>
    </cfRule>
  </conditionalFormatting>
  <conditionalFormatting sqref="AU791">
    <cfRule type="cellIs" dxfId="0" priority="18850" operator="lessThan">
      <formula>20</formula>
    </cfRule>
    <cfRule type="cellIs" dxfId="1" priority="18005" operator="greaterThan">
      <formula>120</formula>
    </cfRule>
    <cfRule type="containsText" dxfId="2" priority="17160" operator="between" text="库存为">
      <formula>NOT(ISERROR(SEARCH("库存为",AU791)))</formula>
    </cfRule>
  </conditionalFormatting>
  <conditionalFormatting sqref="AU792">
    <cfRule type="cellIs" dxfId="0" priority="18849" operator="lessThan">
      <formula>20</formula>
    </cfRule>
    <cfRule type="cellIs" dxfId="1" priority="18004" operator="greaterThan">
      <formula>120</formula>
    </cfRule>
    <cfRule type="containsText" dxfId="2" priority="17159" operator="between" text="库存为">
      <formula>NOT(ISERROR(SEARCH("库存为",AU792)))</formula>
    </cfRule>
  </conditionalFormatting>
  <conditionalFormatting sqref="AU793">
    <cfRule type="cellIs" dxfId="0" priority="18848" operator="lessThan">
      <formula>20</formula>
    </cfRule>
    <cfRule type="cellIs" dxfId="1" priority="18003" operator="greaterThan">
      <formula>120</formula>
    </cfRule>
    <cfRule type="containsText" dxfId="2" priority="17158" operator="between" text="库存为">
      <formula>NOT(ISERROR(SEARCH("库存为",AU793)))</formula>
    </cfRule>
  </conditionalFormatting>
  <conditionalFormatting sqref="AU794">
    <cfRule type="cellIs" dxfId="0" priority="18847" operator="lessThan">
      <formula>20</formula>
    </cfRule>
    <cfRule type="cellIs" dxfId="1" priority="18002" operator="greaterThan">
      <formula>120</formula>
    </cfRule>
    <cfRule type="containsText" dxfId="2" priority="17157" operator="between" text="库存为">
      <formula>NOT(ISERROR(SEARCH("库存为",AU794)))</formula>
    </cfRule>
  </conditionalFormatting>
  <conditionalFormatting sqref="AU795">
    <cfRule type="cellIs" dxfId="0" priority="18846" operator="lessThan">
      <formula>20</formula>
    </cfRule>
    <cfRule type="cellIs" dxfId="1" priority="18001" operator="greaterThan">
      <formula>120</formula>
    </cfRule>
    <cfRule type="containsText" dxfId="2" priority="17156" operator="between" text="库存为">
      <formula>NOT(ISERROR(SEARCH("库存为",AU795)))</formula>
    </cfRule>
  </conditionalFormatting>
  <conditionalFormatting sqref="AU796">
    <cfRule type="cellIs" dxfId="0" priority="18845" operator="lessThan">
      <formula>20</formula>
    </cfRule>
    <cfRule type="cellIs" dxfId="1" priority="18000" operator="greaterThan">
      <formula>120</formula>
    </cfRule>
    <cfRule type="containsText" dxfId="2" priority="17155" operator="between" text="库存为">
      <formula>NOT(ISERROR(SEARCH("库存为",AU796)))</formula>
    </cfRule>
  </conditionalFormatting>
  <conditionalFormatting sqref="AU797">
    <cfRule type="cellIs" dxfId="0" priority="18844" operator="lessThan">
      <formula>20</formula>
    </cfRule>
    <cfRule type="cellIs" dxfId="1" priority="17999" operator="greaterThan">
      <formula>120</formula>
    </cfRule>
    <cfRule type="containsText" dxfId="2" priority="17154" operator="between" text="库存为">
      <formula>NOT(ISERROR(SEARCH("库存为",AU797)))</formula>
    </cfRule>
  </conditionalFormatting>
  <conditionalFormatting sqref="AU798">
    <cfRule type="cellIs" dxfId="0" priority="18843" operator="lessThan">
      <formula>20</formula>
    </cfRule>
    <cfRule type="cellIs" dxfId="1" priority="17998" operator="greaterThan">
      <formula>120</formula>
    </cfRule>
    <cfRule type="containsText" dxfId="2" priority="17153" operator="between" text="库存为">
      <formula>NOT(ISERROR(SEARCH("库存为",AU798)))</formula>
    </cfRule>
  </conditionalFormatting>
  <conditionalFormatting sqref="AU799">
    <cfRule type="cellIs" dxfId="0" priority="18842" operator="lessThan">
      <formula>20</formula>
    </cfRule>
    <cfRule type="cellIs" dxfId="1" priority="17997" operator="greaterThan">
      <formula>120</formula>
    </cfRule>
    <cfRule type="containsText" dxfId="2" priority="17152" operator="between" text="库存为">
      <formula>NOT(ISERROR(SEARCH("库存为",AU799)))</formula>
    </cfRule>
  </conditionalFormatting>
  <conditionalFormatting sqref="AU800">
    <cfRule type="cellIs" dxfId="0" priority="18841" operator="lessThan">
      <formula>20</formula>
    </cfRule>
    <cfRule type="cellIs" dxfId="1" priority="17996" operator="greaterThan">
      <formula>120</formula>
    </cfRule>
    <cfRule type="containsText" dxfId="2" priority="17151" operator="between" text="库存为">
      <formula>NOT(ISERROR(SEARCH("库存为",AU800)))</formula>
    </cfRule>
  </conditionalFormatting>
  <conditionalFormatting sqref="AU801">
    <cfRule type="cellIs" dxfId="0" priority="18840" operator="lessThan">
      <formula>20</formula>
    </cfRule>
    <cfRule type="cellIs" dxfId="1" priority="17995" operator="greaterThan">
      <formula>120</formula>
    </cfRule>
    <cfRule type="containsText" dxfId="2" priority="17150" operator="between" text="库存为">
      <formula>NOT(ISERROR(SEARCH("库存为",AU801)))</formula>
    </cfRule>
  </conditionalFormatting>
  <conditionalFormatting sqref="AU802">
    <cfRule type="cellIs" dxfId="0" priority="18839" operator="lessThan">
      <formula>20</formula>
    </cfRule>
    <cfRule type="cellIs" dxfId="1" priority="17994" operator="greaterThan">
      <formula>120</formula>
    </cfRule>
    <cfRule type="containsText" dxfId="2" priority="17149" operator="between" text="库存为">
      <formula>NOT(ISERROR(SEARCH("库存为",AU802)))</formula>
    </cfRule>
  </conditionalFormatting>
  <conditionalFormatting sqref="AU803">
    <cfRule type="cellIs" dxfId="0" priority="18838" operator="lessThan">
      <formula>20</formula>
    </cfRule>
    <cfRule type="cellIs" dxfId="1" priority="17993" operator="greaterThan">
      <formula>120</formula>
    </cfRule>
    <cfRule type="containsText" dxfId="2" priority="17148" operator="between" text="库存为">
      <formula>NOT(ISERROR(SEARCH("库存为",AU803)))</formula>
    </cfRule>
  </conditionalFormatting>
  <conditionalFormatting sqref="AU804">
    <cfRule type="cellIs" dxfId="0" priority="18837" operator="lessThan">
      <formula>20</formula>
    </cfRule>
    <cfRule type="cellIs" dxfId="1" priority="17992" operator="greaterThan">
      <formula>120</formula>
    </cfRule>
    <cfRule type="containsText" dxfId="2" priority="17147" operator="between" text="库存为">
      <formula>NOT(ISERROR(SEARCH("库存为",AU804)))</formula>
    </cfRule>
  </conditionalFormatting>
  <conditionalFormatting sqref="AU805">
    <cfRule type="cellIs" dxfId="0" priority="18836" operator="lessThan">
      <formula>20</formula>
    </cfRule>
    <cfRule type="cellIs" dxfId="1" priority="17991" operator="greaterThan">
      <formula>120</formula>
    </cfRule>
    <cfRule type="containsText" dxfId="2" priority="17146" operator="between" text="库存为">
      <formula>NOT(ISERROR(SEARCH("库存为",AU805)))</formula>
    </cfRule>
  </conditionalFormatting>
  <conditionalFormatting sqref="AU806">
    <cfRule type="cellIs" dxfId="0" priority="18835" operator="lessThan">
      <formula>20</formula>
    </cfRule>
    <cfRule type="cellIs" dxfId="1" priority="17990" operator="greaterThan">
      <formula>120</formula>
    </cfRule>
    <cfRule type="containsText" dxfId="2" priority="17145" operator="between" text="库存为">
      <formula>NOT(ISERROR(SEARCH("库存为",AU806)))</formula>
    </cfRule>
  </conditionalFormatting>
  <conditionalFormatting sqref="AU807">
    <cfRule type="cellIs" dxfId="0" priority="18834" operator="lessThan">
      <formula>20</formula>
    </cfRule>
    <cfRule type="cellIs" dxfId="1" priority="17989" operator="greaterThan">
      <formula>120</formula>
    </cfRule>
    <cfRule type="containsText" dxfId="2" priority="17144" operator="between" text="库存为">
      <formula>NOT(ISERROR(SEARCH("库存为",AU807)))</formula>
    </cfRule>
  </conditionalFormatting>
  <conditionalFormatting sqref="AU808">
    <cfRule type="cellIs" dxfId="0" priority="18833" operator="lessThan">
      <formula>20</formula>
    </cfRule>
    <cfRule type="cellIs" dxfId="1" priority="17988" operator="greaterThan">
      <formula>120</formula>
    </cfRule>
    <cfRule type="containsText" dxfId="2" priority="17143" operator="between" text="库存为">
      <formula>NOT(ISERROR(SEARCH("库存为",AU808)))</formula>
    </cfRule>
  </conditionalFormatting>
  <conditionalFormatting sqref="AU809">
    <cfRule type="cellIs" dxfId="0" priority="18832" operator="lessThan">
      <formula>20</formula>
    </cfRule>
    <cfRule type="cellIs" dxfId="1" priority="17987" operator="greaterThan">
      <formula>120</formula>
    </cfRule>
    <cfRule type="containsText" dxfId="2" priority="17142" operator="between" text="库存为">
      <formula>NOT(ISERROR(SEARCH("库存为",AU809)))</formula>
    </cfRule>
  </conditionalFormatting>
  <conditionalFormatting sqref="AU810">
    <cfRule type="cellIs" dxfId="0" priority="18831" operator="lessThan">
      <formula>20</formula>
    </cfRule>
    <cfRule type="cellIs" dxfId="1" priority="17986" operator="greaterThan">
      <formula>120</formula>
    </cfRule>
    <cfRule type="containsText" dxfId="2" priority="17141" operator="between" text="库存为">
      <formula>NOT(ISERROR(SEARCH("库存为",AU810)))</formula>
    </cfRule>
  </conditionalFormatting>
  <conditionalFormatting sqref="AU811">
    <cfRule type="cellIs" dxfId="0" priority="18830" operator="lessThan">
      <formula>20</formula>
    </cfRule>
    <cfRule type="cellIs" dxfId="1" priority="17985" operator="greaterThan">
      <formula>120</formula>
    </cfRule>
    <cfRule type="containsText" dxfId="2" priority="17140" operator="between" text="库存为">
      <formula>NOT(ISERROR(SEARCH("库存为",AU811)))</formula>
    </cfRule>
  </conditionalFormatting>
  <conditionalFormatting sqref="AU812">
    <cfRule type="cellIs" dxfId="0" priority="18829" operator="lessThan">
      <formula>20</formula>
    </cfRule>
    <cfRule type="cellIs" dxfId="1" priority="17984" operator="greaterThan">
      <formula>120</formula>
    </cfRule>
    <cfRule type="containsText" dxfId="2" priority="17139" operator="between" text="库存为">
      <formula>NOT(ISERROR(SEARCH("库存为",AU812)))</formula>
    </cfRule>
  </conditionalFormatting>
  <conditionalFormatting sqref="AU813">
    <cfRule type="cellIs" dxfId="0" priority="18828" operator="lessThan">
      <formula>20</formula>
    </cfRule>
    <cfRule type="cellIs" dxfId="1" priority="17983" operator="greaterThan">
      <formula>120</formula>
    </cfRule>
    <cfRule type="containsText" dxfId="2" priority="17138" operator="between" text="库存为">
      <formula>NOT(ISERROR(SEARCH("库存为",AU813)))</formula>
    </cfRule>
  </conditionalFormatting>
  <conditionalFormatting sqref="AU814">
    <cfRule type="cellIs" dxfId="0" priority="18827" operator="lessThan">
      <formula>20</formula>
    </cfRule>
    <cfRule type="cellIs" dxfId="1" priority="17982" operator="greaterThan">
      <formula>120</formula>
    </cfRule>
    <cfRule type="containsText" dxfId="2" priority="17137" operator="between" text="库存为">
      <formula>NOT(ISERROR(SEARCH("库存为",AU814)))</formula>
    </cfRule>
  </conditionalFormatting>
  <conditionalFormatting sqref="AU815">
    <cfRule type="cellIs" dxfId="0" priority="18826" operator="lessThan">
      <formula>20</formula>
    </cfRule>
    <cfRule type="cellIs" dxfId="1" priority="17981" operator="greaterThan">
      <formula>120</formula>
    </cfRule>
    <cfRule type="containsText" dxfId="2" priority="17136" operator="between" text="库存为">
      <formula>NOT(ISERROR(SEARCH("库存为",AU815)))</formula>
    </cfRule>
  </conditionalFormatting>
  <conditionalFormatting sqref="AU816">
    <cfRule type="cellIs" dxfId="0" priority="18825" operator="lessThan">
      <formula>20</formula>
    </cfRule>
    <cfRule type="cellIs" dxfId="1" priority="17980" operator="greaterThan">
      <formula>120</formula>
    </cfRule>
    <cfRule type="containsText" dxfId="2" priority="17135" operator="between" text="库存为">
      <formula>NOT(ISERROR(SEARCH("库存为",AU816)))</formula>
    </cfRule>
  </conditionalFormatting>
  <conditionalFormatting sqref="AU817">
    <cfRule type="cellIs" dxfId="0" priority="18824" operator="lessThan">
      <formula>20</formula>
    </cfRule>
    <cfRule type="cellIs" dxfId="1" priority="17979" operator="greaterThan">
      <formula>120</formula>
    </cfRule>
    <cfRule type="containsText" dxfId="2" priority="17134" operator="between" text="库存为">
      <formula>NOT(ISERROR(SEARCH("库存为",AU817)))</formula>
    </cfRule>
  </conditionalFormatting>
  <conditionalFormatting sqref="AU818">
    <cfRule type="cellIs" dxfId="0" priority="18823" operator="lessThan">
      <formula>20</formula>
    </cfRule>
    <cfRule type="cellIs" dxfId="1" priority="17978" operator="greaterThan">
      <formula>120</formula>
    </cfRule>
    <cfRule type="containsText" dxfId="2" priority="17133" operator="between" text="库存为">
      <formula>NOT(ISERROR(SEARCH("库存为",AU818)))</formula>
    </cfRule>
  </conditionalFormatting>
  <conditionalFormatting sqref="AU819">
    <cfRule type="cellIs" dxfId="0" priority="18822" operator="lessThan">
      <formula>20</formula>
    </cfRule>
    <cfRule type="cellIs" dxfId="1" priority="17977" operator="greaterThan">
      <formula>120</formula>
    </cfRule>
    <cfRule type="containsText" dxfId="2" priority="17132" operator="between" text="库存为">
      <formula>NOT(ISERROR(SEARCH("库存为",AU819)))</formula>
    </cfRule>
  </conditionalFormatting>
  <conditionalFormatting sqref="AU820">
    <cfRule type="cellIs" dxfId="0" priority="18821" operator="lessThan">
      <formula>20</formula>
    </cfRule>
    <cfRule type="cellIs" dxfId="1" priority="17976" operator="greaterThan">
      <formula>120</formula>
    </cfRule>
    <cfRule type="containsText" dxfId="2" priority="17131" operator="between" text="库存为">
      <formula>NOT(ISERROR(SEARCH("库存为",AU820)))</formula>
    </cfRule>
  </conditionalFormatting>
  <conditionalFormatting sqref="AU821">
    <cfRule type="cellIs" dxfId="0" priority="18820" operator="lessThan">
      <formula>20</formula>
    </cfRule>
    <cfRule type="cellIs" dxfId="1" priority="17975" operator="greaterThan">
      <formula>120</formula>
    </cfRule>
    <cfRule type="containsText" dxfId="2" priority="17130" operator="between" text="库存为">
      <formula>NOT(ISERROR(SEARCH("库存为",AU821)))</formula>
    </cfRule>
  </conditionalFormatting>
  <conditionalFormatting sqref="AU822">
    <cfRule type="cellIs" dxfId="0" priority="18819" operator="lessThan">
      <formula>20</formula>
    </cfRule>
    <cfRule type="cellIs" dxfId="1" priority="17974" operator="greaterThan">
      <formula>120</formula>
    </cfRule>
    <cfRule type="containsText" dxfId="2" priority="17129" operator="between" text="库存为">
      <formula>NOT(ISERROR(SEARCH("库存为",AU822)))</formula>
    </cfRule>
  </conditionalFormatting>
  <conditionalFormatting sqref="AU823">
    <cfRule type="cellIs" dxfId="0" priority="18818" operator="lessThan">
      <formula>20</formula>
    </cfRule>
    <cfRule type="cellIs" dxfId="1" priority="17973" operator="greaterThan">
      <formula>120</formula>
    </cfRule>
    <cfRule type="containsText" dxfId="2" priority="17128" operator="between" text="库存为">
      <formula>NOT(ISERROR(SEARCH("库存为",AU823)))</formula>
    </cfRule>
  </conditionalFormatting>
  <conditionalFormatting sqref="AU824">
    <cfRule type="cellIs" dxfId="0" priority="18817" operator="lessThan">
      <formula>20</formula>
    </cfRule>
    <cfRule type="cellIs" dxfId="1" priority="17972" operator="greaterThan">
      <formula>120</formula>
    </cfRule>
    <cfRule type="containsText" dxfId="2" priority="17127" operator="between" text="库存为">
      <formula>NOT(ISERROR(SEARCH("库存为",AU824)))</formula>
    </cfRule>
  </conditionalFormatting>
  <conditionalFormatting sqref="AU825">
    <cfRule type="cellIs" dxfId="0" priority="18816" operator="lessThan">
      <formula>20</formula>
    </cfRule>
    <cfRule type="cellIs" dxfId="1" priority="17971" operator="greaterThan">
      <formula>120</formula>
    </cfRule>
    <cfRule type="containsText" dxfId="2" priority="17126" operator="between" text="库存为">
      <formula>NOT(ISERROR(SEARCH("库存为",AU825)))</formula>
    </cfRule>
  </conditionalFormatting>
  <conditionalFormatting sqref="AU826">
    <cfRule type="cellIs" dxfId="0" priority="18815" operator="lessThan">
      <formula>20</formula>
    </cfRule>
    <cfRule type="cellIs" dxfId="1" priority="17970" operator="greaterThan">
      <formula>120</formula>
    </cfRule>
    <cfRule type="containsText" dxfId="2" priority="17125" operator="between" text="库存为">
      <formula>NOT(ISERROR(SEARCH("库存为",AU826)))</formula>
    </cfRule>
  </conditionalFormatting>
  <conditionalFormatting sqref="AU827">
    <cfRule type="cellIs" dxfId="0" priority="18814" operator="lessThan">
      <formula>20</formula>
    </cfRule>
    <cfRule type="cellIs" dxfId="1" priority="17969" operator="greaterThan">
      <formula>120</formula>
    </cfRule>
    <cfRule type="containsText" dxfId="2" priority="17124" operator="between" text="库存为">
      <formula>NOT(ISERROR(SEARCH("库存为",AU827)))</formula>
    </cfRule>
  </conditionalFormatting>
  <conditionalFormatting sqref="AU828">
    <cfRule type="cellIs" dxfId="0" priority="18813" operator="lessThan">
      <formula>20</formula>
    </cfRule>
    <cfRule type="cellIs" dxfId="1" priority="17968" operator="greaterThan">
      <formula>120</formula>
    </cfRule>
    <cfRule type="containsText" dxfId="2" priority="17123" operator="between" text="库存为">
      <formula>NOT(ISERROR(SEARCH("库存为",AU828)))</formula>
    </cfRule>
  </conditionalFormatting>
  <conditionalFormatting sqref="AU829">
    <cfRule type="cellIs" dxfId="0" priority="18812" operator="lessThan">
      <formula>20</formula>
    </cfRule>
    <cfRule type="cellIs" dxfId="1" priority="17967" operator="greaterThan">
      <formula>120</formula>
    </cfRule>
    <cfRule type="containsText" dxfId="2" priority="17122" operator="between" text="库存为">
      <formula>NOT(ISERROR(SEARCH("库存为",AU829)))</formula>
    </cfRule>
  </conditionalFormatting>
  <conditionalFormatting sqref="AU830">
    <cfRule type="cellIs" dxfId="0" priority="18811" operator="lessThan">
      <formula>20</formula>
    </cfRule>
    <cfRule type="cellIs" dxfId="1" priority="17966" operator="greaterThan">
      <formula>120</formula>
    </cfRule>
    <cfRule type="containsText" dxfId="2" priority="17121" operator="between" text="库存为">
      <formula>NOT(ISERROR(SEARCH("库存为",AU830)))</formula>
    </cfRule>
  </conditionalFormatting>
  <conditionalFormatting sqref="AU831">
    <cfRule type="cellIs" dxfId="0" priority="18810" operator="lessThan">
      <formula>20</formula>
    </cfRule>
    <cfRule type="cellIs" dxfId="1" priority="17965" operator="greaterThan">
      <formula>120</formula>
    </cfRule>
    <cfRule type="containsText" dxfId="2" priority="17120" operator="between" text="库存为">
      <formula>NOT(ISERROR(SEARCH("库存为",AU831)))</formula>
    </cfRule>
  </conditionalFormatting>
  <conditionalFormatting sqref="AU832">
    <cfRule type="cellIs" dxfId="0" priority="18809" operator="lessThan">
      <formula>20</formula>
    </cfRule>
    <cfRule type="cellIs" dxfId="1" priority="17964" operator="greaterThan">
      <formula>120</formula>
    </cfRule>
    <cfRule type="containsText" dxfId="2" priority="17119" operator="between" text="库存为">
      <formula>NOT(ISERROR(SEARCH("库存为",AU832)))</formula>
    </cfRule>
  </conditionalFormatting>
  <conditionalFormatting sqref="AU833">
    <cfRule type="cellIs" dxfId="0" priority="18808" operator="lessThan">
      <formula>20</formula>
    </cfRule>
    <cfRule type="cellIs" dxfId="1" priority="17963" operator="greaterThan">
      <formula>120</formula>
    </cfRule>
    <cfRule type="containsText" dxfId="2" priority="17118" operator="between" text="库存为">
      <formula>NOT(ISERROR(SEARCH("库存为",AU833)))</formula>
    </cfRule>
  </conditionalFormatting>
  <conditionalFormatting sqref="AU834">
    <cfRule type="cellIs" dxfId="0" priority="18807" operator="lessThan">
      <formula>20</formula>
    </cfRule>
    <cfRule type="cellIs" dxfId="1" priority="17962" operator="greaterThan">
      <formula>120</formula>
    </cfRule>
    <cfRule type="containsText" dxfId="2" priority="17117" operator="between" text="库存为">
      <formula>NOT(ISERROR(SEARCH("库存为",AU834)))</formula>
    </cfRule>
  </conditionalFormatting>
  <conditionalFormatting sqref="AU835">
    <cfRule type="cellIs" dxfId="0" priority="18806" operator="lessThan">
      <formula>20</formula>
    </cfRule>
    <cfRule type="cellIs" dxfId="1" priority="17961" operator="greaterThan">
      <formula>120</formula>
    </cfRule>
    <cfRule type="containsText" dxfId="2" priority="17116" operator="between" text="库存为">
      <formula>NOT(ISERROR(SEARCH("库存为",AU835)))</formula>
    </cfRule>
  </conditionalFormatting>
  <conditionalFormatting sqref="AU836">
    <cfRule type="cellIs" dxfId="0" priority="18805" operator="lessThan">
      <formula>20</formula>
    </cfRule>
    <cfRule type="cellIs" dxfId="1" priority="17960" operator="greaterThan">
      <formula>120</formula>
    </cfRule>
    <cfRule type="containsText" dxfId="2" priority="17115" operator="between" text="库存为">
      <formula>NOT(ISERROR(SEARCH("库存为",AU836)))</formula>
    </cfRule>
  </conditionalFormatting>
  <conditionalFormatting sqref="AU837">
    <cfRule type="cellIs" dxfId="0" priority="18804" operator="lessThan">
      <formula>20</formula>
    </cfRule>
    <cfRule type="cellIs" dxfId="1" priority="17959" operator="greaterThan">
      <formula>120</formula>
    </cfRule>
    <cfRule type="containsText" dxfId="2" priority="17114" operator="between" text="库存为">
      <formula>NOT(ISERROR(SEARCH("库存为",AU837)))</formula>
    </cfRule>
  </conditionalFormatting>
  <conditionalFormatting sqref="AU838">
    <cfRule type="cellIs" dxfId="0" priority="18803" operator="lessThan">
      <formula>20</formula>
    </cfRule>
    <cfRule type="cellIs" dxfId="1" priority="17958" operator="greaterThan">
      <formula>120</formula>
    </cfRule>
    <cfRule type="containsText" dxfId="2" priority="17113" operator="between" text="库存为">
      <formula>NOT(ISERROR(SEARCH("库存为",AU838)))</formula>
    </cfRule>
  </conditionalFormatting>
  <conditionalFormatting sqref="AU839">
    <cfRule type="cellIs" dxfId="0" priority="18802" operator="lessThan">
      <formula>20</formula>
    </cfRule>
    <cfRule type="cellIs" dxfId="1" priority="17957" operator="greaterThan">
      <formula>120</formula>
    </cfRule>
    <cfRule type="containsText" dxfId="2" priority="17112" operator="between" text="库存为">
      <formula>NOT(ISERROR(SEARCH("库存为",AU839)))</formula>
    </cfRule>
  </conditionalFormatting>
  <conditionalFormatting sqref="AU840">
    <cfRule type="cellIs" dxfId="0" priority="18801" operator="lessThan">
      <formula>20</formula>
    </cfRule>
    <cfRule type="cellIs" dxfId="1" priority="17956" operator="greaterThan">
      <formula>120</formula>
    </cfRule>
    <cfRule type="containsText" dxfId="2" priority="17111" operator="between" text="库存为">
      <formula>NOT(ISERROR(SEARCH("库存为",AU840)))</formula>
    </cfRule>
  </conditionalFormatting>
  <conditionalFormatting sqref="AU841">
    <cfRule type="cellIs" dxfId="0" priority="18800" operator="lessThan">
      <formula>20</formula>
    </cfRule>
    <cfRule type="cellIs" dxfId="1" priority="17955" operator="greaterThan">
      <formula>120</formula>
    </cfRule>
    <cfRule type="containsText" dxfId="2" priority="17110" operator="between" text="库存为">
      <formula>NOT(ISERROR(SEARCH("库存为",AU841)))</formula>
    </cfRule>
  </conditionalFormatting>
  <conditionalFormatting sqref="AU842">
    <cfRule type="cellIs" dxfId="0" priority="18799" operator="lessThan">
      <formula>20</formula>
    </cfRule>
    <cfRule type="cellIs" dxfId="1" priority="17954" operator="greaterThan">
      <formula>120</formula>
    </cfRule>
    <cfRule type="containsText" dxfId="2" priority="17109" operator="between" text="库存为">
      <formula>NOT(ISERROR(SEARCH("库存为",AU842)))</formula>
    </cfRule>
  </conditionalFormatting>
  <conditionalFormatting sqref="AU843">
    <cfRule type="cellIs" dxfId="0" priority="18798" operator="lessThan">
      <formula>20</formula>
    </cfRule>
    <cfRule type="cellIs" dxfId="1" priority="17953" operator="greaterThan">
      <formula>120</formula>
    </cfRule>
    <cfRule type="containsText" dxfId="2" priority="17108" operator="between" text="库存为">
      <formula>NOT(ISERROR(SEARCH("库存为",AU843)))</formula>
    </cfRule>
  </conditionalFormatting>
  <conditionalFormatting sqref="AU844">
    <cfRule type="cellIs" dxfId="0" priority="18797" operator="lessThan">
      <formula>20</formula>
    </cfRule>
    <cfRule type="cellIs" dxfId="1" priority="17952" operator="greaterThan">
      <formula>120</formula>
    </cfRule>
    <cfRule type="containsText" dxfId="2" priority="17107" operator="between" text="库存为">
      <formula>NOT(ISERROR(SEARCH("库存为",AU844)))</formula>
    </cfRule>
  </conditionalFormatting>
  <conditionalFormatting sqref="AU845">
    <cfRule type="cellIs" dxfId="0" priority="18796" operator="lessThan">
      <formula>20</formula>
    </cfRule>
    <cfRule type="cellIs" dxfId="1" priority="17951" operator="greaterThan">
      <formula>120</formula>
    </cfRule>
    <cfRule type="containsText" dxfId="2" priority="17106" operator="between" text="库存为">
      <formula>NOT(ISERROR(SEARCH("库存为",AU845)))</formula>
    </cfRule>
  </conditionalFormatting>
  <conditionalFormatting sqref="AU846">
    <cfRule type="cellIs" dxfId="0" priority="18795" operator="lessThan">
      <formula>20</formula>
    </cfRule>
    <cfRule type="cellIs" dxfId="1" priority="17950" operator="greaterThan">
      <formula>120</formula>
    </cfRule>
    <cfRule type="containsText" dxfId="2" priority="17105" operator="between" text="库存为">
      <formula>NOT(ISERROR(SEARCH("库存为",AU846)))</formula>
    </cfRule>
  </conditionalFormatting>
  <conditionalFormatting sqref="AU847">
    <cfRule type="cellIs" dxfId="0" priority="18794" operator="lessThan">
      <formula>20</formula>
    </cfRule>
    <cfRule type="cellIs" dxfId="1" priority="17949" operator="greaterThan">
      <formula>120</formula>
    </cfRule>
    <cfRule type="containsText" dxfId="2" priority="17104" operator="between" text="库存为">
      <formula>NOT(ISERROR(SEARCH("库存为",AU847)))</formula>
    </cfRule>
  </conditionalFormatting>
  <conditionalFormatting sqref="AU848">
    <cfRule type="cellIs" dxfId="0" priority="18793" operator="lessThan">
      <formula>20</formula>
    </cfRule>
    <cfRule type="cellIs" dxfId="1" priority="17948" operator="greaterThan">
      <formula>120</formula>
    </cfRule>
    <cfRule type="containsText" dxfId="2" priority="17103" operator="between" text="库存为">
      <formula>NOT(ISERROR(SEARCH("库存为",AU848)))</formula>
    </cfRule>
  </conditionalFormatting>
  <conditionalFormatting sqref="AU849">
    <cfRule type="cellIs" dxfId="0" priority="18792" operator="lessThan">
      <formula>20</formula>
    </cfRule>
    <cfRule type="cellIs" dxfId="1" priority="17947" operator="greaterThan">
      <formula>120</formula>
    </cfRule>
    <cfRule type="containsText" dxfId="2" priority="17102" operator="between" text="库存为">
      <formula>NOT(ISERROR(SEARCH("库存为",AU849)))</formula>
    </cfRule>
  </conditionalFormatting>
  <conditionalFormatting sqref="AU850">
    <cfRule type="cellIs" dxfId="0" priority="18791" operator="lessThan">
      <formula>20</formula>
    </cfRule>
    <cfRule type="cellIs" dxfId="1" priority="17946" operator="greaterThan">
      <formula>120</formula>
    </cfRule>
    <cfRule type="containsText" dxfId="2" priority="17101" operator="between" text="库存为">
      <formula>NOT(ISERROR(SEARCH("库存为",AU850)))</formula>
    </cfRule>
  </conditionalFormatting>
  <conditionalFormatting sqref="AU851:AU2811">
    <cfRule type="containsText" dxfId="2" priority="19648" operator="between" text="库存为">
      <formula>NOT(ISERROR(SEARCH("库存为",AU851)))</formula>
    </cfRule>
    <cfRule type="cellIs" dxfId="1" priority="19649" operator="greaterThan">
      <formula>120</formula>
    </cfRule>
    <cfRule type="cellIs" dxfId="0" priority="1965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82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1246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1247</v>
      </c>
      <c r="AI1" s="11"/>
      <c r="AJ1" s="11"/>
      <c r="AK1" s="11"/>
      <c r="AL1" s="11" t="s">
        <v>1248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43311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1249</v>
      </c>
      <c r="C4" s="6" t="s">
        <v>1250</v>
      </c>
      <c r="D4" s="6" t="s">
        <v>1251</v>
      </c>
      <c r="E4" s="6" t="s">
        <v>1252</v>
      </c>
      <c r="F4" s="7" t="s">
        <v>20</v>
      </c>
      <c r="G4" t="s">
        <v>21</v>
      </c>
      <c r="H4" t="s">
        <v>22</v>
      </c>
      <c r="I4" t="s">
        <v>1253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20</v>
      </c>
      <c r="C5" s="17">
        <f t="shared" si="14"/>
        <v>2847</v>
      </c>
      <c r="D5" s="17">
        <f t="shared" si="14"/>
        <v>40</v>
      </c>
      <c r="E5" s="17">
        <f t="shared" si="14"/>
        <v>52</v>
      </c>
      <c r="F5" s="18"/>
      <c r="G5" s="5">
        <f t="shared" si="14"/>
        <v>1721</v>
      </c>
      <c r="H5" s="5">
        <f t="shared" si="14"/>
        <v>44</v>
      </c>
      <c r="I5" s="5">
        <f t="shared" si="14"/>
        <v>401</v>
      </c>
      <c r="J5" s="5">
        <f t="shared" si="14"/>
        <v>261</v>
      </c>
      <c r="K5" s="5">
        <f t="shared" si="14"/>
        <v>2427</v>
      </c>
      <c r="L5" s="5">
        <f t="shared" si="14"/>
        <v>14</v>
      </c>
      <c r="M5" s="5">
        <f t="shared" si="14"/>
        <v>1294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36.76</v>
      </c>
      <c r="AA5" s="5">
        <f>SUM(AA6:AA9999)</f>
        <v>105.96</v>
      </c>
      <c r="AB5" s="5">
        <f>SUM(AB6:AB9999)</f>
        <v>329.78</v>
      </c>
      <c r="AC5" s="5">
        <f>SUM(AC6:AC9999)</f>
        <v>374.35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5</v>
      </c>
      <c r="AJ6">
        <f>SUMIF('库存（子SKU）'!$C:$C,$A6,'库存（子SKU）'!AL:AL)</f>
        <v>6</v>
      </c>
      <c r="AK6">
        <f>SUMIF('库存（子SKU）'!$C:$C,$A6,'库存（子SKU）'!AM:AM)</f>
        <v>9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5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6</v>
      </c>
      <c r="AI7">
        <f>SUMIF('库存（子SKU）'!$C:$C,$A7,'库存（子SKU）'!AK:AK)</f>
        <v>3</v>
      </c>
      <c r="AJ7">
        <f>SUMIF('库存（子SKU）'!$C:$C,$A7,'库存（子SKU）'!AL:AL)</f>
        <v>10</v>
      </c>
      <c r="AK7">
        <f>SUMIF('库存（子SKU）'!$C:$C,$A7,'库存（子SKU）'!AM:AM)</f>
        <v>13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5" t="str">
        <f>IFERROR(时间!$B$4+AS7,"上周无销量")</f>
        <v>上周无销量</v>
      </c>
    </row>
    <row r="8" spans="1:46">
      <c r="A8" t="s">
        <v>59</v>
      </c>
      <c r="B8" s="6">
        <f>SUMIF('库存（子SKU）'!$C:$C,$A8,'库存（子SKU）'!D:D)</f>
        <v>0</v>
      </c>
      <c r="C8" s="6">
        <f>SUMIF('库存（子SKU）'!$C:$C,$A8,'库存（子SKU）'!E:E)</f>
        <v>21</v>
      </c>
      <c r="D8" s="6">
        <f>SUMIF('库存（子SKU）'!$C:$C,$A8,'库存（子SKU）'!F:F)</f>
        <v>0</v>
      </c>
      <c r="E8" s="6">
        <f>SUMIF('库存（子SKU）'!$C:$C,$A8,'库存（子SKU）'!G:G)</f>
        <v>1</v>
      </c>
      <c r="F8" s="7">
        <v>0.726818181818182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>
        <f t="shared" si="3"/>
        <v>0</v>
      </c>
      <c r="AF8" s="23" t="str">
        <f t="shared" si="4"/>
        <v/>
      </c>
      <c r="AG8" s="23">
        <f t="shared" si="5"/>
        <v>0</v>
      </c>
      <c r="AH8">
        <f>SUMIF('库存（子SKU）'!$C:$C,$A8,'库存（子SKU）'!AJ:AJ)</f>
        <v>5</v>
      </c>
      <c r="AI8">
        <f>SUMIF('库存（子SKU）'!$C:$C,$A8,'库存（子SKU）'!AK:AK)</f>
        <v>5</v>
      </c>
      <c r="AJ8">
        <f>SUMIF('库存（子SKU）'!$C:$C,$A8,'库存（子SKU）'!AL:AL)</f>
        <v>6</v>
      </c>
      <c r="AK8">
        <f>SUMIF('库存（子SKU）'!$C:$C,$A8,'库存（子SKU）'!AM:AM)</f>
        <v>9</v>
      </c>
      <c r="AL8" s="23">
        <f t="shared" si="6"/>
        <v>0</v>
      </c>
      <c r="AM8" s="23">
        <f t="shared" si="7"/>
        <v>4.2</v>
      </c>
      <c r="AN8" s="23">
        <f t="shared" si="8"/>
        <v>0</v>
      </c>
      <c r="AO8" s="23">
        <f t="shared" si="9"/>
        <v>0.111111111111111</v>
      </c>
      <c r="AP8" s="8">
        <f t="shared" si="10"/>
        <v>0</v>
      </c>
      <c r="AQ8" s="8">
        <f t="shared" si="11"/>
        <v>0</v>
      </c>
      <c r="AR8" s="8">
        <f t="shared" si="12"/>
        <v>2</v>
      </c>
      <c r="AS8" t="str">
        <f t="shared" si="13"/>
        <v>库存为2</v>
      </c>
      <c r="AT8" s="25" t="str">
        <f>IFERROR(时间!$B$4+AS8,"上周无销量")</f>
        <v>上周无销量</v>
      </c>
    </row>
    <row r="9" spans="1:46">
      <c r="A9" t="s">
        <v>61</v>
      </c>
      <c r="B9" s="6">
        <f>SUMIF('库存（子SKU）'!$C:$C,$A9,'库存（子SKU）'!D:D)</f>
        <v>0</v>
      </c>
      <c r="C9" s="6">
        <f>SUMIF('库存（子SKU）'!$C:$C,$A9,'库存（子SKU）'!E:E)</f>
        <v>2</v>
      </c>
      <c r="D9" s="6">
        <f>SUMIF('库存（子SKU）'!$C:$C,$A9,'库存（子SKU）'!F:F)</f>
        <v>0</v>
      </c>
      <c r="E9" s="6">
        <f>SUMIF('库存（子SKU）'!$C:$C,$A9,'库存（子SKU）'!G:G)</f>
        <v>1</v>
      </c>
      <c r="F9" s="7">
        <v>5.33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>
        <f t="shared" si="3"/>
        <v>0</v>
      </c>
      <c r="AF9" s="23" t="str">
        <f t="shared" si="4"/>
        <v/>
      </c>
      <c r="AG9" s="23">
        <f t="shared" si="5"/>
        <v>0</v>
      </c>
      <c r="AH9">
        <f>SUMIF('库存（子SKU）'!$C:$C,$A9,'库存（子SKU）'!AJ:AJ)</f>
        <v>6</v>
      </c>
      <c r="AI9">
        <f>SUMIF('库存（子SKU）'!$C:$C,$A9,'库存（子SKU）'!AK:AK)</f>
        <v>3</v>
      </c>
      <c r="AJ9">
        <f>SUMIF('库存（子SKU）'!$C:$C,$A9,'库存（子SKU）'!AL:AL)</f>
        <v>10</v>
      </c>
      <c r="AK9">
        <f>SUMIF('库存（子SKU）'!$C:$C,$A9,'库存（子SKU）'!AM:AM)</f>
        <v>13</v>
      </c>
      <c r="AL9" s="23">
        <f t="shared" si="6"/>
        <v>0</v>
      </c>
      <c r="AM9" s="23">
        <f t="shared" si="7"/>
        <v>0.666666666666667</v>
      </c>
      <c r="AN9" s="23">
        <f t="shared" si="8"/>
        <v>0</v>
      </c>
      <c r="AO9" s="23">
        <f t="shared" si="9"/>
        <v>0.0769230769230769</v>
      </c>
      <c r="AP9" s="8">
        <f t="shared" si="10"/>
        <v>0</v>
      </c>
      <c r="AQ9" s="8">
        <f t="shared" si="11"/>
        <v>0</v>
      </c>
      <c r="AR9" s="8">
        <f t="shared" si="12"/>
        <v>2</v>
      </c>
      <c r="AS9" t="str">
        <f t="shared" si="13"/>
        <v>库存为2</v>
      </c>
      <c r="AT9" s="25" t="str">
        <f>IFERROR(时间!$B$4+AS9,"上周无销量")</f>
        <v>上周无销量</v>
      </c>
    </row>
    <row r="10" spans="1:46">
      <c r="A10" t="s">
        <v>64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2</v>
      </c>
      <c r="E10" s="6">
        <f>SUMIF('库存（子SKU）'!$C:$C,$A10,'库存（子SKU）'!G:G)</f>
        <v>4</v>
      </c>
      <c r="F10" s="7">
        <v>13.99</v>
      </c>
      <c r="G10">
        <f>SUMIF('库存（子SKU）'!$C:$C,$A10,'库存（子SKU）'!I:I)</f>
        <v>30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30</v>
      </c>
      <c r="L10">
        <f>SUMIF('库存（子SKU）'!$C:$C,$A10,'库存（子SKU）'!N:N)</f>
        <v>0</v>
      </c>
      <c r="M10">
        <f>SUMIF('库存（子SKU）'!$C:$C,$A10,'库存（子SKU）'!O:O)</f>
        <v>30</v>
      </c>
      <c r="N10">
        <f>SUMIF('库存（子SKU）'!$C:$C,$A10,'库存（子SKU）'!P:P)</f>
        <v>0</v>
      </c>
      <c r="O10">
        <f>SUMIF('库存（子SKU）'!$C:$C,$A10,'库存（子SKU）'!Q:Q)</f>
        <v>12670</v>
      </c>
      <c r="P10">
        <f>SUMIF('库存（子SKU）'!$C:$C,$A10,'库存（子SKU）'!R:R)</f>
        <v>52014</v>
      </c>
      <c r="Q10">
        <f>SUMIF('库存（子SKU）'!$C:$C,$A10,'库存（子SKU）'!S:S)</f>
        <v>48679</v>
      </c>
      <c r="R10">
        <f>SUMIF('库存（子SKU）'!$C:$C,$A10,'库存（子SKU）'!T:T)</f>
        <v>0</v>
      </c>
      <c r="S10">
        <f>SUMIF('库存（子SKU）'!$C:$C,$A10,'库存（子SKU）'!U:U)</f>
        <v>23</v>
      </c>
      <c r="T10">
        <f>SUMIF('库存（子SKU）'!$C:$C,$A10,'库存（子SKU）'!V:V)</f>
        <v>95</v>
      </c>
      <c r="U10">
        <f>SUMIF('库存（子SKU）'!$C:$C,$A10,'库存（子SKU）'!W:W)</f>
        <v>145</v>
      </c>
      <c r="V10" s="23" t="str">
        <f t="shared" si="15"/>
        <v/>
      </c>
      <c r="W10" s="23">
        <f t="shared" si="16"/>
        <v>0.00181531176006314</v>
      </c>
      <c r="X10" s="23">
        <f t="shared" si="17"/>
        <v>0.00182643134540701</v>
      </c>
      <c r="Y10" s="23">
        <f t="shared" si="18"/>
        <v>0.00297869717948191</v>
      </c>
      <c r="Z10">
        <f>SUMIF('库存（子SKU）'!$C:$C,$A10,'库存（子SKU）'!AB:AB)</f>
        <v>0</v>
      </c>
      <c r="AA10">
        <f>SUMIF('库存（子SKU）'!$C:$C,$A10,'库存（子SKU）'!AC:AC)</f>
        <v>8.35</v>
      </c>
      <c r="AB10">
        <f>SUMIF('库存（子SKU）'!$C:$C,$A10,'库存（子SKU）'!AD:AD)</f>
        <v>35.86</v>
      </c>
      <c r="AC10">
        <f>SUMIF('库存（子SKU）'!$C:$C,$A10,'库存（子SKU）'!AE:AE)</f>
        <v>63.22</v>
      </c>
      <c r="AD10" s="23" t="str">
        <f t="shared" si="2"/>
        <v/>
      </c>
      <c r="AE10" s="23" t="str">
        <f t="shared" si="3"/>
        <v>无销量广告费为8.35</v>
      </c>
      <c r="AF10" s="23">
        <f t="shared" si="4"/>
        <v>1.28162973552538</v>
      </c>
      <c r="AG10" s="23">
        <f t="shared" si="5"/>
        <v>1.12973552537527</v>
      </c>
      <c r="AH10">
        <f>SUMIF('库存（子SKU）'!$C:$C,$A10,'库存（子SKU）'!AJ:AJ)</f>
        <v>8</v>
      </c>
      <c r="AI10">
        <f>SUMIF('库存（子SKU）'!$C:$C,$A10,'库存（子SKU）'!AK:AK)</f>
        <v>28</v>
      </c>
      <c r="AJ10">
        <f>SUMIF('库存（子SKU）'!$C:$C,$A10,'库存（子SKU）'!AL:AL)</f>
        <v>57</v>
      </c>
      <c r="AK10">
        <f>SUMIF('库存（子SKU）'!$C:$C,$A10,'库存（子SKU）'!AM:AM)</f>
        <v>82</v>
      </c>
      <c r="AL10" s="23">
        <f t="shared" si="6"/>
        <v>0</v>
      </c>
      <c r="AM10" s="23">
        <f t="shared" si="7"/>
        <v>0</v>
      </c>
      <c r="AN10" s="23">
        <f t="shared" si="8"/>
        <v>0.0350877192982456</v>
      </c>
      <c r="AO10" s="23">
        <f t="shared" si="9"/>
        <v>0.0487804878048781</v>
      </c>
      <c r="AP10" s="8">
        <f t="shared" si="10"/>
        <v>0</v>
      </c>
      <c r="AQ10" s="8">
        <f t="shared" si="11"/>
        <v>0</v>
      </c>
      <c r="AR10" s="8">
        <f t="shared" si="12"/>
        <v>30</v>
      </c>
      <c r="AS10" t="str">
        <f t="shared" si="13"/>
        <v>库存为30</v>
      </c>
      <c r="AT10" s="25" t="str">
        <f>IFERROR(时间!$B$4+AS10,"上周无销量")</f>
        <v>上周无销量</v>
      </c>
    </row>
    <row r="11" spans="1:46">
      <c r="A11" t="s">
        <v>68</v>
      </c>
      <c r="B11" s="6">
        <f>SUMIF('库存（子SKU）'!$C:$C,$A11,'库存（子SKU）'!D:D)</f>
        <v>0</v>
      </c>
      <c r="C11" s="6">
        <f>SUMIF('库存（子SKU）'!$C:$C,$A11,'库存（子SKU）'!E:E)</f>
        <v>0</v>
      </c>
      <c r="D11" s="6">
        <f>SUMIF('库存（子SKU）'!$C:$C,$A11,'库存（子SKU）'!F:F)</f>
        <v>0</v>
      </c>
      <c r="E11" s="6">
        <f>SUMIF('库存（子SKU）'!$C:$C,$A11,'库存（子SKU）'!G:G)</f>
        <v>0</v>
      </c>
      <c r="F11" s="7" t="s">
        <v>54</v>
      </c>
      <c r="G11">
        <f>SUMIF('库存（子SKU）'!$C:$C,$A11,'库存（子SKU）'!I:I)</f>
        <v>45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45</v>
      </c>
      <c r="L11">
        <f>SUMIF('库存（子SKU）'!$C:$C,$A11,'库存（子SKU）'!N:N)</f>
        <v>0</v>
      </c>
      <c r="M11">
        <f>SUMIF('库存（子SKU）'!$C:$C,$A11,'库存（子SKU）'!O:O)</f>
        <v>45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5</v>
      </c>
      <c r="AI11">
        <f>SUMIF('库存（子SKU）'!$C:$C,$A11,'库存（子SKU）'!AK:AK)</f>
        <v>5</v>
      </c>
      <c r="AJ11">
        <f>SUMIF('库存（子SKU）'!$C:$C,$A11,'库存（子SKU）'!AL:AL)</f>
        <v>1</v>
      </c>
      <c r="AK11">
        <f>SUMIF('库存（子SKU）'!$C:$C,$A11,'库存（子SKU）'!AM:AM)</f>
        <v>6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8">
        <f t="shared" si="10"/>
        <v>0</v>
      </c>
      <c r="AQ11" s="8">
        <f t="shared" si="11"/>
        <v>0</v>
      </c>
      <c r="AR11" s="8">
        <f t="shared" si="12"/>
        <v>45</v>
      </c>
      <c r="AS11" t="str">
        <f t="shared" si="13"/>
        <v>库存为45</v>
      </c>
      <c r="AT11" s="25" t="str">
        <f>IFERROR(时间!$B$4+AS11,"上周无销量")</f>
        <v>上周无销量</v>
      </c>
    </row>
    <row r="12" spans="1:46">
      <c r="A12" t="s">
        <v>71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1</v>
      </c>
      <c r="E12" s="6">
        <f>SUMIF('库存（子SKU）'!$C:$C,$A12,'库存（子SKU）'!G:G)</f>
        <v>0</v>
      </c>
      <c r="F12" s="7">
        <v>20.9</v>
      </c>
      <c r="G12">
        <f>SUMIF('库存（子SKU）'!$C:$C,$A12,'库存（子SKU）'!I:I)</f>
        <v>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5</v>
      </c>
      <c r="L12">
        <f>SUMIF('库存（子SKU）'!$C:$C,$A12,'库存（子SKU）'!N:N)</f>
        <v>0</v>
      </c>
      <c r="M12">
        <f>SUMIF('库存（子SKU）'!$C:$C,$A12,'库存（子SKU）'!O:O)</f>
        <v>4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>
        <f t="shared" si="4"/>
        <v>0</v>
      </c>
      <c r="AG12" s="23" t="str">
        <f t="shared" si="5"/>
        <v/>
      </c>
      <c r="AH12">
        <f>SUMIF('库存（子SKU）'!$C:$C,$A12,'库存（子SKU）'!AJ:AJ)</f>
        <v>16</v>
      </c>
      <c r="AI12">
        <f>SUMIF('库存（子SKU）'!$C:$C,$A12,'库存（子SKU）'!AK:AK)</f>
        <v>17</v>
      </c>
      <c r="AJ12">
        <f>SUMIF('库存（子SKU）'!$C:$C,$A12,'库存（子SKU）'!AL:AL)</f>
        <v>9</v>
      </c>
      <c r="AK12">
        <f>SUMIF('库存（子SKU）'!$C:$C,$A12,'库存（子SKU）'!AM:AM)</f>
        <v>9</v>
      </c>
      <c r="AL12" s="23">
        <f t="shared" si="6"/>
        <v>0</v>
      </c>
      <c r="AM12" s="23">
        <f t="shared" si="7"/>
        <v>0</v>
      </c>
      <c r="AN12" s="23">
        <f t="shared" si="8"/>
        <v>0.111111111111111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5</v>
      </c>
      <c r="AS12" t="str">
        <f t="shared" si="13"/>
        <v>库存为5</v>
      </c>
      <c r="AT12" s="25" t="str">
        <f>IFERROR(时间!$B$4+AS12,"上周无销量")</f>
        <v>上周无销量</v>
      </c>
    </row>
    <row r="13" spans="1:46">
      <c r="A13" t="s">
        <v>78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54</v>
      </c>
      <c r="G13">
        <f>SUMIF('库存（子SKU）'!$C:$C,$A13,'库存（子SKU）'!I:I)</f>
        <v>14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14</v>
      </c>
      <c r="L13">
        <f>SUMIF('库存（子SKU）'!$C:$C,$A13,'库存（子SKU）'!N:N)</f>
        <v>0</v>
      </c>
      <c r="M13">
        <f>SUMIF('库存（子SKU）'!$C:$C,$A13,'库存（子SKU）'!O:O)</f>
        <v>14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17</v>
      </c>
      <c r="AI13">
        <f>SUMIF('库存（子SKU）'!$C:$C,$A13,'库存（子SKU）'!AK:AK)</f>
        <v>19</v>
      </c>
      <c r="AJ13">
        <f>SUMIF('库存（子SKU）'!$C:$C,$A13,'库存（子SKU）'!AL:AL)</f>
        <v>11</v>
      </c>
      <c r="AK13">
        <f>SUMIF('库存（子SKU）'!$C:$C,$A13,'库存（子SKU）'!AM:AM)</f>
        <v>16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14</v>
      </c>
      <c r="AS13" t="str">
        <f t="shared" si="13"/>
        <v>库存为14</v>
      </c>
      <c r="AT13" s="25" t="str">
        <f>IFERROR(时间!$B$4+AS13,"上周无销量")</f>
        <v>上周无销量</v>
      </c>
    </row>
    <row r="14" spans="1:46">
      <c r="A14" t="s">
        <v>91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94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5" t="str">
        <f>IFERROR(时间!$B$4+AS15,"上周无销量")</f>
        <v>上周无销量</v>
      </c>
    </row>
    <row r="16" spans="1:46">
      <c r="A16" t="s">
        <v>101</v>
      </c>
      <c r="B16" s="6">
        <f>SUMIF('库存（子SKU）'!$C:$C,$A16,'库存（子SKU）'!D:D)</f>
        <v>2</v>
      </c>
      <c r="C16" s="6">
        <f>SUMIF('库存（子SKU）'!$C:$C,$A16,'库存（子SKU）'!E:E)</f>
        <v>7</v>
      </c>
      <c r="D16" s="6">
        <f>SUMIF('库存（子SKU）'!$C:$C,$A16,'库存（子SKU）'!F:F)</f>
        <v>0</v>
      </c>
      <c r="E16" s="6">
        <f>SUMIF('库存（子SKU）'!$C:$C,$A16,'库存（子SKU）'!G:G)</f>
        <v>3</v>
      </c>
      <c r="F16" s="7">
        <v>11.4075</v>
      </c>
      <c r="G16">
        <f>SUMIF('库存（子SKU）'!$C:$C,$A16,'库存（子SKU）'!I:I)</f>
        <v>13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13</v>
      </c>
      <c r="L16">
        <f>SUMIF('库存（子SKU）'!$C:$C,$A16,'库存（子SKU）'!N:N)</f>
        <v>0</v>
      </c>
      <c r="M16">
        <f>SUMIF('库存（子SKU）'!$C:$C,$A16,'库存（子SKU）'!O:O)</f>
        <v>5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</v>
      </c>
      <c r="AE16" s="23">
        <f t="shared" si="3"/>
        <v>0</v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73</v>
      </c>
      <c r="AI16">
        <f>SUMIF('库存（子SKU）'!$C:$C,$A16,'库存（子SKU）'!AK:AK)</f>
        <v>54</v>
      </c>
      <c r="AJ16">
        <f>SUMIF('库存（子SKU）'!$C:$C,$A16,'库存（子SKU）'!AL:AL)</f>
        <v>51</v>
      </c>
      <c r="AK16">
        <f>SUMIF('库存（子SKU）'!$C:$C,$A16,'库存（子SKU）'!AM:AM)</f>
        <v>22</v>
      </c>
      <c r="AL16" s="23">
        <f t="shared" si="6"/>
        <v>0.0273972602739726</v>
      </c>
      <c r="AM16" s="23">
        <f t="shared" si="7"/>
        <v>0.12962962962963</v>
      </c>
      <c r="AN16" s="23">
        <f t="shared" si="8"/>
        <v>0</v>
      </c>
      <c r="AO16" s="23">
        <f t="shared" si="9"/>
        <v>0.136363636363636</v>
      </c>
      <c r="AP16" s="8">
        <f t="shared" si="10"/>
        <v>0.285714285714286</v>
      </c>
      <c r="AQ16" s="8">
        <f t="shared" si="11"/>
        <v>17.1428571428571</v>
      </c>
      <c r="AR16" s="8">
        <f t="shared" si="12"/>
        <v>-4.14285714285714</v>
      </c>
      <c r="AS16">
        <f t="shared" si="13"/>
        <v>45</v>
      </c>
      <c r="AT16" s="25">
        <f>IFERROR(时间!$B$4+AS16,"上周无销量")</f>
        <v>43384</v>
      </c>
    </row>
    <row r="17" spans="1:46">
      <c r="A17" t="s">
        <v>112</v>
      </c>
      <c r="B17" s="6">
        <f>SUMIF('库存（子SKU）'!$C:$C,$A17,'库存（子SKU）'!D:D)</f>
        <v>2</v>
      </c>
      <c r="C17" s="6">
        <f>SUMIF('库存（子SKU）'!$C:$C,$A17,'库存（子SKU）'!E:E)</f>
        <v>35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>
        <v>2.60545454545455</v>
      </c>
      <c r="G17">
        <f>SUMIF('库存（子SKU）'!$C:$C,$A17,'库存（子SKU）'!I:I)</f>
        <v>6</v>
      </c>
      <c r="H17">
        <f>SUMIF('库存（子SKU）'!$C:$C,$A17,'库存（子SKU）'!J:J)</f>
        <v>16</v>
      </c>
      <c r="I17">
        <f>SUMIF('库存（子SKU）'!$C:$C,$A17,'库存（子SKU）'!K:K)</f>
        <v>24</v>
      </c>
      <c r="J17">
        <f>SUMIF('库存（子SKU）'!$C:$C,$A17,'库存（子SKU）'!L:L)</f>
        <v>0</v>
      </c>
      <c r="K17">
        <f t="shared" si="0"/>
        <v>46</v>
      </c>
      <c r="L17">
        <f>SUMIF('库存（子SKU）'!$C:$C,$A17,'库存（子SKU）'!N:N)</f>
        <v>0</v>
      </c>
      <c r="M17">
        <f>SUMIF('库存（子SKU）'!$C:$C,$A17,'库存（子SKU）'!O:O)</f>
        <v>7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>
        <f t="shared" si="2"/>
        <v>0</v>
      </c>
      <c r="AE17" s="23">
        <f t="shared" si="3"/>
        <v>0</v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60</v>
      </c>
      <c r="AI17">
        <f>SUMIF('库存（子SKU）'!$C:$C,$A17,'库存（子SKU）'!AK:AK)</f>
        <v>32</v>
      </c>
      <c r="AJ17">
        <f>SUMIF('库存（子SKU）'!$C:$C,$A17,'库存（子SKU）'!AL:AL)</f>
        <v>127</v>
      </c>
      <c r="AK17">
        <f>SUMIF('库存（子SKU）'!$C:$C,$A17,'库存（子SKU）'!AM:AM)</f>
        <v>110</v>
      </c>
      <c r="AL17" s="23">
        <f t="shared" si="6"/>
        <v>0.0333333333333333</v>
      </c>
      <c r="AM17" s="23">
        <f t="shared" si="7"/>
        <v>1.09375</v>
      </c>
      <c r="AN17" s="23">
        <f t="shared" si="8"/>
        <v>0</v>
      </c>
      <c r="AO17" s="23">
        <f t="shared" si="9"/>
        <v>0</v>
      </c>
      <c r="AP17" s="8">
        <f t="shared" si="10"/>
        <v>0.285714285714286</v>
      </c>
      <c r="AQ17" s="8">
        <f t="shared" si="11"/>
        <v>17.1428571428571</v>
      </c>
      <c r="AR17" s="8">
        <f t="shared" si="12"/>
        <v>28.8571428571429</v>
      </c>
      <c r="AS17">
        <f t="shared" si="13"/>
        <v>161</v>
      </c>
      <c r="AT17" s="25">
        <f>IFERROR(时间!$B$4+AS17,"上周无销量")</f>
        <v>43500</v>
      </c>
    </row>
    <row r="18" spans="1:46">
      <c r="A18" t="s">
        <v>137</v>
      </c>
      <c r="B18" s="6">
        <f>SUMIF('库存（子SKU）'!$C:$C,$A18,'库存（子SKU）'!D:D)</f>
        <v>0</v>
      </c>
      <c r="C18" s="6">
        <f>SUMIF('库存（子SKU）'!$C:$C,$A18,'库存（子SKU）'!E:E)</f>
        <v>31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>
        <v>0</v>
      </c>
      <c r="G18">
        <f>SUMIF('库存（子SKU）'!$C:$C,$A18,'库存（子SKU）'!I:I)</f>
        <v>10</v>
      </c>
      <c r="H18">
        <f>SUMIF('库存（子SKU）'!$C:$C,$A18,'库存（子SKU）'!J:J)</f>
        <v>5</v>
      </c>
      <c r="I18">
        <f>SUMIF('库存（子SKU）'!$C:$C,$A18,'库存（子SKU）'!K:K)</f>
        <v>17</v>
      </c>
      <c r="J18">
        <f>SUMIF('库存（子SKU）'!$C:$C,$A18,'库存（子SKU）'!L:L)</f>
        <v>0</v>
      </c>
      <c r="K18">
        <f t="shared" si="0"/>
        <v>32</v>
      </c>
      <c r="L18">
        <f>SUMIF('库存（子SKU）'!$C:$C,$A18,'库存（子SKU）'!N:N)</f>
        <v>9</v>
      </c>
      <c r="M18">
        <f>SUMIF('库存（子SKU）'!$C:$C,$A18,'库存（子SKU）'!O:O)</f>
        <v>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39</v>
      </c>
      <c r="AI18">
        <f>SUMIF('库存（子SKU）'!$C:$C,$A18,'库存（子SKU）'!AK:AK)</f>
        <v>48</v>
      </c>
      <c r="AJ18">
        <f>SUMIF('库存（子SKU）'!$C:$C,$A18,'库存（子SKU）'!AL:AL)</f>
        <v>116</v>
      </c>
      <c r="AK18">
        <f>SUMIF('库存（子SKU）'!$C:$C,$A18,'库存（子SKU）'!AM:AM)</f>
        <v>77</v>
      </c>
      <c r="AL18" s="23">
        <f t="shared" si="6"/>
        <v>0</v>
      </c>
      <c r="AM18" s="23">
        <f t="shared" si="7"/>
        <v>0.645833333333333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32</v>
      </c>
      <c r="AS18" t="str">
        <f t="shared" si="13"/>
        <v>库存为32</v>
      </c>
      <c r="AT18" s="25" t="str">
        <f>IFERROR(时间!$B$4+AS18,"上周无销量")</f>
        <v>上周无销量</v>
      </c>
    </row>
    <row r="19" spans="1:46">
      <c r="A19" t="s">
        <v>154</v>
      </c>
      <c r="B19" s="6">
        <f>SUMIF('库存（子SKU）'!$C:$C,$A19,'库存（子SKU）'!D:D)</f>
        <v>0</v>
      </c>
      <c r="C19" s="6">
        <f>SUMIF('库存（子SKU）'!$C:$C,$A19,'库存（子SKU）'!E:E)</f>
        <v>55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>
        <v>0</v>
      </c>
      <c r="G19">
        <f>SUMIF('库存（子SKU）'!$C:$C,$A19,'库存（子SKU）'!I:I)</f>
        <v>13</v>
      </c>
      <c r="H19">
        <f>SUMIF('库存（子SKU）'!$C:$C,$A19,'库存（子SKU）'!J:J)</f>
        <v>23</v>
      </c>
      <c r="I19">
        <f>SUMIF('库存（子SKU）'!$C:$C,$A19,'库存（子SKU）'!K:K)</f>
        <v>37</v>
      </c>
      <c r="J19">
        <f>SUMIF('库存（子SKU）'!$C:$C,$A19,'库存（子SKU）'!L:L)</f>
        <v>0</v>
      </c>
      <c r="K19">
        <f t="shared" si="0"/>
        <v>73</v>
      </c>
      <c r="L19">
        <f>SUMIF('库存（子SKU）'!$C:$C,$A19,'库存（子SKU）'!N:N)</f>
        <v>4</v>
      </c>
      <c r="M19">
        <f>SUMIF('库存（子SKU）'!$C:$C,$A19,'库存（子SKU）'!O:O)</f>
        <v>11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84</v>
      </c>
      <c r="AI19">
        <f>SUMIF('库存（子SKU）'!$C:$C,$A19,'库存（子SKU）'!AK:AK)</f>
        <v>72</v>
      </c>
      <c r="AJ19">
        <f>SUMIF('库存（子SKU）'!$C:$C,$A19,'库存（子SKU）'!AL:AL)</f>
        <v>172</v>
      </c>
      <c r="AK19">
        <f>SUMIF('库存（子SKU）'!$C:$C,$A19,'库存（子SKU）'!AM:AM)</f>
        <v>114</v>
      </c>
      <c r="AL19" s="23">
        <f t="shared" si="6"/>
        <v>0</v>
      </c>
      <c r="AM19" s="23">
        <f t="shared" si="7"/>
        <v>0.763888888888889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73</v>
      </c>
      <c r="AS19" t="str">
        <f t="shared" si="13"/>
        <v>库存为73</v>
      </c>
      <c r="AT19" s="25" t="str">
        <f>IFERROR(时间!$B$4+AS19,"上周无销量")</f>
        <v>上周无销量</v>
      </c>
    </row>
    <row r="20" spans="1:46">
      <c r="A20" t="s">
        <v>231</v>
      </c>
      <c r="B20" s="6">
        <f>SUMIF('库存（子SKU）'!$C:$C,$A20,'库存（子SKU）'!D:D)</f>
        <v>0</v>
      </c>
      <c r="C20" s="6">
        <f>SUMIF('库存（子SKU）'!$C:$C,$A20,'库存（子SKU）'!E:E)</f>
        <v>380</v>
      </c>
      <c r="D20" s="6">
        <f>SUMIF('库存（子SKU）'!$C:$C,$A20,'库存（子SKU）'!F:F)</f>
        <v>5</v>
      </c>
      <c r="E20" s="6">
        <f>SUMIF('库存（子SKU）'!$C:$C,$A20,'库存（子SKU）'!G:G)</f>
        <v>2</v>
      </c>
      <c r="F20" s="7">
        <v>0.194624277456647</v>
      </c>
      <c r="G20">
        <f>SUMIF('库存（子SKU）'!$C:$C,$A20,'库存（子SKU）'!I:I)</f>
        <v>15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15</v>
      </c>
      <c r="L20">
        <f>SUMIF('库存（子SKU）'!$C:$C,$A20,'库存（子SKU）'!N:N)</f>
        <v>0</v>
      </c>
      <c r="M20">
        <f>SUMIF('库存（子SKU）'!$C:$C,$A20,'库存（子SKU）'!O:O)</f>
        <v>8</v>
      </c>
      <c r="N20">
        <f>SUMIF('库存（子SKU）'!$C:$C,$A20,'库存（子SKU）'!P:P)</f>
        <v>718</v>
      </c>
      <c r="O20">
        <f>SUMIF('库存（子SKU）'!$C:$C,$A20,'库存（子SKU）'!Q:Q)</f>
        <v>3934</v>
      </c>
      <c r="P20">
        <f>SUMIF('库存（子SKU）'!$C:$C,$A20,'库存（子SKU）'!R:R)</f>
        <v>25108</v>
      </c>
      <c r="Q20">
        <f>SUMIF('库存（子SKU）'!$C:$C,$A20,'库存（子SKU）'!S:S)</f>
        <v>12811</v>
      </c>
      <c r="R20">
        <f>SUMIF('库存（子SKU）'!$C:$C,$A20,'库存（子SKU）'!T:T)</f>
        <v>4</v>
      </c>
      <c r="S20">
        <f>SUMIF('库存（子SKU）'!$C:$C,$A20,'库存（子SKU）'!U:U)</f>
        <v>17</v>
      </c>
      <c r="T20">
        <f>SUMIF('库存（子SKU）'!$C:$C,$A20,'库存（子SKU）'!V:V)</f>
        <v>77</v>
      </c>
      <c r="U20">
        <f>SUMIF('库存（子SKU）'!$C:$C,$A20,'库存（子SKU）'!W:W)</f>
        <v>41</v>
      </c>
      <c r="V20" s="23">
        <f t="shared" si="15"/>
        <v>0.00557103064066852</v>
      </c>
      <c r="W20" s="23">
        <f t="shared" si="16"/>
        <v>0.00432130147432639</v>
      </c>
      <c r="X20" s="23">
        <f t="shared" si="17"/>
        <v>0.00306675163294567</v>
      </c>
      <c r="Y20" s="23">
        <f t="shared" si="18"/>
        <v>0.00320037467801108</v>
      </c>
      <c r="Z20">
        <f>SUMIF('库存（子SKU）'!$C:$C,$A20,'库存（子SKU）'!AB:AB)</f>
        <v>0.82</v>
      </c>
      <c r="AA20">
        <f>SUMIF('库存（子SKU）'!$C:$C,$A20,'库存（子SKU）'!AC:AC)</f>
        <v>5.17</v>
      </c>
      <c r="AB20">
        <f>SUMIF('库存（子SKU）'!$C:$C,$A20,'库存（子SKU）'!AD:AD)</f>
        <v>24.46</v>
      </c>
      <c r="AC20">
        <f>SUMIF('库存（子SKU）'!$C:$C,$A20,'库存（子SKU）'!AE:AE)</f>
        <v>10.39</v>
      </c>
      <c r="AD20" s="23" t="str">
        <f t="shared" si="2"/>
        <v>无销量广告费为0.82</v>
      </c>
      <c r="AE20" s="23">
        <f t="shared" si="3"/>
        <v>0.0699052725368516</v>
      </c>
      <c r="AF20" s="23">
        <f t="shared" si="4"/>
        <v>25.1356103356104</v>
      </c>
      <c r="AG20" s="23">
        <f t="shared" si="5"/>
        <v>26.6924561924562</v>
      </c>
      <c r="AH20">
        <f>SUMIF('库存（子SKU）'!$C:$C,$A20,'库存（子SKU）'!AJ:AJ)</f>
        <v>30</v>
      </c>
      <c r="AI20">
        <f>SUMIF('库存（子SKU）'!$C:$C,$A20,'库存（子SKU）'!AK:AK)</f>
        <v>30</v>
      </c>
      <c r="AJ20">
        <f>SUMIF('库存（子SKU）'!$C:$C,$A20,'库存（子SKU）'!AL:AL)</f>
        <v>72</v>
      </c>
      <c r="AK20">
        <f>SUMIF('库存（子SKU）'!$C:$C,$A20,'库存（子SKU）'!AM:AM)</f>
        <v>44</v>
      </c>
      <c r="AL20" s="23">
        <f t="shared" si="6"/>
        <v>0</v>
      </c>
      <c r="AM20" s="23">
        <f t="shared" si="7"/>
        <v>12.6666666666667</v>
      </c>
      <c r="AN20" s="23">
        <f t="shared" si="8"/>
        <v>0.0694444444444444</v>
      </c>
      <c r="AO20" s="23">
        <f t="shared" si="9"/>
        <v>0.0454545454545455</v>
      </c>
      <c r="AP20" s="8">
        <f t="shared" si="10"/>
        <v>0</v>
      </c>
      <c r="AQ20" s="8">
        <f t="shared" si="11"/>
        <v>0</v>
      </c>
      <c r="AR20" s="8">
        <f t="shared" si="12"/>
        <v>15</v>
      </c>
      <c r="AS20" t="str">
        <f t="shared" si="13"/>
        <v>库存为15</v>
      </c>
      <c r="AT20" s="25" t="str">
        <f>IFERROR(时间!$B$4+AS20,"上周无销量")</f>
        <v>上周无销量</v>
      </c>
    </row>
    <row r="21" spans="1:46">
      <c r="A21" t="s">
        <v>259</v>
      </c>
      <c r="B21" s="6">
        <f>SUMIF('库存（子SKU）'!$C:$C,$A21,'库存（子SKU）'!D:D)</f>
        <v>0</v>
      </c>
      <c r="C21" s="6">
        <f>SUMIF('库存（子SKU）'!$C:$C,$A21,'库存（子SKU）'!E:E)</f>
        <v>447</v>
      </c>
      <c r="D21" s="6">
        <f>SUMIF('库存（子SKU）'!$C:$C,$A21,'库存（子SKU）'!F:F)</f>
        <v>6</v>
      </c>
      <c r="E21" s="6">
        <f>SUMIF('库存（子SKU）'!$C:$C,$A21,'库存（子SKU）'!G:G)</f>
        <v>0</v>
      </c>
      <c r="F21" s="7">
        <v>0.1189972899729</v>
      </c>
      <c r="G21">
        <f>SUMIF('库存（子SKU）'!$C:$C,$A21,'库存（子SKU）'!I:I)</f>
        <v>12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</v>
      </c>
      <c r="L21">
        <f>SUMIF('库存（子SKU）'!$C:$C,$A21,'库存（子SKU）'!N:N)</f>
        <v>0</v>
      </c>
      <c r="M21">
        <f>SUMIF('库存（子SKU）'!$C:$C,$A21,'库存（子SKU）'!O:O)</f>
        <v>6</v>
      </c>
      <c r="N21">
        <f>SUMIF('库存（子SKU）'!$C:$C,$A21,'库存（子SKU）'!P:P)</f>
        <v>112</v>
      </c>
      <c r="O21">
        <f>SUMIF('库存（子SKU）'!$C:$C,$A21,'库存（子SKU）'!Q:Q)</f>
        <v>3496</v>
      </c>
      <c r="P21">
        <f>SUMIF('库存（子SKU）'!$C:$C,$A21,'库存（子SKU）'!R:R)</f>
        <v>17700</v>
      </c>
      <c r="Q21">
        <f>SUMIF('库存（子SKU）'!$C:$C,$A21,'库存（子SKU）'!S:S)</f>
        <v>16093</v>
      </c>
      <c r="R21">
        <f>SUMIF('库存（子SKU）'!$C:$C,$A21,'库存（子SKU）'!T:T)</f>
        <v>1</v>
      </c>
      <c r="S21">
        <f>SUMIF('库存（子SKU）'!$C:$C,$A21,'库存（子SKU）'!U:U)</f>
        <v>7</v>
      </c>
      <c r="T21">
        <f>SUMIF('库存（子SKU）'!$C:$C,$A21,'库存（子SKU）'!V:V)</f>
        <v>45</v>
      </c>
      <c r="U21">
        <f>SUMIF('库存（子SKU）'!$C:$C,$A21,'库存（子SKU）'!W:W)</f>
        <v>34</v>
      </c>
      <c r="V21" s="23">
        <f t="shared" si="15"/>
        <v>0.00892857142857143</v>
      </c>
      <c r="W21" s="23">
        <f t="shared" si="16"/>
        <v>0.00200228832951945</v>
      </c>
      <c r="X21" s="23">
        <f t="shared" si="17"/>
        <v>0.00254237288135593</v>
      </c>
      <c r="Y21" s="23">
        <f t="shared" si="18"/>
        <v>0.0021127198160691</v>
      </c>
      <c r="Z21">
        <f>SUMIF('库存（子SKU）'!$C:$C,$A21,'库存（子SKU）'!AB:AB)</f>
        <v>0.14</v>
      </c>
      <c r="AA21">
        <f>SUMIF('库存（子SKU）'!$C:$C,$A21,'库存（子SKU）'!AC:AC)</f>
        <v>2.8</v>
      </c>
      <c r="AB21">
        <f>SUMIF('库存（子SKU）'!$C:$C,$A21,'库存（子SKU）'!AD:AD)</f>
        <v>18.37</v>
      </c>
      <c r="AC21">
        <f>SUMIF('库存（子SKU）'!$C:$C,$A21,'库存（子SKU）'!AE:AE)</f>
        <v>13.67</v>
      </c>
      <c r="AD21" s="23" t="str">
        <f t="shared" si="2"/>
        <v>无销量广告费为0.14</v>
      </c>
      <c r="AE21" s="23">
        <f t="shared" si="3"/>
        <v>0.0526397038481701</v>
      </c>
      <c r="AF21" s="23">
        <f t="shared" si="4"/>
        <v>25.7288772489182</v>
      </c>
      <c r="AG21" s="23" t="str">
        <f t="shared" si="5"/>
        <v>无销量广告费为13.67</v>
      </c>
      <c r="AH21">
        <f>SUMIF('库存（子SKU）'!$C:$C,$A21,'库存（子SKU）'!AJ:AJ)</f>
        <v>25</v>
      </c>
      <c r="AI21">
        <f>SUMIF('库存（子SKU）'!$C:$C,$A21,'库存（子SKU）'!AK:AK)</f>
        <v>31</v>
      </c>
      <c r="AJ21">
        <f>SUMIF('库存（子SKU）'!$C:$C,$A21,'库存（子SKU）'!AL:AL)</f>
        <v>82</v>
      </c>
      <c r="AK21">
        <f>SUMIF('库存（子SKU）'!$C:$C,$A21,'库存（子SKU）'!AM:AM)</f>
        <v>51</v>
      </c>
      <c r="AL21" s="23">
        <f t="shared" si="6"/>
        <v>0</v>
      </c>
      <c r="AM21" s="23">
        <f t="shared" si="7"/>
        <v>14.4193548387097</v>
      </c>
      <c r="AN21" s="23">
        <f t="shared" si="8"/>
        <v>0.0731707317073171</v>
      </c>
      <c r="AO21" s="23">
        <f t="shared" si="9"/>
        <v>0</v>
      </c>
      <c r="AP21" s="8">
        <f t="shared" si="10"/>
        <v>0</v>
      </c>
      <c r="AQ21" s="8">
        <f t="shared" si="11"/>
        <v>0</v>
      </c>
      <c r="AR21" s="8">
        <f t="shared" si="12"/>
        <v>12</v>
      </c>
      <c r="AS21" t="str">
        <f t="shared" si="13"/>
        <v>库存为12</v>
      </c>
      <c r="AT21" s="25" t="str">
        <f>IFERROR(时间!$B$4+AS21,"上周无销量")</f>
        <v>上周无销量</v>
      </c>
    </row>
    <row r="22" spans="1:46">
      <c r="A22" t="s">
        <v>315</v>
      </c>
      <c r="B22" s="6">
        <f>SUMIF('库存（子SKU）'!$C:$C,$A22,'库存（子SKU）'!D:D)</f>
        <v>0</v>
      </c>
      <c r="C22" s="6">
        <f>SUMIF('库存（子SKU）'!$C:$C,$A22,'库存（子SKU）'!E:E)</f>
        <v>6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>
        <v>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434</v>
      </c>
      <c r="P22">
        <f>SUMIF('库存（子SKU）'!$C:$C,$A22,'库存（子SKU）'!R:R)</f>
        <v>2169</v>
      </c>
      <c r="Q22">
        <f>SUMIF('库存（子SKU）'!$C:$C,$A22,'库存（子SKU）'!S:S)</f>
        <v>3352</v>
      </c>
      <c r="R22">
        <f>SUMIF('库存（子SKU）'!$C:$C,$A22,'库存（子SKU）'!T:T)</f>
        <v>0</v>
      </c>
      <c r="S22">
        <f>SUMIF('库存（子SKU）'!$C:$C,$A22,'库存（子SKU）'!U:U)</f>
        <v>5</v>
      </c>
      <c r="T22">
        <f>SUMIF('库存（子SKU）'!$C:$C,$A22,'库存（子SKU）'!V:V)</f>
        <v>23</v>
      </c>
      <c r="U22">
        <f>SUMIF('库存（子SKU）'!$C:$C,$A22,'库存（子SKU）'!W:W)</f>
        <v>36</v>
      </c>
      <c r="V22" s="23" t="str">
        <f t="shared" si="15"/>
        <v/>
      </c>
      <c r="W22" s="23">
        <f t="shared" si="16"/>
        <v>0.0115207373271889</v>
      </c>
      <c r="X22" s="23">
        <f t="shared" si="17"/>
        <v>0.0106039649608114</v>
      </c>
      <c r="Y22" s="23">
        <f t="shared" si="18"/>
        <v>0.0107398568019093</v>
      </c>
      <c r="Z22">
        <f>SUMIF('库存（子SKU）'!$C:$C,$A22,'库存（子SKU）'!AB:AB)</f>
        <v>0</v>
      </c>
      <c r="AA22">
        <f>SUMIF('库存（子SKU）'!$C:$C,$A22,'库存（子SKU）'!AC:AC)</f>
        <v>1.07</v>
      </c>
      <c r="AB22">
        <f>SUMIF('库存（子SKU）'!$C:$C,$A22,'库存（子SKU）'!AD:AD)</f>
        <v>5.34</v>
      </c>
      <c r="AC22">
        <f>SUMIF('库存（子SKU）'!$C:$C,$A22,'库存（子SKU）'!AE:AE)</f>
        <v>10.59</v>
      </c>
      <c r="AD22" s="23" t="str">
        <f t="shared" si="2"/>
        <v/>
      </c>
      <c r="AE22" s="23" t="str">
        <f t="shared" si="3"/>
        <v/>
      </c>
      <c r="AF22" s="23" t="str">
        <f t="shared" si="4"/>
        <v>无销量广告费为5.34</v>
      </c>
      <c r="AG22" s="23" t="str">
        <f t="shared" si="5"/>
        <v>无销量广告费为10.59</v>
      </c>
      <c r="AH22">
        <f>SUMIF('库存（子SKU）'!$C:$C,$A22,'库存（子SKU）'!AJ:AJ)</f>
        <v>0</v>
      </c>
      <c r="AI22">
        <f>SUMIF('库存（子SKU）'!$C:$C,$A22,'库存（子SKU）'!AK:AK)</f>
        <v>6</v>
      </c>
      <c r="AJ22">
        <f>SUMIF('库存（子SKU）'!$C:$C,$A22,'库存（子SKU）'!AL:AL)</f>
        <v>22</v>
      </c>
      <c r="AK22">
        <f>SUMIF('库存（子SKU）'!$C:$C,$A22,'库存（子SKU）'!AM:AM)</f>
        <v>11</v>
      </c>
      <c r="AL22" s="23" t="str">
        <f t="shared" si="6"/>
        <v/>
      </c>
      <c r="AM22" s="23">
        <f t="shared" si="7"/>
        <v>1</v>
      </c>
      <c r="AN22" s="23">
        <f t="shared" si="8"/>
        <v>0</v>
      </c>
      <c r="AO22" s="23">
        <f t="shared" si="9"/>
        <v>0</v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5" t="str">
        <f>IFERROR(时间!$B$4+AS22,"上周无销量")</f>
        <v>上周无销量</v>
      </c>
    </row>
    <row r="23" spans="1:46">
      <c r="A23" t="s">
        <v>324</v>
      </c>
      <c r="B23" s="6">
        <f>SUMIF('库存（子SKU）'!$C:$C,$A23,'库存（子SKU）'!D:D)</f>
        <v>0</v>
      </c>
      <c r="C23" s="6">
        <f>SUMIF('库存（子SKU）'!$C:$C,$A23,'库存（子SKU）'!E:E)</f>
        <v>40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>
        <v>0.416279069767442</v>
      </c>
      <c r="G23">
        <f>SUMIF('库存（子SKU）'!$C:$C,$A23,'库存（子SKU）'!I:I)</f>
        <v>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</v>
      </c>
      <c r="L23">
        <f>SUMIF('库存（子SKU）'!$C:$C,$A23,'库存（子SKU）'!N:N)</f>
        <v>0</v>
      </c>
      <c r="M23">
        <f>SUMIF('库存（子SKU）'!$C:$C,$A23,'库存（子SKU）'!O:O)</f>
        <v>2</v>
      </c>
      <c r="N23">
        <f>SUMIF('库存（子SKU）'!$C:$C,$A23,'库存（子SKU）'!P:P)</f>
        <v>136</v>
      </c>
      <c r="O23">
        <f>SUMIF('库存（子SKU）'!$C:$C,$A23,'库存（子SKU）'!Q:Q)</f>
        <v>1083</v>
      </c>
      <c r="P23">
        <f>SUMIF('库存（子SKU）'!$C:$C,$A23,'库存（子SKU）'!R:R)</f>
        <v>6990</v>
      </c>
      <c r="Q23">
        <f>SUMIF('库存（子SKU）'!$C:$C,$A23,'库存（子SKU）'!S:S)</f>
        <v>6996</v>
      </c>
      <c r="R23">
        <f>SUMIF('库存（子SKU）'!$C:$C,$A23,'库存（子SKU）'!T:T)</f>
        <v>1</v>
      </c>
      <c r="S23">
        <f>SUMIF('库存（子SKU）'!$C:$C,$A23,'库存（子SKU）'!U:U)</f>
        <v>7</v>
      </c>
      <c r="T23">
        <f>SUMIF('库存（子SKU）'!$C:$C,$A23,'库存（子SKU）'!V:V)</f>
        <v>22</v>
      </c>
      <c r="U23">
        <f>SUMIF('库存（子SKU）'!$C:$C,$A23,'库存（子SKU）'!W:W)</f>
        <v>26</v>
      </c>
      <c r="V23" s="23">
        <f t="shared" si="15"/>
        <v>0.00735294117647059</v>
      </c>
      <c r="W23" s="23">
        <f t="shared" si="16"/>
        <v>0.00646352723915051</v>
      </c>
      <c r="X23" s="23">
        <f t="shared" si="17"/>
        <v>0.00314735336194564</v>
      </c>
      <c r="Y23" s="23">
        <f t="shared" si="18"/>
        <v>0.00371640937678674</v>
      </c>
      <c r="Z23">
        <f>SUMIF('库存（子SKU）'!$C:$C,$A23,'库存（子SKU）'!AB:AB)</f>
        <v>0.07</v>
      </c>
      <c r="AA23">
        <f>SUMIF('库存（子SKU）'!$C:$C,$A23,'库存（子SKU）'!AC:AC)</f>
        <v>1.97</v>
      </c>
      <c r="AB23">
        <f>SUMIF('库存（子SKU）'!$C:$C,$A23,'库存（子SKU）'!AD:AD)</f>
        <v>7.17</v>
      </c>
      <c r="AC23">
        <f>SUMIF('库存（子SKU）'!$C:$C,$A23,'库存（子SKU）'!AE:AE)</f>
        <v>7.99</v>
      </c>
      <c r="AD23" s="23" t="str">
        <f t="shared" si="2"/>
        <v>无销量广告费为0.07</v>
      </c>
      <c r="AE23" s="23">
        <f t="shared" si="3"/>
        <v>0.118310055865922</v>
      </c>
      <c r="AF23" s="23" t="str">
        <f t="shared" si="4"/>
        <v>无销量广告费为7.17</v>
      </c>
      <c r="AG23" s="23" t="str">
        <f t="shared" si="5"/>
        <v>无销量广告费为7.99</v>
      </c>
      <c r="AH23">
        <f>SUMIF('库存（子SKU）'!$C:$C,$A23,'库存（子SKU）'!AJ:AJ)</f>
        <v>4</v>
      </c>
      <c r="AI23">
        <f>SUMIF('库存（子SKU）'!$C:$C,$A23,'库存（子SKU）'!AK:AK)</f>
        <v>9</v>
      </c>
      <c r="AJ23">
        <f>SUMIF('库存（子SKU）'!$C:$C,$A23,'库存（子SKU）'!AL:AL)</f>
        <v>58</v>
      </c>
      <c r="AK23">
        <f>SUMIF('库存（子SKU）'!$C:$C,$A23,'库存（子SKU）'!AM:AM)</f>
        <v>31</v>
      </c>
      <c r="AL23" s="23">
        <f t="shared" si="6"/>
        <v>0</v>
      </c>
      <c r="AM23" s="23">
        <f t="shared" si="7"/>
        <v>4.44444444444444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2</v>
      </c>
      <c r="AS23" t="str">
        <f t="shared" si="13"/>
        <v>库存为2</v>
      </c>
      <c r="AT23" s="25" t="str">
        <f>IFERROR(时间!$B$4+AS23,"上周无销量")</f>
        <v>上周无销量</v>
      </c>
    </row>
    <row r="24" spans="1:46">
      <c r="A24" t="s">
        <v>348</v>
      </c>
      <c r="B24" s="6">
        <f>SUMIF('库存（子SKU）'!$C:$C,$A24,'库存（子SKU）'!D:D)</f>
        <v>0</v>
      </c>
      <c r="C24" s="6">
        <f>SUMIF('库存（子SKU）'!$C:$C,$A24,'库存（子SKU）'!E:E)</f>
        <v>3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5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5</v>
      </c>
      <c r="L24">
        <f>SUMIF('库存（子SKU）'!$C:$C,$A24,'库存（子SKU）'!N:N)</f>
        <v>0</v>
      </c>
      <c r="M24">
        <f>SUMIF('库存（子SKU）'!$C:$C,$A24,'库存（子SKU）'!O:O)</f>
        <v>5</v>
      </c>
      <c r="N24">
        <f>SUMIF('库存（子SKU）'!$C:$C,$A24,'库存（子SKU）'!P:P)</f>
        <v>794</v>
      </c>
      <c r="O24">
        <f>SUMIF('库存（子SKU）'!$C:$C,$A24,'库存（子SKU）'!Q:Q)</f>
        <v>1747</v>
      </c>
      <c r="P24">
        <f>SUMIF('库存（子SKU）'!$C:$C,$A24,'库存（子SKU）'!R:R)</f>
        <v>2353</v>
      </c>
      <c r="Q24">
        <f>SUMIF('库存（子SKU）'!$C:$C,$A24,'库存（子SKU）'!S:S)</f>
        <v>3064</v>
      </c>
      <c r="R24">
        <f>SUMIF('库存（子SKU）'!$C:$C,$A24,'库存（子SKU）'!T:T)</f>
        <v>3</v>
      </c>
      <c r="S24">
        <f>SUMIF('库存（子SKU）'!$C:$C,$A24,'库存（子SKU）'!U:U)</f>
        <v>6</v>
      </c>
      <c r="T24">
        <f>SUMIF('库存（子SKU）'!$C:$C,$A24,'库存（子SKU）'!V:V)</f>
        <v>8</v>
      </c>
      <c r="U24">
        <f>SUMIF('库存（子SKU）'!$C:$C,$A24,'库存（子SKU）'!W:W)</f>
        <v>15</v>
      </c>
      <c r="V24" s="23">
        <f t="shared" si="15"/>
        <v>0.00377833753148615</v>
      </c>
      <c r="W24" s="23">
        <f t="shared" si="16"/>
        <v>0.00343445907269605</v>
      </c>
      <c r="X24" s="23">
        <f t="shared" si="17"/>
        <v>0.00339991500212495</v>
      </c>
      <c r="Y24" s="23">
        <f t="shared" si="18"/>
        <v>0.00489556135770235</v>
      </c>
      <c r="Z24">
        <f>SUMIF('库存（子SKU）'!$C:$C,$A24,'库存（子SKU）'!AB:AB)</f>
        <v>0.27</v>
      </c>
      <c r="AA24">
        <f>SUMIF('库存（子SKU）'!$C:$C,$A24,'库存（子SKU）'!AC:AC)</f>
        <v>1.88</v>
      </c>
      <c r="AB24">
        <f>SUMIF('库存（子SKU）'!$C:$C,$A24,'库存（子SKU）'!AD:AD)</f>
        <v>1.44</v>
      </c>
      <c r="AC24">
        <f>SUMIF('库存（子SKU）'!$C:$C,$A24,'库存（子SKU）'!AE:AE)</f>
        <v>3.26</v>
      </c>
      <c r="AD24" s="23" t="str">
        <f t="shared" si="2"/>
        <v>无销量广告费为0.27</v>
      </c>
      <c r="AE24" s="23" t="str">
        <f t="shared" si="3"/>
        <v/>
      </c>
      <c r="AF24" s="23" t="str">
        <f t="shared" si="4"/>
        <v>无销量广告费为1.44</v>
      </c>
      <c r="AG24" s="23" t="str">
        <f t="shared" si="5"/>
        <v>无销量广告费为3.26</v>
      </c>
      <c r="AH24">
        <f>SUMIF('库存（子SKU）'!$C:$C,$A24,'库存（子SKU）'!AJ:AJ)</f>
        <v>14</v>
      </c>
      <c r="AI24">
        <f>SUMIF('库存（子SKU）'!$C:$C,$A24,'库存（子SKU）'!AK:AK)</f>
        <v>19</v>
      </c>
      <c r="AJ24">
        <f>SUMIF('库存（子SKU）'!$C:$C,$A24,'库存（子SKU）'!AL:AL)</f>
        <v>19</v>
      </c>
      <c r="AK24">
        <f>SUMIF('库存（子SKU）'!$C:$C,$A24,'库存（子SKU）'!AM:AM)</f>
        <v>17</v>
      </c>
      <c r="AL24" s="23">
        <f t="shared" si="6"/>
        <v>0</v>
      </c>
      <c r="AM24" s="23">
        <f t="shared" si="7"/>
        <v>0.157894736842105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5</v>
      </c>
      <c r="AS24" t="str">
        <f t="shared" si="13"/>
        <v>库存为5</v>
      </c>
      <c r="AT24" s="25" t="str">
        <f>IFERROR(时间!$B$4+AS24,"上周无销量")</f>
        <v>上周无销量</v>
      </c>
    </row>
    <row r="25" spans="1:46">
      <c r="A25" t="s">
        <v>365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0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3</v>
      </c>
      <c r="N25">
        <f>SUMIF('库存（子SKU）'!$C:$C,$A25,'库存（子SKU）'!P:P)</f>
        <v>165</v>
      </c>
      <c r="O25">
        <f>SUMIF('库存（子SKU）'!$C:$C,$A25,'库存（子SKU）'!Q:Q)</f>
        <v>307</v>
      </c>
      <c r="P25">
        <f>SUMIF('库存（子SKU）'!$C:$C,$A25,'库存（子SKU）'!R:R)</f>
        <v>582</v>
      </c>
      <c r="Q25">
        <f>SUMIF('库存（子SKU）'!$C:$C,$A25,'库存（子SKU）'!S:S)</f>
        <v>638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1</v>
      </c>
      <c r="V25" s="23">
        <f t="shared" si="15"/>
        <v>0</v>
      </c>
      <c r="W25" s="23">
        <f t="shared" si="16"/>
        <v>0</v>
      </c>
      <c r="X25" s="23">
        <f t="shared" si="17"/>
        <v>0</v>
      </c>
      <c r="Y25" s="23">
        <f t="shared" si="18"/>
        <v>0.00156739811912226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0.21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>无销量广告费为0.21</v>
      </c>
      <c r="AH25">
        <f>SUMIF('库存（子SKU）'!$C:$C,$A25,'库存（子SKU）'!AJ:AJ)</f>
        <v>12</v>
      </c>
      <c r="AI25">
        <f>SUMIF('库存（子SKU）'!$C:$C,$A25,'库存（子SKU）'!AK:AK)</f>
        <v>9</v>
      </c>
      <c r="AJ25">
        <f>SUMIF('库存（子SKU）'!$C:$C,$A25,'库存（子SKU）'!AL:AL)</f>
        <v>7</v>
      </c>
      <c r="AK25">
        <f>SUMIF('库存（子SKU）'!$C:$C,$A25,'库存（子SKU）'!AM:AM)</f>
        <v>5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3</v>
      </c>
      <c r="AS25" t="str">
        <f t="shared" si="13"/>
        <v>库存为3</v>
      </c>
      <c r="AT25" s="25" t="str">
        <f>IFERROR(时间!$B$4+AS25,"上周无销量")</f>
        <v>上周无销量</v>
      </c>
    </row>
    <row r="26" spans="1:46">
      <c r="A26" t="s">
        <v>375</v>
      </c>
      <c r="B26" s="6">
        <f>SUMIF('库存（子SKU）'!$C:$C,$A26,'库存（子SKU）'!D:D)</f>
        <v>0</v>
      </c>
      <c r="C26" s="6">
        <f>SUMIF('库存（子SKU）'!$C:$C,$A26,'库存（子SKU）'!E:E)</f>
        <v>4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335</v>
      </c>
      <c r="O26">
        <f>SUMIF('库存（子SKU）'!$C:$C,$A26,'库存（子SKU）'!Q:Q)</f>
        <v>854</v>
      </c>
      <c r="P26">
        <f>SUMIF('库存（子SKU）'!$C:$C,$A26,'库存（子SKU）'!R:R)</f>
        <v>3863</v>
      </c>
      <c r="Q26">
        <f>SUMIF('库存（子SKU）'!$C:$C,$A26,'库存（子SKU）'!S:S)</f>
        <v>4250</v>
      </c>
      <c r="R26">
        <f>SUMIF('库存（子SKU）'!$C:$C,$A26,'库存（子SKU）'!T:T)</f>
        <v>2</v>
      </c>
      <c r="S26">
        <f>SUMIF('库存（子SKU）'!$C:$C,$A26,'库存（子SKU）'!U:U)</f>
        <v>2</v>
      </c>
      <c r="T26">
        <f>SUMIF('库存（子SKU）'!$C:$C,$A26,'库存（子SKU）'!V:V)</f>
        <v>5</v>
      </c>
      <c r="U26">
        <f>SUMIF('库存（子SKU）'!$C:$C,$A26,'库存（子SKU）'!W:W)</f>
        <v>5</v>
      </c>
      <c r="V26" s="23">
        <f t="shared" si="15"/>
        <v>0.00597014925373134</v>
      </c>
      <c r="W26" s="23">
        <f t="shared" si="16"/>
        <v>0.00234192037470726</v>
      </c>
      <c r="X26" s="23">
        <f t="shared" si="17"/>
        <v>0.00129433083096039</v>
      </c>
      <c r="Y26" s="23">
        <f t="shared" si="18"/>
        <v>0.00117647058823529</v>
      </c>
      <c r="Z26">
        <f>SUMIF('库存（子SKU）'!$C:$C,$A26,'库存（子SKU）'!AB:AB)</f>
        <v>0.12</v>
      </c>
      <c r="AA26">
        <f>SUMIF('库存（子SKU）'!$C:$C,$A26,'库存（子SKU）'!AC:AC)</f>
        <v>0.44</v>
      </c>
      <c r="AB26">
        <f>SUMIF('库存（子SKU）'!$C:$C,$A26,'库存（子SKU）'!AD:AD)</f>
        <v>1.77</v>
      </c>
      <c r="AC26">
        <f>SUMIF('库存（子SKU）'!$C:$C,$A26,'库存（子SKU）'!AE:AE)</f>
        <v>1.51</v>
      </c>
      <c r="AD26" s="23" t="str">
        <f t="shared" si="2"/>
        <v>无销量广告费为0.12</v>
      </c>
      <c r="AE26" s="23" t="str">
        <f t="shared" si="3"/>
        <v/>
      </c>
      <c r="AF26" s="23" t="str">
        <f t="shared" si="4"/>
        <v>无销量广告费为1.77</v>
      </c>
      <c r="AG26" s="23" t="str">
        <f t="shared" si="5"/>
        <v>无销量广告费为1.51</v>
      </c>
      <c r="AH26">
        <f>SUMIF('库存（子SKU）'!$C:$C,$A26,'库存（子SKU）'!AJ:AJ)</f>
        <v>14</v>
      </c>
      <c r="AI26">
        <f>SUMIF('库存（子SKU）'!$C:$C,$A26,'库存（子SKU）'!AK:AK)</f>
        <v>11</v>
      </c>
      <c r="AJ26">
        <f>SUMIF('库存（子SKU）'!$C:$C,$A26,'库存（子SKU）'!AL:AL)</f>
        <v>27</v>
      </c>
      <c r="AK26">
        <f>SUMIF('库存（子SKU）'!$C:$C,$A26,'库存（子SKU）'!AM:AM)</f>
        <v>16</v>
      </c>
      <c r="AL26" s="23">
        <f t="shared" si="6"/>
        <v>0</v>
      </c>
      <c r="AM26" s="23">
        <f t="shared" si="7"/>
        <v>0.363636363636364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398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119</v>
      </c>
      <c r="O27">
        <f>SUMIF('库存（子SKU）'!$C:$C,$A27,'库存（子SKU）'!Q:Q)</f>
        <v>381</v>
      </c>
      <c r="P27">
        <f>SUMIF('库存（子SKU）'!$C:$C,$A27,'库存（子SKU）'!R:R)</f>
        <v>643</v>
      </c>
      <c r="Q27">
        <f>SUMIF('库存（子SKU）'!$C:$C,$A27,'库存（子SKU）'!S:S)</f>
        <v>514</v>
      </c>
      <c r="R27">
        <f>SUMIF('库存（子SKU）'!$C:$C,$A27,'库存（子SKU）'!T:T)</f>
        <v>0</v>
      </c>
      <c r="S27">
        <f>SUMIF('库存（子SKU）'!$C:$C,$A27,'库存（子SKU）'!U:U)</f>
        <v>5</v>
      </c>
      <c r="T27">
        <f>SUMIF('库存（子SKU）'!$C:$C,$A27,'库存（子SKU）'!V:V)</f>
        <v>5</v>
      </c>
      <c r="U27">
        <f>SUMIF('库存（子SKU）'!$C:$C,$A27,'库存（子SKU）'!W:W)</f>
        <v>6</v>
      </c>
      <c r="V27" s="23">
        <f t="shared" si="15"/>
        <v>0</v>
      </c>
      <c r="W27" s="23">
        <f t="shared" si="16"/>
        <v>0.0131233595800525</v>
      </c>
      <c r="X27" s="23">
        <f t="shared" si="17"/>
        <v>0.00777604976671851</v>
      </c>
      <c r="Y27" s="23">
        <f t="shared" si="18"/>
        <v>0.0116731517509728</v>
      </c>
      <c r="Z27">
        <f>SUMIF('库存（子SKU）'!$C:$C,$A27,'库存（子SKU）'!AB:AB)</f>
        <v>0</v>
      </c>
      <c r="AA27">
        <f>SUMIF('库存（子SKU）'!$C:$C,$A27,'库存（子SKU）'!AC:AC)</f>
        <v>2.12</v>
      </c>
      <c r="AB27">
        <f>SUMIF('库存（子SKU）'!$C:$C,$A27,'库存（子SKU）'!AD:AD)</f>
        <v>1.19</v>
      </c>
      <c r="AC27">
        <f>SUMIF('库存（子SKU）'!$C:$C,$A27,'库存（子SKU）'!AE:AE)</f>
        <v>2.57</v>
      </c>
      <c r="AD27" s="23" t="str">
        <f t="shared" si="2"/>
        <v/>
      </c>
      <c r="AE27" s="23" t="str">
        <f t="shared" si="3"/>
        <v>无销量广告费为2.12</v>
      </c>
      <c r="AF27" s="23" t="str">
        <f t="shared" si="4"/>
        <v>无销量广告费为1.19</v>
      </c>
      <c r="AG27" s="23" t="str">
        <f t="shared" si="5"/>
        <v>无销量广告费为2.57</v>
      </c>
      <c r="AH27">
        <f>SUMIF('库存（子SKU）'!$C:$C,$A27,'库存（子SKU）'!AJ:AJ)</f>
        <v>11</v>
      </c>
      <c r="AI27">
        <f>SUMIF('库存（子SKU）'!$C:$C,$A27,'库存（子SKU）'!AK:AK)</f>
        <v>9</v>
      </c>
      <c r="AJ27">
        <f>SUMIF('库存（子SKU）'!$C:$C,$A27,'库存（子SKU）'!AL:AL)</f>
        <v>8</v>
      </c>
      <c r="AK27">
        <f>SUMIF('库存（子SKU）'!$C:$C,$A27,'库存（子SKU）'!AM:AM)</f>
        <v>5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1</v>
      </c>
      <c r="AS27" t="str">
        <f t="shared" si="13"/>
        <v>库存为1</v>
      </c>
      <c r="AT27" s="25" t="str">
        <f>IFERROR(时间!$B$4+AS27,"上周无销量")</f>
        <v>上周无销量</v>
      </c>
    </row>
    <row r="28" spans="1:46">
      <c r="A28" t="s">
        <v>410</v>
      </c>
      <c r="B28" s="6">
        <f>SUMIF('库存（子SKU）'!$C:$C,$A28,'库存（子SKU）'!D:D)</f>
        <v>3</v>
      </c>
      <c r="C28" s="6">
        <f>SUMIF('库存（子SKU）'!$C:$C,$A28,'库存（子SKU）'!E:E)</f>
        <v>381</v>
      </c>
      <c r="D28" s="6">
        <f>SUMIF('库存（子SKU）'!$C:$C,$A28,'库存（子SKU）'!F:F)</f>
        <v>4</v>
      </c>
      <c r="E28" s="6">
        <f>SUMIF('库存（子SKU）'!$C:$C,$A28,'库存（子SKU）'!G:G)</f>
        <v>4</v>
      </c>
      <c r="F28" s="7">
        <v>0.421666666666667</v>
      </c>
      <c r="G28">
        <f>SUMIF('库存（子SKU）'!$C:$C,$A28,'库存（子SKU）'!I:I)</f>
        <v>56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56</v>
      </c>
      <c r="L28">
        <f>SUMIF('库存（子SKU）'!$C:$C,$A28,'库存（子SKU）'!N:N)</f>
        <v>0</v>
      </c>
      <c r="M28">
        <f>SUMIF('库存（子SKU）'!$C:$C,$A28,'库存（子SKU）'!O:O)</f>
        <v>41</v>
      </c>
      <c r="N28">
        <f>SUMIF('库存（子SKU）'!$C:$C,$A28,'库存（子SKU）'!P:P)</f>
        <v>399</v>
      </c>
      <c r="O28">
        <f>SUMIF('库存（子SKU）'!$C:$C,$A28,'库存（子SKU）'!Q:Q)</f>
        <v>6056</v>
      </c>
      <c r="P28">
        <f>SUMIF('库存（子SKU）'!$C:$C,$A28,'库存（子SKU）'!R:R)</f>
        <v>11425</v>
      </c>
      <c r="Q28">
        <f>SUMIF('库存（子SKU）'!$C:$C,$A28,'库存（子SKU）'!S:S)</f>
        <v>13967</v>
      </c>
      <c r="R28">
        <f>SUMIF('库存（子SKU）'!$C:$C,$A28,'库存（子SKU）'!T:T)</f>
        <v>2</v>
      </c>
      <c r="S28">
        <f>SUMIF('库存（子SKU）'!$C:$C,$A28,'库存（子SKU）'!U:U)</f>
        <v>19</v>
      </c>
      <c r="T28">
        <f>SUMIF('库存（子SKU）'!$C:$C,$A28,'库存（子SKU）'!V:V)</f>
        <v>36</v>
      </c>
      <c r="U28">
        <f>SUMIF('库存（子SKU）'!$C:$C,$A28,'库存（子SKU）'!W:W)</f>
        <v>35</v>
      </c>
      <c r="V28" s="23">
        <f t="shared" si="15"/>
        <v>0.0050125313283208</v>
      </c>
      <c r="W28" s="23">
        <f t="shared" si="16"/>
        <v>0.00313738441215324</v>
      </c>
      <c r="X28" s="23">
        <f t="shared" si="17"/>
        <v>0.00315098468271335</v>
      </c>
      <c r="Y28" s="23">
        <f t="shared" si="18"/>
        <v>0.00250590678026777</v>
      </c>
      <c r="Z28">
        <f>SUMIF('库存（子SKU）'!$C:$C,$A28,'库存（子SKU）'!AB:AB)</f>
        <v>0.28</v>
      </c>
      <c r="AA28">
        <f>SUMIF('库存（子SKU）'!$C:$C,$A28,'库存（子SKU）'!AC:AC)</f>
        <v>6.26</v>
      </c>
      <c r="AB28">
        <f>SUMIF('库存（子SKU）'!$C:$C,$A28,'库存（子SKU）'!AD:AD)</f>
        <v>12.47</v>
      </c>
      <c r="AC28">
        <f>SUMIF('库存（子SKU）'!$C:$C,$A28,'库存（子SKU）'!AE:AE)</f>
        <v>12.42</v>
      </c>
      <c r="AD28" s="23">
        <f t="shared" si="2"/>
        <v>0.221343873517786</v>
      </c>
      <c r="AE28" s="23">
        <f t="shared" si="3"/>
        <v>0.0389654850455946</v>
      </c>
      <c r="AF28" s="23">
        <f t="shared" si="4"/>
        <v>7.39328063241106</v>
      </c>
      <c r="AG28" s="23">
        <f t="shared" si="5"/>
        <v>7.36363636363636</v>
      </c>
      <c r="AH28">
        <f>SUMIF('库存（子SKU）'!$C:$C,$A28,'库存（子SKU）'!AJ:AJ)</f>
        <v>68</v>
      </c>
      <c r="AI28">
        <f>SUMIF('库存（子SKU）'!$C:$C,$A28,'库存（子SKU）'!AK:AK)</f>
        <v>40</v>
      </c>
      <c r="AJ28">
        <f>SUMIF('库存（子SKU）'!$C:$C,$A28,'库存（子SKU）'!AL:AL)</f>
        <v>103</v>
      </c>
      <c r="AK28">
        <f>SUMIF('库存（子SKU）'!$C:$C,$A28,'库存（子SKU）'!AM:AM)</f>
        <v>83</v>
      </c>
      <c r="AL28" s="23">
        <f t="shared" si="6"/>
        <v>0.0441176470588235</v>
      </c>
      <c r="AM28" s="23">
        <f t="shared" si="7"/>
        <v>9.525</v>
      </c>
      <c r="AN28" s="23">
        <f t="shared" si="8"/>
        <v>0.0388349514563107</v>
      </c>
      <c r="AO28" s="23">
        <f t="shared" si="9"/>
        <v>0.0481927710843374</v>
      </c>
      <c r="AP28" s="8">
        <f t="shared" si="10"/>
        <v>0.428571428571429</v>
      </c>
      <c r="AQ28" s="8">
        <f t="shared" si="11"/>
        <v>25.7142857142857</v>
      </c>
      <c r="AR28" s="8">
        <f t="shared" si="12"/>
        <v>30.2857142857143</v>
      </c>
      <c r="AS28">
        <f t="shared" si="13"/>
        <v>130</v>
      </c>
      <c r="AT28" s="25">
        <f>IFERROR(时间!$B$4+AS28,"上周无销量")</f>
        <v>43469</v>
      </c>
    </row>
    <row r="29" spans="1:46">
      <c r="A29" t="s">
        <v>448</v>
      </c>
      <c r="B29" s="6">
        <f>SUMIF('库存（子SKU）'!$C:$C,$A29,'库存（子SKU）'!D:D)</f>
        <v>0</v>
      </c>
      <c r="C29" s="6">
        <f>SUMIF('库存（子SKU）'!$C:$C,$A29,'库存（子SKU）'!E:E)</f>
        <v>61</v>
      </c>
      <c r="D29" s="6">
        <f>SUMIF('库存（子SKU）'!$C:$C,$A29,'库存（子SKU）'!F:F)</f>
        <v>1</v>
      </c>
      <c r="E29" s="6">
        <f>SUMIF('库存（子SKU）'!$C:$C,$A29,'库存（子SKU）'!G:G)</f>
        <v>0</v>
      </c>
      <c r="F29" s="7">
        <v>0.262264150943396</v>
      </c>
      <c r="G29">
        <f>SUMIF('库存（子SKU）'!$C:$C,$A29,'库存（子SKU）'!I:I)</f>
        <v>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5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199</v>
      </c>
      <c r="O29">
        <f>SUMIF('库存（子SKU）'!$C:$C,$A29,'库存（子SKU）'!Q:Q)</f>
        <v>4535</v>
      </c>
      <c r="P29">
        <f>SUMIF('库存（子SKU）'!$C:$C,$A29,'库存（子SKU）'!R:R)</f>
        <v>21213</v>
      </c>
      <c r="Q29">
        <f>SUMIF('库存（子SKU）'!$C:$C,$A29,'库存（子SKU）'!S:S)</f>
        <v>15184</v>
      </c>
      <c r="R29">
        <f>SUMIF('库存（子SKU）'!$C:$C,$A29,'库存（子SKU）'!T:T)</f>
        <v>5</v>
      </c>
      <c r="S29">
        <f>SUMIF('库存（子SKU）'!$C:$C,$A29,'库存（子SKU）'!U:U)</f>
        <v>23</v>
      </c>
      <c r="T29">
        <f>SUMIF('库存（子SKU）'!$C:$C,$A29,'库存（子SKU）'!V:V)</f>
        <v>120</v>
      </c>
      <c r="U29">
        <f>SUMIF('库存（子SKU）'!$C:$C,$A29,'库存（子SKU）'!W:W)</f>
        <v>139</v>
      </c>
      <c r="V29" s="23">
        <f t="shared" si="15"/>
        <v>0.0251256281407035</v>
      </c>
      <c r="W29" s="23">
        <f t="shared" si="16"/>
        <v>0.00507166482910695</v>
      </c>
      <c r="X29" s="23">
        <f t="shared" si="17"/>
        <v>0.00565690849950502</v>
      </c>
      <c r="Y29" s="23">
        <f t="shared" si="18"/>
        <v>0.00915437302423604</v>
      </c>
      <c r="Z29">
        <f>SUMIF('库存（子SKU）'!$C:$C,$A29,'库存（子SKU）'!AB:AB)</f>
        <v>0.19</v>
      </c>
      <c r="AA29">
        <f>SUMIF('库存（子SKU）'!$C:$C,$A29,'库存（子SKU）'!AC:AC)</f>
        <v>8.06</v>
      </c>
      <c r="AB29">
        <f>SUMIF('库存（子SKU）'!$C:$C,$A29,'库存（子SKU）'!AD:AD)</f>
        <v>40.57</v>
      </c>
      <c r="AC29">
        <f>SUMIF('库存（子SKU）'!$C:$C,$A29,'库存（子SKU）'!AE:AE)</f>
        <v>51.39</v>
      </c>
      <c r="AD29" s="23" t="str">
        <f t="shared" si="2"/>
        <v>无销量广告费为0.19</v>
      </c>
      <c r="AE29" s="23">
        <f t="shared" si="3"/>
        <v>0.503809411487204</v>
      </c>
      <c r="AF29" s="23">
        <f t="shared" si="4"/>
        <v>154.691366906475</v>
      </c>
      <c r="AG29" s="23" t="str">
        <f t="shared" si="5"/>
        <v>无销量广告费为51.39</v>
      </c>
      <c r="AH29">
        <f>SUMIF('库存（子SKU）'!$C:$C,$A29,'库存（子SKU）'!AJ:AJ)</f>
        <v>35</v>
      </c>
      <c r="AI29">
        <f>SUMIF('库存（子SKU）'!$C:$C,$A29,'库存（子SKU）'!AK:AK)</f>
        <v>55</v>
      </c>
      <c r="AJ29">
        <f>SUMIF('库存（子SKU）'!$C:$C,$A29,'库存（子SKU）'!AL:AL)</f>
        <v>119</v>
      </c>
      <c r="AK29">
        <f>SUMIF('库存（子SKU）'!$C:$C,$A29,'库存（子SKU）'!AM:AM)</f>
        <v>144</v>
      </c>
      <c r="AL29" s="23">
        <f t="shared" si="6"/>
        <v>0</v>
      </c>
      <c r="AM29" s="23">
        <f t="shared" si="7"/>
        <v>1.10909090909091</v>
      </c>
      <c r="AN29" s="23">
        <f t="shared" si="8"/>
        <v>0.00840336134453781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5</v>
      </c>
      <c r="AS29" t="str">
        <f t="shared" si="13"/>
        <v>库存为5</v>
      </c>
      <c r="AT29" s="25" t="str">
        <f>IFERROR(时间!$B$4+AS29,"上周无销量")</f>
        <v>上周无销量</v>
      </c>
    </row>
    <row r="30" spans="1:46">
      <c r="A30" t="s">
        <v>493</v>
      </c>
      <c r="B30" s="6">
        <f>SUMIF('库存（子SKU）'!$C:$C,$A30,'库存（子SKU）'!D:D)</f>
        <v>0</v>
      </c>
      <c r="C30" s="6">
        <f>SUMIF('库存（子SKU）'!$C:$C,$A30,'库存（子SKU）'!E:E)</f>
        <v>188</v>
      </c>
      <c r="D30" s="6">
        <f>SUMIF('库存（子SKU）'!$C:$C,$A30,'库存（子SKU）'!F:F)</f>
        <v>1</v>
      </c>
      <c r="E30" s="6">
        <f>SUMIF('库存（子SKU）'!$C:$C,$A30,'库存（子SKU）'!G:G)</f>
        <v>0</v>
      </c>
      <c r="F30" s="7">
        <v>0.0468783068783069</v>
      </c>
      <c r="G30">
        <f>SUMIF('库存（子SKU）'!$C:$C,$A30,'库存（子SKU）'!I:I)</f>
        <v>56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56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205</v>
      </c>
      <c r="P30">
        <f>SUMIF('库存（子SKU）'!$C:$C,$A30,'库存（子SKU）'!R:R)</f>
        <v>1914</v>
      </c>
      <c r="Q30">
        <f>SUMIF('库存（子SKU）'!$C:$C,$A30,'库存（子SKU）'!S:S)</f>
        <v>3148</v>
      </c>
      <c r="R30">
        <f>SUMIF('库存（子SKU）'!$C:$C,$A30,'库存（子SKU）'!T:T)</f>
        <v>0</v>
      </c>
      <c r="S30">
        <f>SUMIF('库存（子SKU）'!$C:$C,$A30,'库存（子SKU）'!U:U)</f>
        <v>2</v>
      </c>
      <c r="T30">
        <f>SUMIF('库存（子SKU）'!$C:$C,$A30,'库存（子SKU）'!V:V)</f>
        <v>9</v>
      </c>
      <c r="U30">
        <f>SUMIF('库存（子SKU）'!$C:$C,$A30,'库存（子SKU）'!W:W)</f>
        <v>20</v>
      </c>
      <c r="V30" s="23" t="str">
        <f t="shared" si="15"/>
        <v/>
      </c>
      <c r="W30" s="23">
        <f t="shared" si="16"/>
        <v>0.00975609756097561</v>
      </c>
      <c r="X30" s="23">
        <f t="shared" si="17"/>
        <v>0.00470219435736677</v>
      </c>
      <c r="Y30" s="23">
        <f t="shared" si="18"/>
        <v>0.00635324015247776</v>
      </c>
      <c r="Z30">
        <f>SUMIF('库存（子SKU）'!$C:$C,$A30,'库存（子SKU）'!AB:AB)</f>
        <v>0</v>
      </c>
      <c r="AA30">
        <f>SUMIF('库存（子SKU）'!$C:$C,$A30,'库存（子SKU）'!AC:AC)</f>
        <v>0.74</v>
      </c>
      <c r="AB30">
        <f>SUMIF('库存（子SKU）'!$C:$C,$A30,'库存（子SKU）'!AD:AD)</f>
        <v>3.69</v>
      </c>
      <c r="AC30">
        <f>SUMIF('库存（子SKU）'!$C:$C,$A30,'库存（子SKU）'!AE:AE)</f>
        <v>8.38</v>
      </c>
      <c r="AD30" s="23" t="str">
        <f t="shared" si="2"/>
        <v/>
      </c>
      <c r="AE30" s="23">
        <f t="shared" si="3"/>
        <v>0.0839657076989577</v>
      </c>
      <c r="AF30" s="23">
        <f t="shared" si="4"/>
        <v>78.7144469525959</v>
      </c>
      <c r="AG30" s="23" t="str">
        <f t="shared" si="5"/>
        <v>无销量广告费为8.38</v>
      </c>
      <c r="AH30">
        <f>SUMIF('库存（子SKU）'!$C:$C,$A30,'库存（子SKU）'!AJ:AJ)</f>
        <v>1</v>
      </c>
      <c r="AI30">
        <f>SUMIF('库存（子SKU）'!$C:$C,$A30,'库存（子SKU）'!AK:AK)</f>
        <v>4</v>
      </c>
      <c r="AJ30">
        <f>SUMIF('库存（子SKU）'!$C:$C,$A30,'库存（子SKU）'!AL:AL)</f>
        <v>26</v>
      </c>
      <c r="AK30">
        <f>SUMIF('库存（子SKU）'!$C:$C,$A30,'库存（子SKU）'!AM:AM)</f>
        <v>13</v>
      </c>
      <c r="AL30" s="23">
        <f t="shared" si="6"/>
        <v>0</v>
      </c>
      <c r="AM30" s="23">
        <f t="shared" si="7"/>
        <v>47</v>
      </c>
      <c r="AN30" s="23">
        <f t="shared" si="8"/>
        <v>0.0384615384615385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56</v>
      </c>
      <c r="AS30" t="str">
        <f t="shared" si="13"/>
        <v>库存为56</v>
      </c>
      <c r="AT30" s="25" t="str">
        <f>IFERROR(时间!$B$4+AS30,"上周无销量")</f>
        <v>上周无销量</v>
      </c>
    </row>
    <row r="31" spans="1:46">
      <c r="A31" t="s">
        <v>507</v>
      </c>
      <c r="B31" s="6">
        <f>SUMIF('库存（子SKU）'!$C:$C,$A31,'库存（子SKU）'!D:D)</f>
        <v>0</v>
      </c>
      <c r="C31" s="6">
        <f>SUMIF('库存（子SKU）'!$C:$C,$A31,'库存（子SKU）'!E:E)</f>
        <v>543</v>
      </c>
      <c r="D31" s="6">
        <f>SUMIF('库存（子SKU）'!$C:$C,$A31,'库存（子SKU）'!F:F)</f>
        <v>0</v>
      </c>
      <c r="E31" s="6">
        <f>SUMIF('库存（子SKU）'!$C:$C,$A31,'库存（子SKU）'!G:G)</f>
        <v>2</v>
      </c>
      <c r="F31" s="7">
        <v>0.0502795698924731</v>
      </c>
      <c r="G31">
        <f>SUMIF('库存（子SKU）'!$C:$C,$A31,'库存（子SKU）'!I:I)</f>
        <v>4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4</v>
      </c>
      <c r="L31">
        <f>SUMIF('库存（子SKU）'!$C:$C,$A31,'库存（子SKU）'!N:N)</f>
        <v>0</v>
      </c>
      <c r="M31">
        <f>SUMIF('库存（子SKU）'!$C:$C,$A31,'库存（子SKU）'!O:O)</f>
        <v>4</v>
      </c>
      <c r="N31">
        <f>SUMIF('库存（子SKU）'!$C:$C,$A31,'库存（子SKU）'!P:P)</f>
        <v>179</v>
      </c>
      <c r="O31">
        <f>SUMIF('库存（子SKU）'!$C:$C,$A31,'库存（子SKU）'!Q:Q)</f>
        <v>3476</v>
      </c>
      <c r="P31">
        <f>SUMIF('库存（子SKU）'!$C:$C,$A31,'库存（子SKU）'!R:R)</f>
        <v>25607</v>
      </c>
      <c r="Q31">
        <f>SUMIF('库存（子SKU）'!$C:$C,$A31,'库存（子SKU）'!S:S)</f>
        <v>41266</v>
      </c>
      <c r="R31">
        <f>SUMIF('库存（子SKU）'!$C:$C,$A31,'库存（子SKU）'!T:T)</f>
        <v>0</v>
      </c>
      <c r="S31">
        <f>SUMIF('库存（子SKU）'!$C:$C,$A31,'库存（子SKU）'!U:U)</f>
        <v>15</v>
      </c>
      <c r="T31">
        <f>SUMIF('库存（子SKU）'!$C:$C,$A31,'库存（子SKU）'!V:V)</f>
        <v>62</v>
      </c>
      <c r="U31">
        <f>SUMIF('库存（子SKU）'!$C:$C,$A31,'库存（子SKU）'!W:W)</f>
        <v>117</v>
      </c>
      <c r="V31" s="23">
        <f t="shared" si="15"/>
        <v>0</v>
      </c>
      <c r="W31" s="23">
        <f t="shared" si="16"/>
        <v>0.00431530494821634</v>
      </c>
      <c r="X31" s="23">
        <f t="shared" si="17"/>
        <v>0.0024212129495841</v>
      </c>
      <c r="Y31" s="23">
        <f t="shared" si="18"/>
        <v>0.0028352638976397</v>
      </c>
      <c r="Z31">
        <f>SUMIF('库存（子SKU）'!$C:$C,$A31,'库存（子SKU）'!AB:AB)</f>
        <v>0</v>
      </c>
      <c r="AA31">
        <f>SUMIF('库存（子SKU）'!$C:$C,$A31,'库存（子SKU）'!AC:AC)</f>
        <v>4</v>
      </c>
      <c r="AB31">
        <f>SUMIF('库存（子SKU）'!$C:$C,$A31,'库存（子SKU）'!AD:AD)</f>
        <v>16.59</v>
      </c>
      <c r="AC31">
        <f>SUMIF('库存（子SKU）'!$C:$C,$A31,'库存（子SKU）'!AE:AE)</f>
        <v>30.62</v>
      </c>
      <c r="AD31" s="23" t="str">
        <f t="shared" si="2"/>
        <v/>
      </c>
      <c r="AE31" s="23">
        <f t="shared" si="3"/>
        <v>0.14651045186659</v>
      </c>
      <c r="AF31" s="23" t="str">
        <f t="shared" si="4"/>
        <v>无销量广告费为16.59</v>
      </c>
      <c r="AG31" s="23">
        <f t="shared" si="5"/>
        <v>304.497433704021</v>
      </c>
      <c r="AH31">
        <f>SUMIF('库存（子SKU）'!$C:$C,$A31,'库存（子SKU）'!AJ:AJ)</f>
        <v>17</v>
      </c>
      <c r="AI31">
        <f>SUMIF('库存（子SKU）'!$C:$C,$A31,'库存（子SKU）'!AK:AK)</f>
        <v>26</v>
      </c>
      <c r="AJ31">
        <f>SUMIF('库存（子SKU）'!$C:$C,$A31,'库存（子SKU）'!AL:AL)</f>
        <v>90</v>
      </c>
      <c r="AK31">
        <f>SUMIF('库存（子SKU）'!$C:$C,$A31,'库存（子SKU）'!AM:AM)</f>
        <v>95</v>
      </c>
      <c r="AL31" s="23">
        <f t="shared" si="6"/>
        <v>0</v>
      </c>
      <c r="AM31" s="23">
        <f t="shared" si="7"/>
        <v>20.8846153846154</v>
      </c>
      <c r="AN31" s="23">
        <f t="shared" si="8"/>
        <v>0</v>
      </c>
      <c r="AO31" s="23">
        <f t="shared" si="9"/>
        <v>0.0210526315789474</v>
      </c>
      <c r="AP31" s="8">
        <f t="shared" si="10"/>
        <v>0</v>
      </c>
      <c r="AQ31" s="8">
        <f t="shared" si="11"/>
        <v>0</v>
      </c>
      <c r="AR31" s="8">
        <f t="shared" si="12"/>
        <v>4</v>
      </c>
      <c r="AS31" t="str">
        <f t="shared" si="13"/>
        <v>库存为4</v>
      </c>
      <c r="AT31" s="25" t="str">
        <f>IFERROR(时间!$B$4+AS31,"上周无销量")</f>
        <v>上周无销量</v>
      </c>
    </row>
    <row r="32" spans="1:46">
      <c r="A32" t="s">
        <v>565</v>
      </c>
      <c r="B32" s="6">
        <f>SUMIF('库存（子SKU）'!$C:$C,$A32,'库存（子SKU）'!D:D)</f>
        <v>0</v>
      </c>
      <c r="C32" s="6">
        <f>SUMIF('库存（子SKU）'!$C:$C,$A32,'库存（子SKU）'!E:E)</f>
        <v>6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>
        <v>0</v>
      </c>
      <c r="G32">
        <f>SUMIF('库存（子SKU）'!$C:$C,$A32,'库存（子SKU）'!I:I)</f>
        <v>8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</v>
      </c>
      <c r="L32">
        <f>SUMIF('库存（子SKU）'!$C:$C,$A32,'库存（子SKU）'!N:N)</f>
        <v>0</v>
      </c>
      <c r="M32">
        <f>SUMIF('库存（子SKU）'!$C:$C,$A32,'库存（子SKU）'!O:O)</f>
        <v>8</v>
      </c>
      <c r="N32">
        <f>SUMIF('库存（子SKU）'!$C:$C,$A32,'库存（子SKU）'!P:P)</f>
        <v>12</v>
      </c>
      <c r="O32">
        <f>SUMIF('库存（子SKU）'!$C:$C,$A32,'库存（子SKU）'!Q:Q)</f>
        <v>1460</v>
      </c>
      <c r="P32">
        <f>SUMIF('库存（子SKU）'!$C:$C,$A32,'库存（子SKU）'!R:R)</f>
        <v>1795</v>
      </c>
      <c r="Q32">
        <f>SUMIF('库存（子SKU）'!$C:$C,$A32,'库存（子SKU）'!S:S)</f>
        <v>1881</v>
      </c>
      <c r="R32">
        <f>SUMIF('库存（子SKU）'!$C:$C,$A32,'库存（子SKU）'!T:T)</f>
        <v>0</v>
      </c>
      <c r="S32">
        <f>SUMIF('库存（子SKU）'!$C:$C,$A32,'库存（子SKU）'!U:U)</f>
        <v>5</v>
      </c>
      <c r="T32">
        <f>SUMIF('库存（子SKU）'!$C:$C,$A32,'库存（子SKU）'!V:V)</f>
        <v>4</v>
      </c>
      <c r="U32">
        <f>SUMIF('库存（子SKU）'!$C:$C,$A32,'库存（子SKU）'!W:W)</f>
        <v>16</v>
      </c>
      <c r="V32" s="23">
        <f t="shared" si="15"/>
        <v>0</v>
      </c>
      <c r="W32" s="23">
        <f t="shared" si="16"/>
        <v>0.00342465753424658</v>
      </c>
      <c r="X32" s="23">
        <f t="shared" si="17"/>
        <v>0.00222841225626741</v>
      </c>
      <c r="Y32" s="23">
        <f t="shared" si="18"/>
        <v>0.00850611376927166</v>
      </c>
      <c r="Z32">
        <f>SUMIF('库存（子SKU）'!$C:$C,$A32,'库存（子SKU）'!AB:AB)</f>
        <v>0</v>
      </c>
      <c r="AA32">
        <f>SUMIF('库存（子SKU）'!$C:$C,$A32,'库存（子SKU）'!AC:AC)</f>
        <v>1.77</v>
      </c>
      <c r="AB32">
        <f>SUMIF('库存（子SKU）'!$C:$C,$A32,'库存（子SKU）'!AD:AD)</f>
        <v>0.96</v>
      </c>
      <c r="AC32">
        <f>SUMIF('库存（子SKU）'!$C:$C,$A32,'库存（子SKU）'!AE:AE)</f>
        <v>5.59</v>
      </c>
      <c r="AD32" s="23" t="str">
        <f t="shared" si="2"/>
        <v/>
      </c>
      <c r="AE32" s="23" t="str">
        <f t="shared" si="3"/>
        <v/>
      </c>
      <c r="AF32" s="23" t="str">
        <f t="shared" si="4"/>
        <v>无销量广告费为0.96</v>
      </c>
      <c r="AG32" s="23" t="str">
        <f t="shared" si="5"/>
        <v>无销量广告费为5.59</v>
      </c>
      <c r="AH32">
        <f>SUMIF('库存（子SKU）'!$C:$C,$A32,'库存（子SKU）'!AJ:AJ)</f>
        <v>8</v>
      </c>
      <c r="AI32">
        <f>SUMIF('库存（子SKU）'!$C:$C,$A32,'库存（子SKU）'!AK:AK)</f>
        <v>15</v>
      </c>
      <c r="AJ32">
        <f>SUMIF('库存（子SKU）'!$C:$C,$A32,'库存（子SKU）'!AL:AL)</f>
        <v>17</v>
      </c>
      <c r="AK32">
        <f>SUMIF('库存（子SKU）'!$C:$C,$A32,'库存（子SKU）'!AM:AM)</f>
        <v>9</v>
      </c>
      <c r="AL32" s="23">
        <f t="shared" si="6"/>
        <v>0</v>
      </c>
      <c r="AM32" s="23">
        <f t="shared" si="7"/>
        <v>0.4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8</v>
      </c>
      <c r="AS32" t="str">
        <f t="shared" si="13"/>
        <v>库存为8</v>
      </c>
      <c r="AT32" s="25" t="str">
        <f>IFERROR(时间!$B$4+AS32,"上周无销量")</f>
        <v>上周无销量</v>
      </c>
    </row>
    <row r="33" spans="1:46">
      <c r="A33" t="s">
        <v>581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5" t="str">
        <f>IFERROR(时间!$B$4+AS33,"上周无销量")</f>
        <v>上周无销量</v>
      </c>
    </row>
    <row r="34" spans="1:46">
      <c r="A34" t="s">
        <v>584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3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</v>
      </c>
      <c r="L34">
        <f>SUMIF('库存（子SKU）'!$C:$C,$A34,'库存（子SKU）'!N:N)</f>
        <v>0</v>
      </c>
      <c r="M34">
        <f>SUMIF('库存（子SKU）'!$C:$C,$A34,'库存（子SKU）'!O:O)</f>
        <v>2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13</v>
      </c>
      <c r="AI34">
        <f>SUMIF('库存（子SKU）'!$C:$C,$A34,'库存（子SKU）'!AK:AK)</f>
        <v>9</v>
      </c>
      <c r="AJ34">
        <f>SUMIF('库存（子SKU）'!$C:$C,$A34,'库存（子SKU）'!AL:AL)</f>
        <v>7</v>
      </c>
      <c r="AK34">
        <f>SUMIF('库存（子SKU）'!$C:$C,$A34,'库存（子SKU）'!AM:AM)</f>
        <v>11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3</v>
      </c>
      <c r="AS34" t="str">
        <f t="shared" si="13"/>
        <v>库存为3</v>
      </c>
      <c r="AT34" s="25" t="str">
        <f>IFERROR(时间!$B$4+AS34,"上周无销量")</f>
        <v>上周无销量</v>
      </c>
    </row>
    <row r="35" spans="1:46">
      <c r="A35" t="s">
        <v>591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1</v>
      </c>
      <c r="F35" s="7">
        <v>5.63</v>
      </c>
      <c r="G35">
        <f>SUMIF('库存（子SKU）'!$C:$C,$A35,'库存（子SKU）'!I:I)</f>
        <v>14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14</v>
      </c>
      <c r="L35">
        <f>SUMIF('库存（子SKU）'!$C:$C,$A35,'库存（子SKU）'!N:N)</f>
        <v>0</v>
      </c>
      <c r="M35">
        <f>SUMIF('库存（子SKU）'!$C:$C,$A35,'库存（子SKU）'!O:O)</f>
        <v>14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>
        <f t="shared" si="5"/>
        <v>0</v>
      </c>
      <c r="AH35">
        <f>SUMIF('库存（子SKU）'!$C:$C,$A35,'库存（子SKU）'!AJ:AJ)</f>
        <v>39</v>
      </c>
      <c r="AI35">
        <f>SUMIF('库存（子SKU）'!$C:$C,$A35,'库存（子SKU）'!AK:AK)</f>
        <v>30</v>
      </c>
      <c r="AJ35">
        <f>SUMIF('库存（子SKU）'!$C:$C,$A35,'库存（子SKU）'!AL:AL)</f>
        <v>26</v>
      </c>
      <c r="AK35">
        <f>SUMIF('库存（子SKU）'!$C:$C,$A35,'库存（子SKU）'!AM:AM)</f>
        <v>20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0.05</v>
      </c>
      <c r="AP35" s="8">
        <f t="shared" si="10"/>
        <v>0</v>
      </c>
      <c r="AQ35" s="8">
        <f t="shared" si="11"/>
        <v>0</v>
      </c>
      <c r="AR35" s="8">
        <f t="shared" si="12"/>
        <v>14</v>
      </c>
      <c r="AS35" t="str">
        <f t="shared" si="13"/>
        <v>库存为14</v>
      </c>
      <c r="AT35" s="25" t="str">
        <f>IFERROR(时间!$B$4+AS35,"上周无销量")</f>
        <v>上周无销量</v>
      </c>
    </row>
    <row r="36" spans="1:46">
      <c r="A36" t="s">
        <v>614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3</v>
      </c>
      <c r="L36">
        <f>SUMIF('库存（子SKU）'!$C:$C,$A36,'库存（子SKU）'!N:N)</f>
        <v>0</v>
      </c>
      <c r="M36">
        <f>SUMIF('库存（子SKU）'!$C:$C,$A36,'库存（子SKU）'!O:O)</f>
        <v>3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15</v>
      </c>
      <c r="AI36">
        <f>SUMIF('库存（子SKU）'!$C:$C,$A36,'库存（子SKU）'!AK:AK)</f>
        <v>7</v>
      </c>
      <c r="AJ36">
        <f>SUMIF('库存（子SKU）'!$C:$C,$A36,'库存（子SKU）'!AL:AL)</f>
        <v>5</v>
      </c>
      <c r="AK36">
        <f>SUMIF('库存（子SKU）'!$C:$C,$A36,'库存（子SKU）'!AM:AM)</f>
        <v>7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3</v>
      </c>
      <c r="AS36" t="str">
        <f t="shared" si="13"/>
        <v>库存为3</v>
      </c>
      <c r="AT36" s="25" t="str">
        <f>IFERROR(时间!$B$4+AS36,"上周无销量")</f>
        <v>上周无销量</v>
      </c>
    </row>
    <row r="37" spans="1:46">
      <c r="A37" t="s">
        <v>621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7</v>
      </c>
      <c r="L37">
        <f>SUMIF('库存（子SKU）'!$C:$C,$A37,'库存（子SKU）'!N:N)</f>
        <v>0</v>
      </c>
      <c r="M37">
        <f>SUMIF('库存（子SKU）'!$C:$C,$A37,'库存（子SKU）'!O:O)</f>
        <v>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33</v>
      </c>
      <c r="AI37">
        <f>SUMIF('库存（子SKU）'!$C:$C,$A37,'库存（子SKU）'!AK:AK)</f>
        <v>23</v>
      </c>
      <c r="AJ37">
        <f>SUMIF('库存（子SKU）'!$C:$C,$A37,'库存（子SKU）'!AL:AL)</f>
        <v>30</v>
      </c>
      <c r="AK37">
        <f>SUMIF('库存（子SKU）'!$C:$C,$A37,'库存（子SKU）'!AM:AM)</f>
        <v>20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7</v>
      </c>
      <c r="AS37" t="str">
        <f t="shared" si="13"/>
        <v>库存为7</v>
      </c>
      <c r="AT37" s="25" t="str">
        <f>IFERROR(时间!$B$4+AS37,"上周无销量")</f>
        <v>上周无销量</v>
      </c>
    </row>
    <row r="38" spans="1:46">
      <c r="A38" t="s">
        <v>638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>
        <v>0</v>
      </c>
      <c r="G38">
        <f>SUMIF('库存（子SKU）'!$C:$C,$A38,'库存（子SKU）'!I:I)</f>
        <v>4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4</v>
      </c>
      <c r="L38">
        <f>SUMIF('库存（子SKU）'!$C:$C,$A38,'库存（子SKU）'!N:N)</f>
        <v>0</v>
      </c>
      <c r="M38">
        <f>SUMIF('库存（子SKU）'!$C:$C,$A38,'库存（子SKU）'!O:O)</f>
        <v>4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12</v>
      </c>
      <c r="AI38">
        <f>SUMIF('库存（子SKU）'!$C:$C,$A38,'库存（子SKU）'!AK:AK)</f>
        <v>3</v>
      </c>
      <c r="AJ38">
        <f>SUMIF('库存（子SKU）'!$C:$C,$A38,'库存（子SKU）'!AL:AL)</f>
        <v>3</v>
      </c>
      <c r="AK38">
        <f>SUMIF('库存（子SKU）'!$C:$C,$A38,'库存（子SKU）'!AM:AM)</f>
        <v>3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4</v>
      </c>
      <c r="AS38" t="str">
        <f t="shared" si="13"/>
        <v>库存为4</v>
      </c>
      <c r="AT38" s="25" t="str">
        <f>IFERROR(时间!$B$4+AS38,"上周无销量")</f>
        <v>上周无销量</v>
      </c>
    </row>
    <row r="39" spans="1:46">
      <c r="A39" t="s">
        <v>645</v>
      </c>
      <c r="B39" s="6">
        <f>SUMIF('库存（子SKU）'!$C:$C,$A39,'库存（子SKU）'!D:D)</f>
        <v>0</v>
      </c>
      <c r="C39" s="6">
        <f>SUMIF('库存（子SKU）'!$C:$C,$A39,'库存（子SKU）'!E:E)</f>
        <v>25</v>
      </c>
      <c r="D39" s="6">
        <f>SUMIF('库存（子SKU）'!$C:$C,$A39,'库存（子SKU）'!F:F)</f>
        <v>1</v>
      </c>
      <c r="E39" s="6">
        <f>SUMIF('库存（子SKU）'!$C:$C,$A39,'库存（子SKU）'!G:G)</f>
        <v>1</v>
      </c>
      <c r="F39" s="7">
        <v>1.17272727272727</v>
      </c>
      <c r="G39">
        <f>SUMIF('库存（子SKU）'!$C:$C,$A39,'库存（子SKU）'!I:I)</f>
        <v>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</v>
      </c>
      <c r="L39">
        <f>SUMIF('库存（子SKU）'!$C:$C,$A39,'库存（子SKU）'!N:N)</f>
        <v>0</v>
      </c>
      <c r="M39">
        <f>SUMIF('库存（子SKU）'!$C:$C,$A39,'库存（子SKU）'!O:O)</f>
        <v>1</v>
      </c>
      <c r="N39">
        <f>SUMIF('库存（子SKU）'!$C:$C,$A39,'库存（子SKU）'!P:P)</f>
        <v>150</v>
      </c>
      <c r="O39">
        <f>SUMIF('库存（子SKU）'!$C:$C,$A39,'库存（子SKU）'!Q:Q)</f>
        <v>2472</v>
      </c>
      <c r="P39">
        <f>SUMIF('库存（子SKU）'!$C:$C,$A39,'库存（子SKU）'!R:R)</f>
        <v>10764</v>
      </c>
      <c r="Q39">
        <f>SUMIF('库存（子SKU）'!$C:$C,$A39,'库存（子SKU）'!S:S)</f>
        <v>9583</v>
      </c>
      <c r="R39">
        <f>SUMIF('库存（子SKU）'!$C:$C,$A39,'库存（子SKU）'!T:T)</f>
        <v>0</v>
      </c>
      <c r="S39">
        <f>SUMIF('库存（子SKU）'!$C:$C,$A39,'库存（子SKU）'!U:U)</f>
        <v>2</v>
      </c>
      <c r="T39">
        <f>SUMIF('库存（子SKU）'!$C:$C,$A39,'库存（子SKU）'!V:V)</f>
        <v>17</v>
      </c>
      <c r="U39">
        <f>SUMIF('库存（子SKU）'!$C:$C,$A39,'库存（子SKU）'!W:W)</f>
        <v>17</v>
      </c>
      <c r="V39" s="23">
        <f t="shared" si="15"/>
        <v>0</v>
      </c>
      <c r="W39" s="23">
        <f t="shared" si="16"/>
        <v>0.000809061488673139</v>
      </c>
      <c r="X39" s="23">
        <f t="shared" si="17"/>
        <v>0.00157933853586028</v>
      </c>
      <c r="Y39" s="23">
        <f t="shared" si="18"/>
        <v>0.00177397474694772</v>
      </c>
      <c r="Z39">
        <f>SUMIF('库存（子SKU）'!$C:$C,$A39,'库存（子SKU）'!AB:AB)</f>
        <v>0</v>
      </c>
      <c r="AA39">
        <f>SUMIF('库存（子SKU）'!$C:$C,$A39,'库存（子SKU）'!AC:AC)</f>
        <v>0.62</v>
      </c>
      <c r="AB39">
        <f>SUMIF('库存（子SKU）'!$C:$C,$A39,'库存（子SKU）'!AD:AD)</f>
        <v>5.09</v>
      </c>
      <c r="AC39">
        <f>SUMIF('库存（子SKU）'!$C:$C,$A39,'库存（子SKU）'!AE:AE)</f>
        <v>5.52</v>
      </c>
      <c r="AD39" s="23" t="str">
        <f t="shared" si="2"/>
        <v/>
      </c>
      <c r="AE39" s="23">
        <f t="shared" si="3"/>
        <v>0.0211472868217055</v>
      </c>
      <c r="AF39" s="23">
        <f t="shared" si="4"/>
        <v>4.34031007751939</v>
      </c>
      <c r="AG39" s="23">
        <f t="shared" si="5"/>
        <v>4.70697674418606</v>
      </c>
      <c r="AH39">
        <f>SUMIF('库存（子SKU）'!$C:$C,$A39,'库存（子SKU）'!AJ:AJ)</f>
        <v>8</v>
      </c>
      <c r="AI39">
        <f>SUMIF('库存（子SKU）'!$C:$C,$A39,'库存（子SKU）'!AK:AK)</f>
        <v>20</v>
      </c>
      <c r="AJ39">
        <f>SUMIF('库存（子SKU）'!$C:$C,$A39,'库存（子SKU）'!AL:AL)</f>
        <v>42</v>
      </c>
      <c r="AK39">
        <f>SUMIF('库存（子SKU）'!$C:$C,$A39,'库存（子SKU）'!AM:AM)</f>
        <v>19</v>
      </c>
      <c r="AL39" s="23">
        <f t="shared" si="6"/>
        <v>0</v>
      </c>
      <c r="AM39" s="23">
        <f t="shared" si="7"/>
        <v>1.25</v>
      </c>
      <c r="AN39" s="23">
        <f t="shared" si="8"/>
        <v>0.0238095238095238</v>
      </c>
      <c r="AO39" s="23">
        <f t="shared" si="9"/>
        <v>0.0526315789473684</v>
      </c>
      <c r="AP39" s="8">
        <f t="shared" si="10"/>
        <v>0</v>
      </c>
      <c r="AQ39" s="8">
        <f t="shared" si="11"/>
        <v>0</v>
      </c>
      <c r="AR39" s="8">
        <f t="shared" si="12"/>
        <v>1</v>
      </c>
      <c r="AS39" t="str">
        <f t="shared" si="13"/>
        <v>库存为1</v>
      </c>
      <c r="AT39" s="25" t="str">
        <f>IFERROR(时间!$B$4+AS39,"上周无销量")</f>
        <v>上周无销量</v>
      </c>
    </row>
    <row r="40" spans="1:46">
      <c r="A40" t="s">
        <v>676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5</v>
      </c>
      <c r="AI40">
        <f>SUMIF('库存（子SKU）'!$C:$C,$A40,'库存（子SKU）'!AK:AK)</f>
        <v>5</v>
      </c>
      <c r="AJ40">
        <f>SUMIF('库存（子SKU）'!$C:$C,$A40,'库存（子SKU）'!AL:AL)</f>
        <v>3</v>
      </c>
      <c r="AK40">
        <f>SUMIF('库存（子SKU）'!$C:$C,$A40,'库存（子SKU）'!AM:AM)</f>
        <v>0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1</v>
      </c>
      <c r="AS40" t="str">
        <f t="shared" si="13"/>
        <v>库存为1</v>
      </c>
      <c r="AT40" s="25" t="str">
        <f>IFERROR(时间!$B$4+AS40,"上周无销量")</f>
        <v>上周无销量</v>
      </c>
    </row>
    <row r="41" spans="1:46">
      <c r="A41" t="s">
        <v>679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8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8</v>
      </c>
      <c r="L41">
        <f>SUMIF('库存（子SKU）'!$C:$C,$A41,'库存（子SKU）'!N:N)</f>
        <v>0</v>
      </c>
      <c r="M41">
        <f>SUMIF('库存（子SKU）'!$C:$C,$A41,'库存（子SKU）'!O:O)</f>
        <v>8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37</v>
      </c>
      <c r="AI41">
        <f>SUMIF('库存（子SKU）'!$C:$C,$A41,'库存（子SKU）'!AK:AK)</f>
        <v>22</v>
      </c>
      <c r="AJ41">
        <f>SUMIF('库存（子SKU）'!$C:$C,$A41,'库存（子SKU）'!AL:AL)</f>
        <v>25</v>
      </c>
      <c r="AK41">
        <f>SUMIF('库存（子SKU）'!$C:$C,$A41,'库存（子SKU）'!AM:AM)</f>
        <v>14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8</v>
      </c>
      <c r="AS41" t="str">
        <f t="shared" si="13"/>
        <v>库存为8</v>
      </c>
      <c r="AT41" s="25" t="str">
        <f>IFERROR(时间!$B$4+AS41,"上周无销量")</f>
        <v>上周无销量</v>
      </c>
    </row>
    <row r="42" spans="1:46">
      <c r="A42" t="s">
        <v>696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1</v>
      </c>
      <c r="E42" s="6">
        <f>SUMIF('库存（子SKU）'!$C:$C,$A42,'库存（子SKU）'!G:G)</f>
        <v>0</v>
      </c>
      <c r="F42" s="7">
        <v>1.7375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27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57</v>
      </c>
      <c r="AI42">
        <f>SUMIF('库存（子SKU）'!$C:$C,$A42,'库存（子SKU）'!AK:AK)</f>
        <v>40</v>
      </c>
      <c r="AJ42">
        <f>SUMIF('库存（子SKU）'!$C:$C,$A42,'库存（子SKU）'!AL:AL)</f>
        <v>37</v>
      </c>
      <c r="AK42">
        <f>SUMIF('库存（子SKU）'!$C:$C,$A42,'库存（子SKU）'!AM:AM)</f>
        <v>23</v>
      </c>
      <c r="AL42" s="23">
        <f t="shared" si="6"/>
        <v>0</v>
      </c>
      <c r="AM42" s="23">
        <f t="shared" si="7"/>
        <v>0</v>
      </c>
      <c r="AN42" s="23">
        <f t="shared" si="8"/>
        <v>0.027027027027027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27</v>
      </c>
      <c r="AS42" t="str">
        <f t="shared" si="13"/>
        <v>库存为27</v>
      </c>
      <c r="AT42" s="25" t="str">
        <f>IFERROR(时间!$B$4+AS42,"上周无销量")</f>
        <v>上周无销量</v>
      </c>
    </row>
    <row r="43" spans="1:46">
      <c r="A43" t="s">
        <v>727</v>
      </c>
      <c r="B43" s="6">
        <f>SUMIF('库存（子SKU）'!$C:$C,$A43,'库存（子SKU）'!D:D)</f>
        <v>1</v>
      </c>
      <c r="C43" s="6">
        <f>SUMIF('库存（子SKU）'!$C:$C,$A43,'库存（子SKU）'!E:E)</f>
        <v>135</v>
      </c>
      <c r="D43" s="6">
        <f>SUMIF('库存（子SKU）'!$C:$C,$A43,'库存（子SKU）'!F:F)</f>
        <v>2</v>
      </c>
      <c r="E43" s="6">
        <f>SUMIF('库存（子SKU）'!$C:$C,$A43,'库存（子SKU）'!G:G)</f>
        <v>4</v>
      </c>
      <c r="F43" s="7">
        <v>0.735114503816794</v>
      </c>
      <c r="G43">
        <f>SUMIF('库存（子SKU）'!$C:$C,$A43,'库存（子SKU）'!I:I)</f>
        <v>156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156</v>
      </c>
      <c r="L43">
        <f>SUMIF('库存（子SKU）'!$C:$C,$A43,'库存（子SKU）'!N:N)</f>
        <v>1</v>
      </c>
      <c r="M43">
        <f>SUMIF('库存（子SKU）'!$C:$C,$A43,'库存（子SKU）'!O:O)</f>
        <v>152</v>
      </c>
      <c r="N43">
        <f>SUMIF('库存（子SKU）'!$C:$C,$A43,'库存（子SKU）'!P:P)</f>
        <v>31</v>
      </c>
      <c r="O43">
        <f>SUMIF('库存（子SKU）'!$C:$C,$A43,'库存（子SKU）'!Q:Q)</f>
        <v>383</v>
      </c>
      <c r="P43">
        <f>SUMIF('库存（子SKU）'!$C:$C,$A43,'库存（子SKU）'!R:R)</f>
        <v>3670</v>
      </c>
      <c r="Q43">
        <f>SUMIF('库存（子SKU）'!$C:$C,$A43,'库存（子SKU）'!S:S)</f>
        <v>4537</v>
      </c>
      <c r="R43">
        <f>SUMIF('库存（子SKU）'!$C:$C,$A43,'库存（子SKU）'!T:T)</f>
        <v>0</v>
      </c>
      <c r="S43">
        <f>SUMIF('库存（子SKU）'!$C:$C,$A43,'库存（子SKU）'!U:U)</f>
        <v>2</v>
      </c>
      <c r="T43">
        <f>SUMIF('库存（子SKU）'!$C:$C,$A43,'库存（子SKU）'!V:V)</f>
        <v>22</v>
      </c>
      <c r="U43">
        <f>SUMIF('库存（子SKU）'!$C:$C,$A43,'库存（子SKU）'!W:W)</f>
        <v>26</v>
      </c>
      <c r="V43" s="23">
        <f t="shared" si="15"/>
        <v>0</v>
      </c>
      <c r="W43" s="23">
        <f t="shared" si="16"/>
        <v>0.00522193211488251</v>
      </c>
      <c r="X43" s="23">
        <f t="shared" si="17"/>
        <v>0.00599455040871935</v>
      </c>
      <c r="Y43" s="23">
        <f t="shared" si="18"/>
        <v>0.00573065902578797</v>
      </c>
      <c r="Z43">
        <f>SUMIF('库存（子SKU）'!$C:$C,$A43,'库存（子SKU）'!AB:AB)</f>
        <v>0</v>
      </c>
      <c r="AA43">
        <f>SUMIF('库存（子SKU）'!$C:$C,$A43,'库存（子SKU）'!AC:AC)</f>
        <v>0.48</v>
      </c>
      <c r="AB43">
        <f>SUMIF('库存（子SKU）'!$C:$C,$A43,'库存（子SKU）'!AD:AD)</f>
        <v>7.73</v>
      </c>
      <c r="AC43">
        <f>SUMIF('库存（子SKU）'!$C:$C,$A43,'库存（子SKU）'!AE:AE)</f>
        <v>10.79</v>
      </c>
      <c r="AD43" s="23">
        <f t="shared" si="2"/>
        <v>0</v>
      </c>
      <c r="AE43" s="23">
        <f t="shared" si="3"/>
        <v>0.00483673704857505</v>
      </c>
      <c r="AF43" s="23">
        <f t="shared" si="4"/>
        <v>5.25768431983385</v>
      </c>
      <c r="AG43" s="23">
        <f t="shared" si="5"/>
        <v>3.6694963655244</v>
      </c>
      <c r="AH43">
        <f>SUMIF('库存（子SKU）'!$C:$C,$A43,'库存（子SKU）'!AJ:AJ)</f>
        <v>61</v>
      </c>
      <c r="AI43">
        <f>SUMIF('库存（子SKU）'!$C:$C,$A43,'库存（子SKU）'!AK:AK)</f>
        <v>84</v>
      </c>
      <c r="AJ43">
        <f>SUMIF('库存（子SKU）'!$C:$C,$A43,'库存（子SKU）'!AL:AL)</f>
        <v>128</v>
      </c>
      <c r="AK43">
        <f>SUMIF('库存（子SKU）'!$C:$C,$A43,'库存（子SKU）'!AM:AM)</f>
        <v>76</v>
      </c>
      <c r="AL43" s="23">
        <f t="shared" si="6"/>
        <v>0.0163934426229508</v>
      </c>
      <c r="AM43" s="23">
        <f t="shared" si="7"/>
        <v>1.60714285714286</v>
      </c>
      <c r="AN43" s="23">
        <f t="shared" si="8"/>
        <v>0.015625</v>
      </c>
      <c r="AO43" s="23">
        <f t="shared" si="9"/>
        <v>0.0526315789473684</v>
      </c>
      <c r="AP43" s="8">
        <f t="shared" si="10"/>
        <v>0.142857142857143</v>
      </c>
      <c r="AQ43" s="8">
        <f t="shared" si="11"/>
        <v>8.57142857142857</v>
      </c>
      <c r="AR43" s="8">
        <f t="shared" si="12"/>
        <v>147.428571428571</v>
      </c>
      <c r="AS43">
        <f t="shared" si="13"/>
        <v>1092</v>
      </c>
      <c r="AT43" s="25">
        <f>IFERROR(时间!$B$4+AS43,"上周无销量")</f>
        <v>44431</v>
      </c>
    </row>
    <row r="44" spans="1:46">
      <c r="A44" t="s">
        <v>797</v>
      </c>
      <c r="B44" s="6">
        <f>SUMIF('库存（子SKU）'!$C:$C,$A44,'库存（子SKU）'!D:D)</f>
        <v>0</v>
      </c>
      <c r="C44" s="6">
        <f>SUMIF('库存（子SKU）'!$C:$C,$A44,'库存（子SKU）'!E:E)</f>
        <v>14</v>
      </c>
      <c r="D44" s="6">
        <f>SUMIF('库存（子SKU）'!$C:$C,$A44,'库存（子SKU）'!F:F)</f>
        <v>1</v>
      </c>
      <c r="E44" s="6">
        <f>SUMIF('库存（子SKU）'!$C:$C,$A44,'库存（子SKU）'!G:G)</f>
        <v>1</v>
      </c>
      <c r="F44" s="7">
        <v>2.15</v>
      </c>
      <c r="G44">
        <f>SUMIF('库存（子SKU）'!$C:$C,$A44,'库存（子SKU）'!I:I)</f>
        <v>15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15</v>
      </c>
      <c r="L44">
        <f>SUMIF('库存（子SKU）'!$C:$C,$A44,'库存（子SKU）'!N:N)</f>
        <v>0</v>
      </c>
      <c r="M44">
        <f>SUMIF('库存（子SKU）'!$C:$C,$A44,'库存（子SKU）'!O:O)</f>
        <v>14</v>
      </c>
      <c r="N44">
        <f>SUMIF('库存（子SKU）'!$C:$C,$A44,'库存（子SKU）'!P:P)</f>
        <v>1153</v>
      </c>
      <c r="O44">
        <f>SUMIF('库存（子SKU）'!$C:$C,$A44,'库存（子SKU）'!Q:Q)</f>
        <v>3408</v>
      </c>
      <c r="P44">
        <f>SUMIF('库存（子SKU）'!$C:$C,$A44,'库存（子SKU）'!R:R)</f>
        <v>26936</v>
      </c>
      <c r="Q44">
        <f>SUMIF('库存（子SKU）'!$C:$C,$A44,'库存（子SKU）'!S:S)</f>
        <v>4598</v>
      </c>
      <c r="R44">
        <f>SUMIF('库存（子SKU）'!$C:$C,$A44,'库存（子SKU）'!T:T)</f>
        <v>0</v>
      </c>
      <c r="S44">
        <f>SUMIF('库存（子SKU）'!$C:$C,$A44,'库存（子SKU）'!U:U)</f>
        <v>13</v>
      </c>
      <c r="T44">
        <f>SUMIF('库存（子SKU）'!$C:$C,$A44,'库存（子SKU）'!V:V)</f>
        <v>59</v>
      </c>
      <c r="U44">
        <f>SUMIF('库存（子SKU）'!$C:$C,$A44,'库存（子SKU）'!W:W)</f>
        <v>18</v>
      </c>
      <c r="V44" s="23">
        <f t="shared" si="15"/>
        <v>0</v>
      </c>
      <c r="W44" s="23">
        <f t="shared" si="16"/>
        <v>0.00381455399061033</v>
      </c>
      <c r="X44" s="23">
        <f t="shared" si="17"/>
        <v>0.00219037719037719</v>
      </c>
      <c r="Y44" s="23">
        <f t="shared" si="18"/>
        <v>0.0039147455415398</v>
      </c>
      <c r="Z44">
        <f>SUMIF('库存（子SKU）'!$C:$C,$A44,'库存（子SKU）'!AB:AB)</f>
        <v>0</v>
      </c>
      <c r="AA44">
        <f>SUMIF('库存（子SKU）'!$C:$C,$A44,'库存（子SKU）'!AC:AC)</f>
        <v>2.2</v>
      </c>
      <c r="AB44">
        <f>SUMIF('库存（子SKU）'!$C:$C,$A44,'库存（子SKU）'!AD:AD)</f>
        <v>17.41</v>
      </c>
      <c r="AC44">
        <f>SUMIF('库存（子SKU）'!$C:$C,$A44,'库存（子SKU）'!AE:AE)</f>
        <v>4.3</v>
      </c>
      <c r="AD44" s="23" t="str">
        <f t="shared" si="2"/>
        <v/>
      </c>
      <c r="AE44" s="23">
        <f t="shared" si="3"/>
        <v>0.0730897009966777</v>
      </c>
      <c r="AF44" s="23">
        <f t="shared" si="4"/>
        <v>8.09767441860465</v>
      </c>
      <c r="AG44" s="23">
        <f t="shared" si="5"/>
        <v>2</v>
      </c>
      <c r="AH44">
        <f>SUMIF('库存（子SKU）'!$C:$C,$A44,'库存（子SKU）'!AJ:AJ)</f>
        <v>23</v>
      </c>
      <c r="AI44">
        <f>SUMIF('库存（子SKU）'!$C:$C,$A44,'库存（子SKU）'!AK:AK)</f>
        <v>38</v>
      </c>
      <c r="AJ44">
        <f>SUMIF('库存（子SKU）'!$C:$C,$A44,'库存（子SKU）'!AL:AL)</f>
        <v>77</v>
      </c>
      <c r="AK44">
        <f>SUMIF('库存（子SKU）'!$C:$C,$A44,'库存（子SKU）'!AM:AM)</f>
        <v>27</v>
      </c>
      <c r="AL44" s="23">
        <f t="shared" si="6"/>
        <v>0</v>
      </c>
      <c r="AM44" s="23">
        <f t="shared" si="7"/>
        <v>0.368421052631579</v>
      </c>
      <c r="AN44" s="23">
        <f t="shared" si="8"/>
        <v>0.012987012987013</v>
      </c>
      <c r="AO44" s="23">
        <f t="shared" si="9"/>
        <v>0.037037037037037</v>
      </c>
      <c r="AP44" s="8">
        <f t="shared" si="10"/>
        <v>0</v>
      </c>
      <c r="AQ44" s="8">
        <f t="shared" si="11"/>
        <v>0</v>
      </c>
      <c r="AR44" s="8">
        <f t="shared" si="12"/>
        <v>15</v>
      </c>
      <c r="AS44" t="str">
        <f t="shared" si="13"/>
        <v>库存为15</v>
      </c>
      <c r="AT44" s="25" t="str">
        <f>IFERROR(时间!$B$4+AS44,"上周无销量")</f>
        <v>上周无销量</v>
      </c>
    </row>
    <row r="45" spans="1:46">
      <c r="A45" t="s">
        <v>826</v>
      </c>
      <c r="B45" s="6">
        <f>SUMIF('库存（子SKU）'!$C:$C,$A45,'库存（子SKU）'!D:D)</f>
        <v>0</v>
      </c>
      <c r="C45" s="6">
        <f>SUMIF('库存（子SKU）'!$C:$C,$A45,'库存（子SKU）'!E:E)</f>
        <v>126</v>
      </c>
      <c r="D45" s="6">
        <f>SUMIF('库存（子SKU）'!$C:$C,$A45,'库存（子SKU）'!F:F)</f>
        <v>0</v>
      </c>
      <c r="E45" s="6">
        <f>SUMIF('库存（子SKU）'!$C:$C,$A45,'库存（子SKU）'!G:G)</f>
        <v>2</v>
      </c>
      <c r="F45" s="7">
        <v>0.245263157894737</v>
      </c>
      <c r="G45">
        <f>SUMIF('库存（子SKU）'!$C:$C,$A45,'库存（子SKU）'!I:I)</f>
        <v>41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41</v>
      </c>
      <c r="L45">
        <f>SUMIF('库存（子SKU）'!$C:$C,$A45,'库存（子SKU）'!N:N)</f>
        <v>0</v>
      </c>
      <c r="M45">
        <f>SUMIF('库存（子SKU）'!$C:$C,$A45,'库存（子SKU）'!O:O)</f>
        <v>10</v>
      </c>
      <c r="N45">
        <f>SUMIF('库存（子SKU）'!$C:$C,$A45,'库存（子SKU）'!P:P)</f>
        <v>934</v>
      </c>
      <c r="O45">
        <f>SUMIF('库存（子SKU）'!$C:$C,$A45,'库存（子SKU）'!Q:Q)</f>
        <v>1274</v>
      </c>
      <c r="P45">
        <f>SUMIF('库存（子SKU）'!$C:$C,$A45,'库存（子SKU）'!R:R)</f>
        <v>1487</v>
      </c>
      <c r="Q45">
        <f>SUMIF('库存（子SKU）'!$C:$C,$A45,'库存（子SKU）'!S:S)</f>
        <v>1314</v>
      </c>
      <c r="R45">
        <f>SUMIF('库存（子SKU）'!$C:$C,$A45,'库存（子SKU）'!T:T)</f>
        <v>4</v>
      </c>
      <c r="S45">
        <f>SUMIF('库存（子SKU）'!$C:$C,$A45,'库存（子SKU）'!U:U)</f>
        <v>3</v>
      </c>
      <c r="T45">
        <f>SUMIF('库存（子SKU）'!$C:$C,$A45,'库存（子SKU）'!V:V)</f>
        <v>3</v>
      </c>
      <c r="U45">
        <f>SUMIF('库存（子SKU）'!$C:$C,$A45,'库存（子SKU）'!W:W)</f>
        <v>4</v>
      </c>
      <c r="V45" s="23">
        <f t="shared" si="15"/>
        <v>0.00428265524625268</v>
      </c>
      <c r="W45" s="23">
        <f t="shared" si="16"/>
        <v>0.00235478806907378</v>
      </c>
      <c r="X45" s="23">
        <f t="shared" si="17"/>
        <v>0.00201748486886348</v>
      </c>
      <c r="Y45" s="23">
        <f t="shared" si="18"/>
        <v>0.0030441400304414</v>
      </c>
      <c r="Z45">
        <f>SUMIF('库存（子SKU）'!$C:$C,$A45,'库存（子SKU）'!AB:AB)</f>
        <v>1.36</v>
      </c>
      <c r="AA45">
        <f>SUMIF('库存（子SKU）'!$C:$C,$A45,'库存（子SKU）'!AC:AC)</f>
        <v>1.31</v>
      </c>
      <c r="AB45">
        <f>SUMIF('库存（子SKU）'!$C:$C,$A45,'库存（子SKU）'!AD:AD)</f>
        <v>1.19</v>
      </c>
      <c r="AC45">
        <f>SUMIF('库存（子SKU）'!$C:$C,$A45,'库存（子SKU）'!AE:AE)</f>
        <v>1.2</v>
      </c>
      <c r="AD45" s="23" t="str">
        <f t="shared" si="2"/>
        <v>无销量广告费为1.36</v>
      </c>
      <c r="AE45" s="23">
        <f t="shared" si="3"/>
        <v>0.0423904898153825</v>
      </c>
      <c r="AF45" s="23" t="str">
        <f t="shared" si="4"/>
        <v>无销量广告费为1.19</v>
      </c>
      <c r="AG45" s="23">
        <f t="shared" si="5"/>
        <v>2.44635193133047</v>
      </c>
      <c r="AH45">
        <f>SUMIF('库存（子SKU）'!$C:$C,$A45,'库存（子SKU）'!AJ:AJ)</f>
        <v>20</v>
      </c>
      <c r="AI45">
        <f>SUMIF('库存（子SKU）'!$C:$C,$A45,'库存（子SKU）'!AK:AK)</f>
        <v>23</v>
      </c>
      <c r="AJ45">
        <f>SUMIF('库存（子SKU）'!$C:$C,$A45,'库存（子SKU）'!AL:AL)</f>
        <v>35</v>
      </c>
      <c r="AK45">
        <f>SUMIF('库存（子SKU）'!$C:$C,$A45,'库存（子SKU）'!AM:AM)</f>
        <v>12</v>
      </c>
      <c r="AL45" s="23">
        <f t="shared" si="6"/>
        <v>0</v>
      </c>
      <c r="AM45" s="23">
        <f t="shared" si="7"/>
        <v>5.47826086956522</v>
      </c>
      <c r="AN45" s="23">
        <f t="shared" si="8"/>
        <v>0</v>
      </c>
      <c r="AO45" s="23">
        <f t="shared" si="9"/>
        <v>0.166666666666667</v>
      </c>
      <c r="AP45" s="8">
        <f t="shared" si="10"/>
        <v>0</v>
      </c>
      <c r="AQ45" s="8">
        <f t="shared" si="11"/>
        <v>0</v>
      </c>
      <c r="AR45" s="8">
        <f t="shared" si="12"/>
        <v>41</v>
      </c>
      <c r="AS45" t="str">
        <f t="shared" si="13"/>
        <v>库存为41</v>
      </c>
      <c r="AT45" s="25" t="str">
        <f>IFERROR(时间!$B$4+AS45,"上周无销量")</f>
        <v>上周无销量</v>
      </c>
    </row>
    <row r="46" spans="1:46">
      <c r="A46" t="s">
        <v>831</v>
      </c>
      <c r="B46" s="6">
        <f>SUMIF('库存（子SKU）'!$C:$C,$A46,'库存（子SKU）'!D:D)</f>
        <v>0</v>
      </c>
      <c r="C46" s="6">
        <f>SUMIF('库存（子SKU）'!$C:$C,$A46,'库存（子SKU）'!E:E)</f>
        <v>50</v>
      </c>
      <c r="D46" s="6">
        <f>SUMIF('库存（子SKU）'!$C:$C,$A46,'库存（子SKU）'!F:F)</f>
        <v>2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5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5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931</v>
      </c>
      <c r="O46">
        <f>SUMIF('库存（子SKU）'!$C:$C,$A46,'库存（子SKU）'!Q:Q)</f>
        <v>4451</v>
      </c>
      <c r="P46">
        <f>SUMIF('库存（子SKU）'!$C:$C,$A46,'库存（子SKU）'!R:R)</f>
        <v>25102</v>
      </c>
      <c r="Q46">
        <f>SUMIF('库存（子SKU）'!$C:$C,$A46,'库存（子SKU）'!S:S)</f>
        <v>18595</v>
      </c>
      <c r="R46">
        <f>SUMIF('库存（子SKU）'!$C:$C,$A46,'库存（子SKU）'!T:T)</f>
        <v>7</v>
      </c>
      <c r="S46">
        <f>SUMIF('库存（子SKU）'!$C:$C,$A46,'库存（子SKU）'!U:U)</f>
        <v>8</v>
      </c>
      <c r="T46">
        <f>SUMIF('库存（子SKU）'!$C:$C,$A46,'库存（子SKU）'!V:V)</f>
        <v>59</v>
      </c>
      <c r="U46">
        <f>SUMIF('库存（子SKU）'!$C:$C,$A46,'库存（子SKU）'!W:W)</f>
        <v>48</v>
      </c>
      <c r="V46" s="23">
        <f t="shared" si="15"/>
        <v>0.0075187969924812</v>
      </c>
      <c r="W46" s="23">
        <f t="shared" si="16"/>
        <v>0.00179734891035722</v>
      </c>
      <c r="X46" s="23">
        <f t="shared" si="17"/>
        <v>0.00235041032587045</v>
      </c>
      <c r="Y46" s="23">
        <f t="shared" si="18"/>
        <v>0.00258133906964238</v>
      </c>
      <c r="Z46">
        <f>SUMIF('库存（子SKU）'!$C:$C,$A46,'库存（子SKU）'!AB:AB)</f>
        <v>0.66</v>
      </c>
      <c r="AA46">
        <f>SUMIF('库存（子SKU）'!$C:$C,$A46,'库存（子SKU）'!AC:AC)</f>
        <v>3.11</v>
      </c>
      <c r="AB46">
        <f>SUMIF('库存（子SKU）'!$C:$C,$A46,'库存（子SKU）'!AD:AD)</f>
        <v>31.98</v>
      </c>
      <c r="AC46">
        <f>SUMIF('库存（子SKU）'!$C:$C,$A46,'库存（子SKU）'!AE:AE)</f>
        <v>24.5</v>
      </c>
      <c r="AD46" s="23" t="str">
        <f t="shared" si="2"/>
        <v>无销量广告费为0.66</v>
      </c>
      <c r="AE46" s="23" t="str">
        <f t="shared" si="3"/>
        <v/>
      </c>
      <c r="AF46" s="23" t="str">
        <f t="shared" si="4"/>
        <v/>
      </c>
      <c r="AG46" s="23" t="str">
        <f t="shared" si="5"/>
        <v>无销量广告费为24.5</v>
      </c>
      <c r="AH46">
        <f>SUMIF('库存（子SKU）'!$C:$C,$A46,'库存（子SKU）'!AJ:AJ)</f>
        <v>2</v>
      </c>
      <c r="AI46">
        <f>SUMIF('库存（子SKU）'!$C:$C,$A46,'库存（子SKU）'!AK:AK)</f>
        <v>14</v>
      </c>
      <c r="AJ46">
        <f>SUMIF('库存（子SKU）'!$C:$C,$A46,'库存（子SKU）'!AL:AL)</f>
        <v>58</v>
      </c>
      <c r="AK46">
        <f>SUMIF('库存（子SKU）'!$C:$C,$A46,'库存（子SKU）'!AM:AM)</f>
        <v>32</v>
      </c>
      <c r="AL46" s="23">
        <f t="shared" si="6"/>
        <v>0</v>
      </c>
      <c r="AM46" s="23">
        <f t="shared" si="7"/>
        <v>3.57142857142857</v>
      </c>
      <c r="AN46" s="23">
        <f t="shared" si="8"/>
        <v>0.0344827586206897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5</v>
      </c>
      <c r="AS46" t="str">
        <f t="shared" si="13"/>
        <v>库存为5</v>
      </c>
      <c r="AT46" s="25" t="str">
        <f>IFERROR(时间!$B$4+AS46,"上周无销量")</f>
        <v>上周无销量</v>
      </c>
    </row>
    <row r="47" spans="1:46">
      <c r="A47" t="s">
        <v>841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1</v>
      </c>
      <c r="AI47">
        <f>SUMIF('库存（子SKU）'!$C:$C,$A47,'库存（子SKU）'!AK:AK)</f>
        <v>10</v>
      </c>
      <c r="AJ47">
        <f>SUMIF('库存（子SKU）'!$C:$C,$A47,'库存（子SKU）'!AL:AL)</f>
        <v>45</v>
      </c>
      <c r="AK47">
        <f>SUMIF('库存（子SKU）'!$C:$C,$A47,'库存（子SKU）'!AM:AM)</f>
        <v>26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5" t="str">
        <f>IFERROR(时间!$B$4+AS47,"上周无销量")</f>
        <v>上周无销量</v>
      </c>
    </row>
    <row r="48" spans="1:46">
      <c r="A48" t="s">
        <v>844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1</v>
      </c>
      <c r="AJ48">
        <f>SUMIF('库存（子SKU）'!$C:$C,$A48,'库存（子SKU）'!AL:AL)</f>
        <v>5</v>
      </c>
      <c r="AK48">
        <f>SUMIF('库存（子SKU）'!$C:$C,$A48,'库存（子SKU）'!AM:AM)</f>
        <v>2</v>
      </c>
      <c r="AL48" s="23" t="str">
        <f t="shared" si="6"/>
        <v/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5" t="str">
        <f>IFERROR(时间!$B$4+AS48,"上周无销量")</f>
        <v>上周无销量</v>
      </c>
    </row>
    <row r="49" spans="1:46">
      <c r="A49" t="s">
        <v>846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35</v>
      </c>
      <c r="H49">
        <f>SUMIF('库存（子SKU）'!$C:$C,$A49,'库存（子SKU）'!J:J)</f>
        <v>0</v>
      </c>
      <c r="I49">
        <f>SUMIF('库存（子SKU）'!$C:$C,$A49,'库存（子SKU）'!K:K)</f>
        <v>22</v>
      </c>
      <c r="J49">
        <f>SUMIF('库存（子SKU）'!$C:$C,$A49,'库存（子SKU）'!L:L)</f>
        <v>45</v>
      </c>
      <c r="K49">
        <f t="shared" si="0"/>
        <v>102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17</v>
      </c>
      <c r="AI49">
        <f>SUMIF('库存（子SKU）'!$C:$C,$A49,'库存（子SKU）'!AK:AK)</f>
        <v>23</v>
      </c>
      <c r="AJ49">
        <f>SUMIF('库存（子SKU）'!$C:$C,$A49,'库存（子SKU）'!AL:AL)</f>
        <v>62</v>
      </c>
      <c r="AK49">
        <f>SUMIF('库存（子SKU）'!$C:$C,$A49,'库存（子SKU）'!AM:AM)</f>
        <v>32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102</v>
      </c>
      <c r="AS49" t="str">
        <f t="shared" si="13"/>
        <v>库存为102</v>
      </c>
      <c r="AT49" s="25" t="str">
        <f>IFERROR(时间!$B$4+AS49,"上周无销量")</f>
        <v>上周无销量</v>
      </c>
    </row>
    <row r="50" spans="1:46">
      <c r="A50" t="s">
        <v>853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60</v>
      </c>
      <c r="H50">
        <f>SUMIF('库存（子SKU）'!$C:$C,$A50,'库存（子SKU）'!J:J)</f>
        <v>0</v>
      </c>
      <c r="I50">
        <f>SUMIF('库存（子SKU）'!$C:$C,$A50,'库存（子SKU）'!K:K)</f>
        <v>57</v>
      </c>
      <c r="J50">
        <f>SUMIF('库存（子SKU）'!$C:$C,$A50,'库存（子SKU）'!L:L)</f>
        <v>74</v>
      </c>
      <c r="K50">
        <f t="shared" si="0"/>
        <v>191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38</v>
      </c>
      <c r="AI50">
        <f>SUMIF('库存（子SKU）'!$C:$C,$A50,'库存（子SKU）'!AK:AK)</f>
        <v>37</v>
      </c>
      <c r="AJ50">
        <f>SUMIF('库存（子SKU）'!$C:$C,$A50,'库存（子SKU）'!AL:AL)</f>
        <v>78</v>
      </c>
      <c r="AK50">
        <f>SUMIF('库存（子SKU）'!$C:$C,$A50,'库存（子SKU）'!AM:AM)</f>
        <v>54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191</v>
      </c>
      <c r="AS50" t="str">
        <f t="shared" si="13"/>
        <v>库存为191</v>
      </c>
      <c r="AT50" s="25" t="str">
        <f>IFERROR(时间!$B$4+AS50,"上周无销量")</f>
        <v>上周无销量</v>
      </c>
    </row>
    <row r="51" spans="1:46">
      <c r="A51" t="s">
        <v>871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20</v>
      </c>
      <c r="J51">
        <f>SUMIF('库存（子SKU）'!$C:$C,$A51,'库存（子SKU）'!L:L)</f>
        <v>28</v>
      </c>
      <c r="K51">
        <f t="shared" si="0"/>
        <v>48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1</v>
      </c>
      <c r="AJ51">
        <f>SUMIF('库存（子SKU）'!$C:$C,$A51,'库存（子SKU）'!AL:AL)</f>
        <v>11</v>
      </c>
      <c r="AK51">
        <f>SUMIF('库存（子SKU）'!$C:$C,$A51,'库存（子SKU）'!AM:AM)</f>
        <v>6</v>
      </c>
      <c r="AL51" s="23" t="str">
        <f t="shared" si="6"/>
        <v/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48</v>
      </c>
      <c r="AS51" t="str">
        <f t="shared" si="13"/>
        <v>库存为48</v>
      </c>
      <c r="AT51" s="25" t="str">
        <f>IFERROR(时间!$B$4+AS51,"上周无销量")</f>
        <v>上周无销量</v>
      </c>
    </row>
    <row r="52" spans="1:46">
      <c r="A52" t="s">
        <v>875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</v>
      </c>
      <c r="AI52">
        <f>SUMIF('库存（子SKU）'!$C:$C,$A52,'库存（子SKU）'!AK:AK)</f>
        <v>9</v>
      </c>
      <c r="AJ52">
        <f>SUMIF('库存（子SKU）'!$C:$C,$A52,'库存（子SKU）'!AL:AL)</f>
        <v>52</v>
      </c>
      <c r="AK52">
        <f>SUMIF('库存（子SKU）'!$C:$C,$A52,'库存（子SKU）'!AM:AM)</f>
        <v>31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5" t="str">
        <f>IFERROR(时间!$B$4+AS52,"上周无销量")</f>
        <v>上周无销量</v>
      </c>
    </row>
    <row r="53" spans="1:46">
      <c r="A53" t="s">
        <v>882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7</v>
      </c>
      <c r="AK53">
        <f>SUMIF('库存（子SKU）'!$C:$C,$A53,'库存（子SKU）'!AM:AM)</f>
        <v>3</v>
      </c>
      <c r="AL53" s="23" t="str">
        <f t="shared" si="6"/>
        <v/>
      </c>
      <c r="AM53" s="23" t="str">
        <f t="shared" si="7"/>
        <v/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5" t="str">
        <f>IFERROR(时间!$B$4+AS53,"上周无销量")</f>
        <v>上周无销量</v>
      </c>
    </row>
    <row r="54" spans="1:46">
      <c r="A54" t="s">
        <v>884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3</v>
      </c>
      <c r="K54">
        <f t="shared" si="0"/>
        <v>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15</v>
      </c>
      <c r="AK54">
        <f>SUMIF('库存（子SKU）'!$C:$C,$A54,'库存（子SKU）'!AM:AM)</f>
        <v>6</v>
      </c>
      <c r="AL54" s="23" t="str">
        <f t="shared" si="6"/>
        <v/>
      </c>
      <c r="AM54" s="23" t="str">
        <f t="shared" si="7"/>
        <v/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3</v>
      </c>
      <c r="AS54" t="str">
        <f t="shared" si="13"/>
        <v>库存为3</v>
      </c>
      <c r="AT54" s="25" t="str">
        <f>IFERROR(时间!$B$4+AS54,"上周无销量")</f>
        <v>上周无销量</v>
      </c>
    </row>
    <row r="55" spans="1:46">
      <c r="A55" t="s">
        <v>887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51</v>
      </c>
      <c r="J55">
        <f>SUMIF('库存（子SKU）'!$C:$C,$A55,'库存（子SKU）'!L:L)</f>
        <v>49</v>
      </c>
      <c r="K55">
        <f t="shared" si="0"/>
        <v>100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35</v>
      </c>
      <c r="AI55">
        <f>SUMIF('库存（子SKU）'!$C:$C,$A55,'库存（子SKU）'!AK:AK)</f>
        <v>19</v>
      </c>
      <c r="AJ55">
        <f>SUMIF('库存（子SKU）'!$C:$C,$A55,'库存（子SKU）'!AL:AL)</f>
        <v>90</v>
      </c>
      <c r="AK55">
        <f>SUMIF('库存（子SKU）'!$C:$C,$A55,'库存（子SKU）'!AM:AM)</f>
        <v>65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100</v>
      </c>
      <c r="AS55" t="str">
        <f t="shared" si="13"/>
        <v>库存为100</v>
      </c>
      <c r="AT55" s="25" t="str">
        <f>IFERROR(时间!$B$4+AS55,"上周无销量")</f>
        <v>上周无销量</v>
      </c>
    </row>
    <row r="56" spans="1:46">
      <c r="A56" t="s">
        <v>900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6</v>
      </c>
      <c r="J56">
        <f>SUMIF('库存（子SKU）'!$C:$C,$A56,'库存（子SKU）'!L:L)</f>
        <v>0</v>
      </c>
      <c r="K56">
        <f t="shared" si="0"/>
        <v>6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54</v>
      </c>
      <c r="AI56">
        <f>SUMIF('库存（子SKU）'!$C:$C,$A56,'库存（子SKU）'!AK:AK)</f>
        <v>56</v>
      </c>
      <c r="AJ56">
        <f>SUMIF('库存（子SKU）'!$C:$C,$A56,'库存（子SKU）'!AL:AL)</f>
        <v>69</v>
      </c>
      <c r="AK56">
        <f>SUMIF('库存（子SKU）'!$C:$C,$A56,'库存（子SKU）'!AM:AM)</f>
        <v>115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6</v>
      </c>
      <c r="AS56" t="str">
        <f t="shared" si="13"/>
        <v>库存为6</v>
      </c>
      <c r="AT56" s="25" t="str">
        <f>IFERROR(时间!$B$4+AS56,"上周无销量")</f>
        <v>上周无销量</v>
      </c>
    </row>
    <row r="57" spans="1:46">
      <c r="A57" t="s">
        <v>911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4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1</v>
      </c>
      <c r="AI57">
        <f>SUMIF('库存（子SKU）'!$C:$C,$A57,'库存（子SKU）'!AK:AK)</f>
        <v>16</v>
      </c>
      <c r="AJ57">
        <f>SUMIF('库存（子SKU）'!$C:$C,$A57,'库存（子SKU）'!AL:AL)</f>
        <v>71</v>
      </c>
      <c r="AK57">
        <f>SUMIF('库存（子SKU）'!$C:$C,$A57,'库存（子SKU）'!AM:AM)</f>
        <v>54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917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60</v>
      </c>
      <c r="H58">
        <f>SUMIF('库存（子SKU）'!$C:$C,$A58,'库存（子SKU）'!J:J)</f>
        <v>0</v>
      </c>
      <c r="I58">
        <f>SUMIF('库存（子SKU）'!$C:$C,$A58,'库存（子SKU）'!K:K)</f>
        <v>122</v>
      </c>
      <c r="J58">
        <f>SUMIF('库存（子SKU）'!$C:$C,$A58,'库存（子SKU）'!L:L)</f>
        <v>62</v>
      </c>
      <c r="K58">
        <f t="shared" si="0"/>
        <v>244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16</v>
      </c>
      <c r="AI58">
        <f>SUMIF('库存（子SKU）'!$C:$C,$A58,'库存（子SKU）'!AK:AK)</f>
        <v>22</v>
      </c>
      <c r="AJ58">
        <f>SUMIF('库存（子SKU）'!$C:$C,$A58,'库存（子SKU）'!AL:AL)</f>
        <v>89</v>
      </c>
      <c r="AK58">
        <f>SUMIF('库存（子SKU）'!$C:$C,$A58,'库存（子SKU）'!AM:AM)</f>
        <v>89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244</v>
      </c>
      <c r="AS58" t="str">
        <f t="shared" si="13"/>
        <v>库存为244</v>
      </c>
      <c r="AT58" s="25" t="str">
        <f>IFERROR(时间!$B$4+AS58,"上周无销量")</f>
        <v>上周无销量</v>
      </c>
    </row>
    <row r="59" spans="1:46">
      <c r="A59" t="s">
        <v>937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18</v>
      </c>
      <c r="H59">
        <f>SUMIF('库存（子SKU）'!$C:$C,$A59,'库存（子SKU）'!J:J)</f>
        <v>0</v>
      </c>
      <c r="I59">
        <f>SUMIF('库存（子SKU）'!$C:$C,$A59,'库存（子SKU）'!K:K)</f>
        <v>10</v>
      </c>
      <c r="J59">
        <f>SUMIF('库存（子SKU）'!$C:$C,$A59,'库存（子SKU）'!L:L)</f>
        <v>0</v>
      </c>
      <c r="K59">
        <f t="shared" si="0"/>
        <v>28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1</v>
      </c>
      <c r="AI59">
        <f>SUMIF('库存（子SKU）'!$C:$C,$A59,'库存（子SKU）'!AK:AK)</f>
        <v>1</v>
      </c>
      <c r="AJ59">
        <f>SUMIF('库存（子SKU）'!$C:$C,$A59,'库存（子SKU）'!AL:AL)</f>
        <v>7</v>
      </c>
      <c r="AK59">
        <f>SUMIF('库存（子SKU）'!$C:$C,$A59,'库存（子SKU）'!AM:AM)</f>
        <v>3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28</v>
      </c>
      <c r="AS59" t="str">
        <f t="shared" si="13"/>
        <v>库存为28</v>
      </c>
      <c r="AT59" s="25" t="str">
        <f>IFERROR(时间!$B$4+AS59,"上周无销量")</f>
        <v>上周无销量</v>
      </c>
    </row>
    <row r="60" spans="1:46">
      <c r="A60" t="s">
        <v>940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8</v>
      </c>
      <c r="J60">
        <f>SUMIF('库存（子SKU）'!$C:$C,$A60,'库存（子SKU）'!L:L)</f>
        <v>0</v>
      </c>
      <c r="K60">
        <f t="shared" si="0"/>
        <v>8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8</v>
      </c>
      <c r="AI60">
        <f>SUMIF('库存（子SKU）'!$C:$C,$A60,'库存（子SKU）'!AK:AK)</f>
        <v>18</v>
      </c>
      <c r="AJ60">
        <f>SUMIF('库存（子SKU）'!$C:$C,$A60,'库存（子SKU）'!AL:AL)</f>
        <v>37</v>
      </c>
      <c r="AK60">
        <f>SUMIF('库存（子SKU）'!$C:$C,$A60,'库存（子SKU）'!AM:AM)</f>
        <v>18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8</v>
      </c>
      <c r="AS60" t="str">
        <f t="shared" si="13"/>
        <v>库存为8</v>
      </c>
      <c r="AT60" s="25" t="str">
        <f>IFERROR(时间!$B$4+AS60,"上周无销量")</f>
        <v>上周无销量</v>
      </c>
    </row>
    <row r="61" spans="1:46">
      <c r="A61" t="s">
        <v>950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7</v>
      </c>
      <c r="AI61">
        <f>SUMIF('库存（子SKU）'!$C:$C,$A61,'库存（子SKU）'!AK:AK)</f>
        <v>12</v>
      </c>
      <c r="AJ61">
        <f>SUMIF('库存（子SKU）'!$C:$C,$A61,'库存（子SKU）'!AL:AL)</f>
        <v>73</v>
      </c>
      <c r="AK61">
        <f>SUMIF('库存（子SKU）'!$C:$C,$A61,'库存（子SKU）'!AM:AM)</f>
        <v>36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5" t="str">
        <f>IFERROR(时间!$B$4+AS61,"上周无销量")</f>
        <v>上周无销量</v>
      </c>
    </row>
    <row r="62" spans="1:46">
      <c r="A62" t="s">
        <v>964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2</v>
      </c>
      <c r="J62">
        <f>SUMIF('库存（子SKU）'!$C:$C,$A62,'库存（子SKU）'!L:L)</f>
        <v>0</v>
      </c>
      <c r="K62">
        <f t="shared" si="0"/>
        <v>2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4</v>
      </c>
      <c r="AI62">
        <f>SUMIF('库存（子SKU）'!$C:$C,$A62,'库存（子SKU）'!AK:AK)</f>
        <v>7</v>
      </c>
      <c r="AJ62">
        <f>SUMIF('库存（子SKU）'!$C:$C,$A62,'库存（子SKU）'!AL:AL)</f>
        <v>22</v>
      </c>
      <c r="AK62">
        <f>SUMIF('库存（子SKU）'!$C:$C,$A62,'库存（子SKU）'!AM:AM)</f>
        <v>14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2</v>
      </c>
      <c r="AS62" t="str">
        <f t="shared" si="13"/>
        <v>库存为2</v>
      </c>
      <c r="AT62" s="25" t="str">
        <f>IFERROR(时间!$B$4+AS62,"上周无销量")</f>
        <v>上周无销量</v>
      </c>
    </row>
    <row r="63" spans="1:46">
      <c r="A63" t="s">
        <v>970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>
        <v>15.99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4</v>
      </c>
      <c r="J63">
        <f>SUMIF('库存（子SKU）'!$C:$C,$A63,'库存（子SKU）'!L:L)</f>
        <v>0</v>
      </c>
      <c r="K63">
        <f t="shared" si="0"/>
        <v>4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3</v>
      </c>
      <c r="AJ63">
        <f>SUMIF('库存（子SKU）'!$C:$C,$A63,'库存（子SKU）'!AL:AL)</f>
        <v>51</v>
      </c>
      <c r="AK63">
        <f>SUMIF('库存（子SKU）'!$C:$C,$A63,'库存（子SKU）'!AM:AM)</f>
        <v>6</v>
      </c>
      <c r="AL63" s="23" t="str">
        <f t="shared" si="6"/>
        <v/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4</v>
      </c>
      <c r="AS63" t="str">
        <f t="shared" si="13"/>
        <v>库存为4</v>
      </c>
      <c r="AT63" s="25" t="str">
        <f>IFERROR(时间!$B$4+AS63,"上周无销量")</f>
        <v>上周无销量</v>
      </c>
    </row>
    <row r="64" spans="1:46">
      <c r="A64" t="s">
        <v>975</v>
      </c>
      <c r="B64" s="6">
        <f>SUMIF('库存（子SKU）'!$C:$C,$A64,'库存（子SKU）'!D:D)</f>
        <v>3</v>
      </c>
      <c r="C64" s="6">
        <f>SUMIF('库存（子SKU）'!$C:$C,$A64,'库存（子SKU）'!E:E)</f>
        <v>4</v>
      </c>
      <c r="D64" s="6">
        <f>SUMIF('库存（子SKU）'!$C:$C,$A64,'库存（子SKU）'!F:F)</f>
        <v>3</v>
      </c>
      <c r="E64" s="6">
        <f>SUMIF('库存（子SKU）'!$C:$C,$A64,'库存（子SKU）'!G:G)</f>
        <v>9</v>
      </c>
      <c r="F64" s="7">
        <v>15.99</v>
      </c>
      <c r="G64">
        <f>SUMIF('库存（子SKU）'!$C:$C,$A64,'库存（子SKU）'!I:I)</f>
        <v>34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34</v>
      </c>
      <c r="L64">
        <f>SUMIF('库存（子SKU）'!$C:$C,$A64,'库存（子SKU）'!N:N)</f>
        <v>0</v>
      </c>
      <c r="M64">
        <f>SUMIF('库存（子SKU）'!$C:$C,$A64,'库存（子SKU）'!O:O)</f>
        <v>31</v>
      </c>
      <c r="N64">
        <f>SUMIF('库存（子SKU）'!$C:$C,$A64,'库存（子SKU）'!P:P)</f>
        <v>7209</v>
      </c>
      <c r="O64">
        <f>SUMIF('库存（子SKU）'!$C:$C,$A64,'库存（子SKU）'!Q:Q)</f>
        <v>13108</v>
      </c>
      <c r="P64">
        <f>SUMIF('库存（子SKU）'!$C:$C,$A64,'库存（子SKU）'!R:R)</f>
        <v>14150</v>
      </c>
      <c r="Q64">
        <f>SUMIF('库存（子SKU）'!$C:$C,$A64,'库存（子SKU）'!S:S)</f>
        <v>15279</v>
      </c>
      <c r="R64">
        <f>SUMIF('库存（子SKU）'!$C:$C,$A64,'库存（子SKU）'!T:T)</f>
        <v>27</v>
      </c>
      <c r="S64">
        <f>SUMIF('库存（子SKU）'!$C:$C,$A64,'库存（子SKU）'!U:U)</f>
        <v>28</v>
      </c>
      <c r="T64">
        <f>SUMIF('库存（子SKU）'!$C:$C,$A64,'库存（子SKU）'!V:V)</f>
        <v>53</v>
      </c>
      <c r="U64">
        <f>SUMIF('库存（子SKU）'!$C:$C,$A64,'库存（子SKU）'!W:W)</f>
        <v>61</v>
      </c>
      <c r="V64" s="23">
        <f t="shared" si="15"/>
        <v>0.00374531835205993</v>
      </c>
      <c r="W64" s="23">
        <f t="shared" si="16"/>
        <v>0.00213610009154715</v>
      </c>
      <c r="X64" s="23">
        <f t="shared" si="17"/>
        <v>0.00374558303886926</v>
      </c>
      <c r="Y64" s="23">
        <f t="shared" si="18"/>
        <v>0.00399240788009687</v>
      </c>
      <c r="Z64">
        <f>SUMIF('库存（子SKU）'!$C:$C,$A64,'库存（子SKU）'!AB:AB)</f>
        <v>10.35</v>
      </c>
      <c r="AA64">
        <f>SUMIF('库存（子SKU）'!$C:$C,$A64,'库存（子SKU）'!AC:AC)</f>
        <v>10.91</v>
      </c>
      <c r="AB64">
        <f>SUMIF('库存（子SKU）'!$C:$C,$A64,'库存（子SKU）'!AD:AD)</f>
        <v>18.81</v>
      </c>
      <c r="AC64">
        <f>SUMIF('库存（子SKU）'!$C:$C,$A64,'库存（子SKU）'!AE:AE)</f>
        <v>21.9</v>
      </c>
      <c r="AD64" s="23">
        <f t="shared" si="2"/>
        <v>0.215759849906191</v>
      </c>
      <c r="AE64" s="23">
        <f t="shared" si="3"/>
        <v>0.17057535959975</v>
      </c>
      <c r="AF64" s="23">
        <f t="shared" si="4"/>
        <v>0.392120075046904</v>
      </c>
      <c r="AG64" s="23">
        <f t="shared" si="5"/>
        <v>0.152178444861372</v>
      </c>
      <c r="AH64">
        <f>SUMIF('库存（子SKU）'!$C:$C,$A64,'库存（子SKU）'!AJ:AJ)</f>
        <v>92</v>
      </c>
      <c r="AI64">
        <f>SUMIF('库存（子SKU）'!$C:$C,$A64,'库存（子SKU）'!AK:AK)</f>
        <v>87</v>
      </c>
      <c r="AJ64">
        <f>SUMIF('库存（子SKU）'!$C:$C,$A64,'库存（子SKU）'!AL:AL)</f>
        <v>118</v>
      </c>
      <c r="AK64">
        <f>SUMIF('库存（子SKU）'!$C:$C,$A64,'库存（子SKU）'!AM:AM)</f>
        <v>87</v>
      </c>
      <c r="AL64" s="23">
        <f t="shared" si="6"/>
        <v>0.0326086956521739</v>
      </c>
      <c r="AM64" s="23">
        <f t="shared" si="7"/>
        <v>0.0459770114942529</v>
      </c>
      <c r="AN64" s="23">
        <f t="shared" si="8"/>
        <v>0.0254237288135593</v>
      </c>
      <c r="AO64" s="23">
        <f t="shared" si="9"/>
        <v>0.103448275862069</v>
      </c>
      <c r="AP64" s="8">
        <f t="shared" si="10"/>
        <v>0.428571428571429</v>
      </c>
      <c r="AQ64" s="8">
        <f t="shared" si="11"/>
        <v>25.7142857142857</v>
      </c>
      <c r="AR64" s="8">
        <f t="shared" si="12"/>
        <v>8.28571428571429</v>
      </c>
      <c r="AS64">
        <f t="shared" si="13"/>
        <v>79</v>
      </c>
      <c r="AT64" s="25">
        <f>IFERROR(时间!$B$4+AS64,"上周无销量")</f>
        <v>43418</v>
      </c>
    </row>
    <row r="65" spans="1:46">
      <c r="A65" t="s">
        <v>1002</v>
      </c>
      <c r="B65" s="6">
        <f>SUMIF('库存（子SKU）'!$C:$C,$A65,'库存（子SKU）'!D:D)</f>
        <v>6</v>
      </c>
      <c r="C65" s="6">
        <f>SUMIF('库存（子SKU）'!$C:$C,$A65,'库存（子SKU）'!E:E)</f>
        <v>27</v>
      </c>
      <c r="D65" s="6">
        <f>SUMIF('库存（子SKU）'!$C:$C,$A65,'库存（子SKU）'!F:F)</f>
        <v>9</v>
      </c>
      <c r="E65" s="6">
        <f>SUMIF('库存（子SKU）'!$C:$C,$A65,'库存（子SKU）'!G:G)</f>
        <v>10</v>
      </c>
      <c r="F65" s="7">
        <v>16.51625</v>
      </c>
      <c r="G65">
        <f>SUMIF('库存（子SKU）'!$C:$C,$A65,'库存（子SKU）'!I:I)</f>
        <v>201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201</v>
      </c>
      <c r="L65">
        <f>SUMIF('库存（子SKU）'!$C:$C,$A65,'库存（子SKU）'!N:N)</f>
        <v>0</v>
      </c>
      <c r="M65">
        <f>SUMIF('库存（子SKU）'!$C:$C,$A65,'库存（子SKU）'!O:O)</f>
        <v>188</v>
      </c>
      <c r="N65">
        <f>SUMIF('库存（子SKU）'!$C:$C,$A65,'库存（子SKU）'!P:P)</f>
        <v>12253</v>
      </c>
      <c r="O65">
        <f>SUMIF('库存（子SKU）'!$C:$C,$A65,'库存（子SKU）'!Q:Q)</f>
        <v>28469</v>
      </c>
      <c r="P65">
        <f>SUMIF('库存（子SKU）'!$C:$C,$A65,'库存（子SKU）'!R:R)</f>
        <v>47266</v>
      </c>
      <c r="Q65">
        <f>SUMIF('库存（子SKU）'!$C:$C,$A65,'库存（子SKU）'!S:S)</f>
        <v>54359</v>
      </c>
      <c r="R65">
        <f>SUMIF('库存（子SKU）'!$C:$C,$A65,'库存（子SKU）'!T:T)</f>
        <v>44</v>
      </c>
      <c r="S65">
        <f>SUMIF('库存（子SKU）'!$C:$C,$A65,'库存（子SKU）'!U:U)</f>
        <v>78</v>
      </c>
      <c r="T65">
        <f>SUMIF('库存（子SKU）'!$C:$C,$A65,'库存（子SKU）'!V:V)</f>
        <v>153</v>
      </c>
      <c r="U65">
        <f>SUMIF('库存（子SKU）'!$C:$C,$A65,'库存（子SKU）'!W:W)</f>
        <v>145</v>
      </c>
      <c r="V65" s="23">
        <f t="shared" si="15"/>
        <v>0.00359095731657553</v>
      </c>
      <c r="W65" s="23">
        <f t="shared" si="16"/>
        <v>0.00273982226281218</v>
      </c>
      <c r="X65" s="23">
        <f t="shared" si="17"/>
        <v>0.00323699911141201</v>
      </c>
      <c r="Y65" s="23">
        <f t="shared" si="18"/>
        <v>0.00266745157195681</v>
      </c>
      <c r="Z65">
        <f>SUMIF('库存（子SKU）'!$C:$C,$A65,'库存（子SKU）'!AB:AB)</f>
        <v>14.82</v>
      </c>
      <c r="AA65">
        <f>SUMIF('库存（子SKU）'!$C:$C,$A65,'库存（子SKU）'!AC:AC)</f>
        <v>27.84</v>
      </c>
      <c r="AB65">
        <f>SUMIF('库存（子SKU）'!$C:$C,$A65,'库存（子SKU）'!AD:AD)</f>
        <v>54.47</v>
      </c>
      <c r="AC65">
        <f>SUMIF('库存（子SKU）'!$C:$C,$A65,'库存（子SKU）'!AE:AE)</f>
        <v>54.15</v>
      </c>
      <c r="AD65" s="23">
        <f t="shared" si="2"/>
        <v>0.149549685915386</v>
      </c>
      <c r="AE65" s="23">
        <f t="shared" si="3"/>
        <v>0.062430098303859</v>
      </c>
      <c r="AF65" s="23">
        <f t="shared" si="4"/>
        <v>0.366440458471034</v>
      </c>
      <c r="AG65" s="23">
        <f t="shared" si="5"/>
        <v>0.327858926814501</v>
      </c>
      <c r="AH65">
        <f>SUMIF('库存（子SKU）'!$C:$C,$A65,'库存（子SKU）'!AJ:AJ)</f>
        <v>175</v>
      </c>
      <c r="AI65">
        <f>SUMIF('库存（子SKU）'!$C:$C,$A65,'库存（子SKU）'!AK:AK)</f>
        <v>210</v>
      </c>
      <c r="AJ65">
        <f>SUMIF('库存（子SKU）'!$C:$C,$A65,'库存（子SKU）'!AL:AL)</f>
        <v>268</v>
      </c>
      <c r="AK65">
        <f>SUMIF('库存（子SKU）'!$C:$C,$A65,'库存（子SKU）'!AM:AM)</f>
        <v>171</v>
      </c>
      <c r="AL65" s="23">
        <f t="shared" si="6"/>
        <v>0.0342857142857143</v>
      </c>
      <c r="AM65" s="23">
        <f t="shared" si="7"/>
        <v>0.128571428571429</v>
      </c>
      <c r="AN65" s="23">
        <f t="shared" si="8"/>
        <v>0.0335820895522388</v>
      </c>
      <c r="AO65" s="23">
        <f t="shared" si="9"/>
        <v>0.0584795321637427</v>
      </c>
      <c r="AP65" s="8">
        <f t="shared" si="10"/>
        <v>0.857142857142857</v>
      </c>
      <c r="AQ65" s="8">
        <f t="shared" si="11"/>
        <v>51.4285714285714</v>
      </c>
      <c r="AR65" s="8">
        <f t="shared" si="12"/>
        <v>149.571428571429</v>
      </c>
      <c r="AS65">
        <f t="shared" si="13"/>
        <v>234</v>
      </c>
      <c r="AT65" s="25">
        <f>IFERROR(时间!$B$4+AS65,"上周无销量")</f>
        <v>43573</v>
      </c>
    </row>
    <row r="66" spans="1:46">
      <c r="A66" t="s">
        <v>1028</v>
      </c>
      <c r="B66" s="6">
        <f>SUMIF('库存（子SKU）'!$C:$C,$A66,'库存（子SKU）'!D:D)</f>
        <v>0</v>
      </c>
      <c r="C66" s="6">
        <f>SUMIF('库存（子SKU）'!$C:$C,$A66,'库存（子SKU）'!E:E)</f>
        <v>1</v>
      </c>
      <c r="D66" s="6">
        <f>SUMIF('库存（子SKU）'!$C:$C,$A66,'库存（子SKU）'!F:F)</f>
        <v>0</v>
      </c>
      <c r="E66" s="6">
        <f>SUMIF('库存（子SKU）'!$C:$C,$A66,'库存（子SKU）'!G:G)</f>
        <v>4</v>
      </c>
      <c r="F66" s="7">
        <v>0</v>
      </c>
      <c r="G66">
        <f>SUMIF('库存（子SKU）'!$C:$C,$A66,'库存（子SKU）'!I:I)</f>
        <v>53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53</v>
      </c>
      <c r="L66">
        <f>SUMIF('库存（子SKU）'!$C:$C,$A66,'库存（子SKU）'!N:N)</f>
        <v>0</v>
      </c>
      <c r="M66">
        <f>SUMIF('库存（子SKU）'!$C:$C,$A66,'库存（子SKU）'!O:O)</f>
        <v>53</v>
      </c>
      <c r="N66">
        <f>SUMIF('库存（子SKU）'!$C:$C,$A66,'库存（子SKU）'!P:P)</f>
        <v>2338</v>
      </c>
      <c r="O66">
        <f>SUMIF('库存（子SKU）'!$C:$C,$A66,'库存（子SKU）'!Q:Q)</f>
        <v>5223</v>
      </c>
      <c r="P66">
        <f>SUMIF('库存（子SKU）'!$C:$C,$A66,'库存（子SKU）'!R:R)</f>
        <v>9552</v>
      </c>
      <c r="Q66">
        <f>SUMIF('库存（子SKU）'!$C:$C,$A66,'库存（子SKU）'!S:S)</f>
        <v>12081</v>
      </c>
      <c r="R66">
        <f>SUMIF('库存（子SKU）'!$C:$C,$A66,'库存（子SKU）'!T:T)</f>
        <v>11</v>
      </c>
      <c r="S66">
        <f>SUMIF('库存（子SKU）'!$C:$C,$A66,'库存（子SKU）'!U:U)</f>
        <v>16</v>
      </c>
      <c r="T66">
        <f>SUMIF('库存（子SKU）'!$C:$C,$A66,'库存（子SKU）'!V:V)</f>
        <v>38</v>
      </c>
      <c r="U66">
        <f>SUMIF('库存（子SKU）'!$C:$C,$A66,'库存（子SKU）'!W:W)</f>
        <v>43</v>
      </c>
      <c r="V66" s="23">
        <f t="shared" si="15"/>
        <v>0.00470487596236099</v>
      </c>
      <c r="W66" s="23">
        <f t="shared" si="16"/>
        <v>0.00306337354011105</v>
      </c>
      <c r="X66" s="23">
        <f t="shared" si="17"/>
        <v>0.00397822445561139</v>
      </c>
      <c r="Y66" s="23">
        <f t="shared" si="18"/>
        <v>0.00355930800430428</v>
      </c>
      <c r="Z66">
        <f>SUMIF('库存（子SKU）'!$C:$C,$A66,'库存（子SKU）'!AB:AB)</f>
        <v>4.27</v>
      </c>
      <c r="AA66">
        <f>SUMIF('库存（子SKU）'!$C:$C,$A66,'库存（子SKU）'!AC:AC)</f>
        <v>6.77</v>
      </c>
      <c r="AB66">
        <f>SUMIF('库存（子SKU）'!$C:$C,$A66,'库存（子SKU）'!AD:AD)</f>
        <v>15.56</v>
      </c>
      <c r="AC66">
        <f>SUMIF('库存（子SKU）'!$C:$C,$A66,'库存（子SKU）'!AE:AE)</f>
        <v>17.48</v>
      </c>
      <c r="AD66" s="23" t="str">
        <f t="shared" si="2"/>
        <v>无销量广告费为4.27</v>
      </c>
      <c r="AE66" s="23" t="str">
        <f t="shared" si="3"/>
        <v/>
      </c>
      <c r="AF66" s="23" t="str">
        <f t="shared" si="4"/>
        <v>无销量广告费为15.56</v>
      </c>
      <c r="AG66" s="23" t="str">
        <f t="shared" si="5"/>
        <v/>
      </c>
      <c r="AH66">
        <f>SUMIF('库存（子SKU）'!$C:$C,$A66,'库存（子SKU）'!AJ:AJ)</f>
        <v>32</v>
      </c>
      <c r="AI66">
        <f>SUMIF('库存（子SKU）'!$C:$C,$A66,'库存（子SKU）'!AK:AK)</f>
        <v>44</v>
      </c>
      <c r="AJ66">
        <f>SUMIF('库存（子SKU）'!$C:$C,$A66,'库存（子SKU）'!AL:AL)</f>
        <v>55</v>
      </c>
      <c r="AK66">
        <f>SUMIF('库存（子SKU）'!$C:$C,$A66,'库存（子SKU）'!AM:AM)</f>
        <v>31</v>
      </c>
      <c r="AL66" s="23">
        <f t="shared" si="6"/>
        <v>0</v>
      </c>
      <c r="AM66" s="23">
        <f t="shared" si="7"/>
        <v>0.0227272727272727</v>
      </c>
      <c r="AN66" s="23">
        <f t="shared" si="8"/>
        <v>0</v>
      </c>
      <c r="AO66" s="23">
        <f t="shared" si="9"/>
        <v>0.129032258064516</v>
      </c>
      <c r="AP66" s="8">
        <f t="shared" si="10"/>
        <v>0</v>
      </c>
      <c r="AQ66" s="8">
        <f t="shared" si="11"/>
        <v>0</v>
      </c>
      <c r="AR66" s="8">
        <f t="shared" si="12"/>
        <v>53</v>
      </c>
      <c r="AS66" t="str">
        <f t="shared" si="13"/>
        <v>库存为53</v>
      </c>
      <c r="AT66" s="25" t="str">
        <f>IFERROR(时间!$B$4+AS66,"上周无销量")</f>
        <v>上周无销量</v>
      </c>
    </row>
    <row r="67" spans="1:46">
      <c r="A67" t="s">
        <v>1042</v>
      </c>
      <c r="B67" s="6">
        <f>SUMIF('库存（子SKU）'!$C:$C,$A67,'库存（子SKU）'!D:D)</f>
        <v>0</v>
      </c>
      <c r="C67" s="6">
        <f>SUMIF('库存（子SKU）'!$C:$C,$A67,'库存（子SKU）'!E:E)</f>
        <v>73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>
        <v>0</v>
      </c>
      <c r="G67">
        <f>SUMIF('库存（子SKU）'!$C:$C,$A67,'库存（子SKU）'!I:I)</f>
        <v>52</v>
      </c>
      <c r="H67">
        <f>SUMIF('库存（子SKU）'!$C:$C,$A67,'库存（子SKU）'!J:J)</f>
        <v>0</v>
      </c>
      <c r="I67">
        <f>SUMIF('库存（子SKU）'!$C:$C,$A67,'库存（子SKU）'!K:K)</f>
        <v>16</v>
      </c>
      <c r="J67">
        <f>SUMIF('库存（子SKU）'!$C:$C,$A67,'库存（子SKU）'!L:L)</f>
        <v>0</v>
      </c>
      <c r="K67">
        <f t="shared" si="0"/>
        <v>68</v>
      </c>
      <c r="L67">
        <f>SUMIF('库存（子SKU）'!$C:$C,$A67,'库存（子SKU）'!N:N)</f>
        <v>0</v>
      </c>
      <c r="M67">
        <f>SUMIF('库存（子SKU）'!$C:$C,$A67,'库存（子SKU）'!O:O)</f>
        <v>19</v>
      </c>
      <c r="N67">
        <f>SUMIF('库存（子SKU）'!$C:$C,$A67,'库存（子SKU）'!P:P)</f>
        <v>1125</v>
      </c>
      <c r="O67">
        <f>SUMIF('库存（子SKU）'!$C:$C,$A67,'库存（子SKU）'!Q:Q)</f>
        <v>2717</v>
      </c>
      <c r="P67">
        <f>SUMIF('库存（子SKU）'!$C:$C,$A67,'库存（子SKU）'!R:R)</f>
        <v>2323</v>
      </c>
      <c r="Q67">
        <f>SUMIF('库存（子SKU）'!$C:$C,$A67,'库存（子SKU）'!S:S)</f>
        <v>1887</v>
      </c>
      <c r="R67">
        <f>SUMIF('库存（子SKU）'!$C:$C,$A67,'库存（子SKU）'!T:T)</f>
        <v>4</v>
      </c>
      <c r="S67">
        <f>SUMIF('库存（子SKU）'!$C:$C,$A67,'库存（子SKU）'!U:U)</f>
        <v>8</v>
      </c>
      <c r="T67">
        <f>SUMIF('库存（子SKU）'!$C:$C,$A67,'库存（子SKU）'!V:V)</f>
        <v>5</v>
      </c>
      <c r="U67">
        <f>SUMIF('库存（子SKU）'!$C:$C,$A67,'库存（子SKU）'!W:W)</f>
        <v>10</v>
      </c>
      <c r="V67" s="23">
        <f t="shared" si="15"/>
        <v>0.00355555555555556</v>
      </c>
      <c r="W67" s="23">
        <f t="shared" si="16"/>
        <v>0.00294442399705558</v>
      </c>
      <c r="X67" s="23">
        <f t="shared" si="17"/>
        <v>0.00215238915195867</v>
      </c>
      <c r="Y67" s="23">
        <f t="shared" si="18"/>
        <v>0.00529941706412295</v>
      </c>
      <c r="Z67">
        <f>SUMIF('库存（子SKU）'!$C:$C,$A67,'库存（子SKU）'!AB:AB)</f>
        <v>1.55</v>
      </c>
      <c r="AA67">
        <f>SUMIF('库存（子SKU）'!$C:$C,$A67,'库存（子SKU）'!AC:AC)</f>
        <v>2.93</v>
      </c>
      <c r="AB67">
        <f>SUMIF('库存（子SKU）'!$C:$C,$A67,'库存（子SKU）'!AD:AD)</f>
        <v>1.81</v>
      </c>
      <c r="AC67">
        <f>SUMIF('库存（子SKU）'!$C:$C,$A67,'库存（子SKU）'!AE:AE)</f>
        <v>3.41</v>
      </c>
      <c r="AD67" s="23" t="str">
        <f t="shared" si="2"/>
        <v>无销量广告费为1.55</v>
      </c>
      <c r="AE67" s="23" t="str">
        <f t="shared" si="3"/>
        <v/>
      </c>
      <c r="AF67" s="23" t="str">
        <f t="shared" si="4"/>
        <v>无销量广告费为1.81</v>
      </c>
      <c r="AG67" s="23" t="str">
        <f t="shared" si="5"/>
        <v>无销量广告费为3.41</v>
      </c>
      <c r="AH67">
        <f>SUMIF('库存（子SKU）'!$C:$C,$A67,'库存（子SKU）'!AJ:AJ)</f>
        <v>10</v>
      </c>
      <c r="AI67">
        <f>SUMIF('库存（子SKU）'!$C:$C,$A67,'库存（子SKU）'!AK:AK)</f>
        <v>24</v>
      </c>
      <c r="AJ67">
        <f>SUMIF('库存（子SKU）'!$C:$C,$A67,'库存（子SKU）'!AL:AL)</f>
        <v>39</v>
      </c>
      <c r="AK67">
        <f>SUMIF('库存（子SKU）'!$C:$C,$A67,'库存（子SKU）'!AM:AM)</f>
        <v>28</v>
      </c>
      <c r="AL67" s="23">
        <f t="shared" si="6"/>
        <v>0</v>
      </c>
      <c r="AM67" s="23">
        <f t="shared" si="7"/>
        <v>3.04166666666667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68</v>
      </c>
      <c r="AS67" t="str">
        <f t="shared" si="13"/>
        <v>库存为68</v>
      </c>
      <c r="AT67" s="25" t="str">
        <f>IFERROR(时间!$B$4+AS67,"上周无销量")</f>
        <v>上周无销量</v>
      </c>
    </row>
    <row r="68" spans="1:46">
      <c r="A68" t="s">
        <v>1094</v>
      </c>
      <c r="B68" s="6">
        <f>SUMIF('库存（子SKU）'!$C:$C,$A68,'库存（子SKU）'!D:D)</f>
        <v>0</v>
      </c>
      <c r="C68" s="6">
        <f>SUMIF('库存（子SKU）'!$C:$C,$A68,'库存（子SKU）'!E:E)</f>
        <v>70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>
        <v>0</v>
      </c>
      <c r="G68">
        <f>SUMIF('库存（子SKU）'!$C:$C,$A68,'库存（子SKU）'!I:I)</f>
        <v>37</v>
      </c>
      <c r="H68">
        <f>SUMIF('库存（子SKU）'!$C:$C,$A68,'库存（子SKU）'!J:J)</f>
        <v>0</v>
      </c>
      <c r="I68">
        <f>SUMIF('库存（子SKU）'!$C:$C,$A68,'库存（子SKU）'!K:K)</f>
        <v>1</v>
      </c>
      <c r="J68">
        <f>SUMIF('库存（子SKU）'!$C:$C,$A68,'库存（子SKU）'!L:L)</f>
        <v>0</v>
      </c>
      <c r="K68">
        <f t="shared" si="0"/>
        <v>38</v>
      </c>
      <c r="L68">
        <f>SUMIF('库存（子SKU）'!$C:$C,$A68,'库存（子SKU）'!N:N)</f>
        <v>0</v>
      </c>
      <c r="M68">
        <f>SUMIF('库存（子SKU）'!$C:$C,$A68,'库存（子SKU）'!O:O)</f>
        <v>22</v>
      </c>
      <c r="N68">
        <f>SUMIF('库存（子SKU）'!$C:$C,$A68,'库存（子SKU）'!P:P)</f>
        <v>652</v>
      </c>
      <c r="O68">
        <f>SUMIF('库存（子SKU）'!$C:$C,$A68,'库存（子SKU）'!Q:Q)</f>
        <v>544</v>
      </c>
      <c r="P68">
        <f>SUMIF('库存（子SKU）'!$C:$C,$A68,'库存（子SKU）'!R:R)</f>
        <v>1211</v>
      </c>
      <c r="Q68">
        <f>SUMIF('库存（子SKU）'!$C:$C,$A68,'库存（子SKU）'!S:S)</f>
        <v>1762</v>
      </c>
      <c r="R68">
        <f>SUMIF('库存（子SKU）'!$C:$C,$A68,'库存（子SKU）'!T:T)</f>
        <v>5</v>
      </c>
      <c r="S68">
        <f>SUMIF('库存（子SKU）'!$C:$C,$A68,'库存（子SKU）'!U:U)</f>
        <v>2</v>
      </c>
      <c r="T68">
        <f>SUMIF('库存（子SKU）'!$C:$C,$A68,'库存（子SKU）'!V:V)</f>
        <v>2</v>
      </c>
      <c r="U68">
        <f>SUMIF('库存（子SKU）'!$C:$C,$A68,'库存（子SKU）'!W:W)</f>
        <v>2</v>
      </c>
      <c r="V68" s="23">
        <f t="shared" si="15"/>
        <v>0.00766871165644172</v>
      </c>
      <c r="W68" s="23">
        <f t="shared" si="16"/>
        <v>0.00367647058823529</v>
      </c>
      <c r="X68" s="23">
        <f t="shared" si="17"/>
        <v>0.00165152766308836</v>
      </c>
      <c r="Y68" s="23">
        <f t="shared" si="18"/>
        <v>0.00113507377979569</v>
      </c>
      <c r="Z68">
        <f>SUMIF('库存（子SKU）'!$C:$C,$A68,'库存（子SKU）'!AB:AB)</f>
        <v>1.74</v>
      </c>
      <c r="AA68">
        <f>SUMIF('库存（子SKU）'!$C:$C,$A68,'库存（子SKU）'!AC:AC)</f>
        <v>0.57</v>
      </c>
      <c r="AB68">
        <f>SUMIF('库存（子SKU）'!$C:$C,$A68,'库存（子SKU）'!AD:AD)</f>
        <v>0.81</v>
      </c>
      <c r="AC68">
        <f>SUMIF('库存（子SKU）'!$C:$C,$A68,'库存（子SKU）'!AE:AE)</f>
        <v>1.06</v>
      </c>
      <c r="AD68" s="23" t="str">
        <f t="shared" si="2"/>
        <v>无销量广告费为1.74</v>
      </c>
      <c r="AE68" s="23" t="str">
        <f t="shared" si="3"/>
        <v/>
      </c>
      <c r="AF68" s="23" t="str">
        <f t="shared" si="4"/>
        <v>无销量广告费为0.81</v>
      </c>
      <c r="AG68" s="23" t="str">
        <f t="shared" si="5"/>
        <v>无销量广告费为1.06</v>
      </c>
      <c r="AH68">
        <f>SUMIF('库存（子SKU）'!$C:$C,$A68,'库存（子SKU）'!AJ:AJ)</f>
        <v>8</v>
      </c>
      <c r="AI68">
        <f>SUMIF('库存（子SKU）'!$C:$C,$A68,'库存（子SKU）'!AK:AK)</f>
        <v>6</v>
      </c>
      <c r="AJ68">
        <f>SUMIF('库存（子SKU）'!$C:$C,$A68,'库存（子SKU）'!AL:AL)</f>
        <v>33</v>
      </c>
      <c r="AK68">
        <f>SUMIF('库存（子SKU）'!$C:$C,$A68,'库存（子SKU）'!AM:AM)</f>
        <v>17</v>
      </c>
      <c r="AL68" s="23">
        <f t="shared" si="6"/>
        <v>0</v>
      </c>
      <c r="AM68" s="23">
        <f t="shared" si="7"/>
        <v>11.6666666666667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38</v>
      </c>
      <c r="AS68" t="str">
        <f t="shared" si="13"/>
        <v>库存为38</v>
      </c>
      <c r="AT68" s="25" t="str">
        <f>IFERROR(时间!$B$4+AS68,"上周无销量")</f>
        <v>上周无销量</v>
      </c>
    </row>
    <row r="69" spans="1:46">
      <c r="A69" t="s">
        <v>1113</v>
      </c>
      <c r="B69" s="6">
        <f>SUMIF('库存（子SKU）'!$C:$C,$A69,'库存（子SKU）'!D:D)</f>
        <v>0</v>
      </c>
      <c r="C69" s="6">
        <f>SUMIF('库存（子SKU）'!$C:$C,$A69,'库存（子SKU）'!E:E)</f>
        <v>14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8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9</v>
      </c>
      <c r="O69">
        <f>SUMIF('库存（子SKU）'!$C:$C,$A69,'库存（子SKU）'!Q:Q)</f>
        <v>18</v>
      </c>
      <c r="P69">
        <f>SUMIF('库存（子SKU）'!$C:$C,$A69,'库存（子SKU）'!R:R)</f>
        <v>74</v>
      </c>
      <c r="Q69">
        <f>SUMIF('库存（子SKU）'!$C:$C,$A69,'库存（子SKU）'!S:S)</f>
        <v>67</v>
      </c>
      <c r="R69">
        <f>SUMIF('库存（子SKU）'!$C:$C,$A69,'库存（子SKU）'!T:T)</f>
        <v>1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>
        <f t="shared" si="15"/>
        <v>0.111111111111111</v>
      </c>
      <c r="W69" s="23">
        <f t="shared" si="16"/>
        <v>0</v>
      </c>
      <c r="X69" s="23">
        <f t="shared" si="17"/>
        <v>0</v>
      </c>
      <c r="Y69" s="23">
        <f t="shared" si="18"/>
        <v>0</v>
      </c>
      <c r="Z69">
        <f>SUMIF('库存（子SKU）'!$C:$C,$A69,'库存（子SKU）'!AB:AB)</f>
        <v>0.12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82" si="20">IF(AND(Z69&gt;0,B69=0),"无销量广告费为"&amp;Z69,IFERROR(Z69/(B69*$F69),""))</f>
        <v>无销量广告费为0.12</v>
      </c>
      <c r="AE69" s="23" t="str">
        <f t="shared" ref="AE69:AE82" si="21">IF(AND(AA69&gt;0,C69=0),"无销量广告费为"&amp;AA69,IFERROR(AA69/(C69*$F69),""))</f>
        <v/>
      </c>
      <c r="AF69" s="23" t="str">
        <f t="shared" ref="AF69:AF82" si="22">IF(AND(AB69&gt;0,D69=0),"无销量广告费为"&amp;AB69,IFERROR(AB69/(D69*$F69),""))</f>
        <v/>
      </c>
      <c r="AG69" s="23" t="str">
        <f t="shared" ref="AG69:AG8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2</v>
      </c>
      <c r="AJ69">
        <f>SUMIF('库存（子SKU）'!$C:$C,$A69,'库存（子SKU）'!AL:AL)</f>
        <v>7</v>
      </c>
      <c r="AK69">
        <f>SUMIF('库存（子SKU）'!$C:$C,$A69,'库存（子SKU）'!AM:AM)</f>
        <v>4</v>
      </c>
      <c r="AL69" s="23" t="str">
        <f t="shared" ref="AL69:AL82" si="24">IFERROR(B69/AH69,"")</f>
        <v/>
      </c>
      <c r="AM69" s="23">
        <f t="shared" ref="AM69:AM82" si="25">IFERROR(C69/AI69,"")</f>
        <v>7</v>
      </c>
      <c r="AN69" s="23">
        <f t="shared" ref="AN69:AN82" si="26">IFERROR(D69/AJ69,"")</f>
        <v>0</v>
      </c>
      <c r="AO69" s="23">
        <f t="shared" ref="AO69:AO82" si="27">IFERROR(E69/AK69,"")</f>
        <v>0</v>
      </c>
      <c r="AP69" s="8">
        <f t="shared" ref="AP69:AP82" si="28">B69/7</f>
        <v>0</v>
      </c>
      <c r="AQ69" s="8">
        <f t="shared" ref="AQ69:AQ82" si="29">AP69*60</f>
        <v>0</v>
      </c>
      <c r="AR69" s="8">
        <f t="shared" ref="AR69:AR82" si="30">K69-AQ69</f>
        <v>0</v>
      </c>
      <c r="AS69" t="str">
        <f t="shared" ref="AS69:AS82" si="31">IF(AP69=0,"库存为"&amp;K69,INT(K69/AP69))</f>
        <v>库存为0</v>
      </c>
      <c r="AT69" s="25" t="str">
        <f>IFERROR(时间!$B$4+AS69,"上周无销量")</f>
        <v>上周无销量</v>
      </c>
    </row>
    <row r="70" spans="1:46">
      <c r="A70" t="s">
        <v>1117</v>
      </c>
      <c r="B70" s="6">
        <f>SUMIF('库存（子SKU）'!$C:$C,$A70,'库存（子SKU）'!D:D)</f>
        <v>0</v>
      </c>
      <c r="C70" s="6">
        <f>SUMIF('库存（子SKU）'!$C:$C,$A70,'库存（子SKU）'!E:E)</f>
        <v>10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2</v>
      </c>
      <c r="O70">
        <f>SUMIF('库存（子SKU）'!$C:$C,$A70,'库存（子SKU）'!Q:Q)</f>
        <v>1</v>
      </c>
      <c r="P70">
        <f>SUMIF('库存（子SKU）'!$C:$C,$A70,'库存（子SKU）'!R:R)</f>
        <v>6</v>
      </c>
      <c r="Q70">
        <f>SUMIF('库存（子SKU）'!$C:$C,$A70,'库存（子SKU）'!S:S)</f>
        <v>1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>
        <f t="shared" ref="V70:V82" si="32">IFERROR(R70/N70,"")</f>
        <v>0</v>
      </c>
      <c r="W70" s="23">
        <f t="shared" ref="W70:W82" si="33">IFERROR(S70/O70,"")</f>
        <v>0</v>
      </c>
      <c r="X70" s="23">
        <f t="shared" ref="X70:X82" si="34">IFERROR(T70/P70,"")</f>
        <v>0</v>
      </c>
      <c r="Y70" s="23">
        <f t="shared" ref="Y70:Y82" si="35">IFERROR(U70/Q70,"")</f>
        <v>0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1</v>
      </c>
      <c r="AJ70">
        <f>SUMIF('库存（子SKU）'!$C:$C,$A70,'库存（子SKU）'!AL:AL)</f>
        <v>5</v>
      </c>
      <c r="AK70">
        <f>SUMIF('库存（子SKU）'!$C:$C,$A70,'库存（子SKU）'!AM:AM)</f>
        <v>2</v>
      </c>
      <c r="AL70" s="23" t="str">
        <f t="shared" si="24"/>
        <v/>
      </c>
      <c r="AM70" s="23">
        <f t="shared" si="25"/>
        <v>10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3</v>
      </c>
      <c r="AS70" t="str">
        <f t="shared" si="31"/>
        <v>库存为3</v>
      </c>
      <c r="AT70" s="25" t="str">
        <f>IFERROR(时间!$B$4+AS70,"上周无销量")</f>
        <v>上周无销量</v>
      </c>
    </row>
    <row r="71" spans="1:46">
      <c r="A71" t="s">
        <v>1120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>
        <v>15.99</v>
      </c>
      <c r="G71">
        <f>SUMIF('库存（子SKU）'!$C:$C,$A71,'库存（子SKU）'!I:I)</f>
        <v>71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71</v>
      </c>
      <c r="L71">
        <f>SUMIF('库存（子SKU）'!$C:$C,$A71,'库存（子SKU）'!N:N)</f>
        <v>0</v>
      </c>
      <c r="M71">
        <f>SUMIF('库存（子SKU）'!$C:$C,$A71,'库存（子SKU）'!O:O)</f>
        <v>71</v>
      </c>
      <c r="N71">
        <f>SUMIF('库存（子SKU）'!$C:$C,$A71,'库存（子SKU）'!P:P)</f>
        <v>0</v>
      </c>
      <c r="O71">
        <f>SUMIF('库存（子SKU）'!$C:$C,$A71,'库存（子SKU）'!Q:Q)</f>
        <v>493</v>
      </c>
      <c r="P71">
        <f>SUMIF('库存（子SKU）'!$C:$C,$A71,'库存（子SKU）'!R:R)</f>
        <v>3472</v>
      </c>
      <c r="Q71">
        <f>SUMIF('库存（子SKU）'!$C:$C,$A71,'库存（子SKU）'!S:S)</f>
        <v>2465</v>
      </c>
      <c r="R71">
        <f>SUMIF('库存（子SKU）'!$C:$C,$A71,'库存（子SKU）'!T:T)</f>
        <v>0</v>
      </c>
      <c r="S71">
        <f>SUMIF('库存（子SKU）'!$C:$C,$A71,'库存（子SKU）'!U:U)</f>
        <v>3</v>
      </c>
      <c r="T71">
        <f>SUMIF('库存（子SKU）'!$C:$C,$A71,'库存（子SKU）'!V:V)</f>
        <v>5</v>
      </c>
      <c r="U71">
        <f>SUMIF('库存（子SKU）'!$C:$C,$A71,'库存（子SKU）'!W:W)</f>
        <v>11</v>
      </c>
      <c r="V71" s="23" t="str">
        <f t="shared" si="32"/>
        <v/>
      </c>
      <c r="W71" s="23">
        <f t="shared" si="33"/>
        <v>0.00608519269776876</v>
      </c>
      <c r="X71" s="23">
        <f t="shared" si="34"/>
        <v>0.00144009216589862</v>
      </c>
      <c r="Y71" s="23">
        <f t="shared" si="35"/>
        <v>0.00446247464503043</v>
      </c>
      <c r="Z71">
        <f>SUMIF('库存（子SKU）'!$C:$C,$A71,'库存（子SKU）'!AB:AB)</f>
        <v>0</v>
      </c>
      <c r="AA71">
        <f>SUMIF('库存（子SKU）'!$C:$C,$A71,'库存（子SKU）'!AC:AC)</f>
        <v>1.42</v>
      </c>
      <c r="AB71">
        <f>SUMIF('库存（子SKU）'!$C:$C,$A71,'库存（子SKU）'!AD:AD)</f>
        <v>1.79</v>
      </c>
      <c r="AC71">
        <f>SUMIF('库存（子SKU）'!$C:$C,$A71,'库存（子SKU）'!AE:AE)</f>
        <v>5.87</v>
      </c>
      <c r="AD71" s="23" t="str">
        <f t="shared" si="20"/>
        <v/>
      </c>
      <c r="AE71" s="23" t="str">
        <f t="shared" si="21"/>
        <v>无销量广告费为1.42</v>
      </c>
      <c r="AF71" s="23" t="str">
        <f t="shared" si="22"/>
        <v>无销量广告费为1.79</v>
      </c>
      <c r="AG71" s="23" t="str">
        <f t="shared" si="23"/>
        <v>无销量广告费为5.87</v>
      </c>
      <c r="AH71">
        <f>SUMIF('库存（子SKU）'!$C:$C,$A71,'库存（子SKU）'!AJ:AJ)</f>
        <v>8</v>
      </c>
      <c r="AI71">
        <f>SUMIF('库存（子SKU）'!$C:$C,$A71,'库存（子SKU）'!AK:AK)</f>
        <v>12</v>
      </c>
      <c r="AJ71">
        <f>SUMIF('库存（子SKU）'!$C:$C,$A71,'库存（子SKU）'!AL:AL)</f>
        <v>14</v>
      </c>
      <c r="AK71">
        <f>SUMIF('库存（子SKU）'!$C:$C,$A71,'库存（子SKU）'!AM:AM)</f>
        <v>8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71</v>
      </c>
      <c r="AS71" t="str">
        <f t="shared" si="31"/>
        <v>库存为71</v>
      </c>
      <c r="AT71" s="25" t="str">
        <f>IFERROR(时间!$B$4+AS71,"上周无销量")</f>
        <v>上周无销量</v>
      </c>
    </row>
    <row r="72" spans="1:46">
      <c r="A72" t="s">
        <v>1128</v>
      </c>
      <c r="B72" s="6">
        <f>SUMIF('库存（子SKU）'!$C:$C,$A72,'库存（子SKU）'!D:D)</f>
        <v>3</v>
      </c>
      <c r="C72" s="6">
        <f>SUMIF('库存（子SKU）'!$C:$C,$A72,'库存（子SKU）'!E:E)</f>
        <v>1</v>
      </c>
      <c r="D72" s="6">
        <f>SUMIF('库存（子SKU）'!$C:$C,$A72,'库存（子SKU）'!F:F)</f>
        <v>0</v>
      </c>
      <c r="E72" s="6">
        <f>SUMIF('库存（子SKU）'!$C:$C,$A72,'库存（子SKU）'!G:G)</f>
        <v>1</v>
      </c>
      <c r="F72" s="7">
        <v>14.792</v>
      </c>
      <c r="G72">
        <f>SUMIF('库存（子SKU）'!$C:$C,$A72,'库存（子SKU）'!I:I)</f>
        <v>111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111</v>
      </c>
      <c r="L72">
        <f>SUMIF('库存（子SKU）'!$C:$C,$A72,'库存（子SKU）'!N:N)</f>
        <v>0</v>
      </c>
      <c r="M72">
        <f>SUMIF('库存（子SKU）'!$C:$C,$A72,'库存（子SKU）'!O:O)</f>
        <v>110</v>
      </c>
      <c r="N72">
        <f>SUMIF('库存（子SKU）'!$C:$C,$A72,'库存（子SKU）'!P:P)</f>
        <v>0</v>
      </c>
      <c r="O72">
        <f>SUMIF('库存（子SKU）'!$C:$C,$A72,'库存（子SKU）'!Q:Q)</f>
        <v>1791</v>
      </c>
      <c r="P72">
        <f>SUMIF('库存（子SKU）'!$C:$C,$A72,'库存（子SKU）'!R:R)</f>
        <v>2291</v>
      </c>
      <c r="Q72">
        <f>SUMIF('库存（子SKU）'!$C:$C,$A72,'库存（子SKU）'!S:S)</f>
        <v>2432</v>
      </c>
      <c r="R72">
        <f>SUMIF('库存（子SKU）'!$C:$C,$A72,'库存（子SKU）'!T:T)</f>
        <v>0</v>
      </c>
      <c r="S72">
        <f>SUMIF('库存（子SKU）'!$C:$C,$A72,'库存（子SKU）'!U:U)</f>
        <v>10</v>
      </c>
      <c r="T72">
        <f>SUMIF('库存（子SKU）'!$C:$C,$A72,'库存（子SKU）'!V:V)</f>
        <v>8</v>
      </c>
      <c r="U72">
        <f>SUMIF('库存（子SKU）'!$C:$C,$A72,'库存（子SKU）'!W:W)</f>
        <v>7</v>
      </c>
      <c r="V72" s="23" t="str">
        <f t="shared" si="32"/>
        <v/>
      </c>
      <c r="W72" s="23">
        <f t="shared" si="33"/>
        <v>0.00558347292015634</v>
      </c>
      <c r="X72" s="23">
        <f t="shared" si="34"/>
        <v>0.00349192492361414</v>
      </c>
      <c r="Y72" s="23">
        <f t="shared" si="35"/>
        <v>0.00287828947368421</v>
      </c>
      <c r="Z72">
        <f>SUMIF('库存（子SKU）'!$C:$C,$A72,'库存（子SKU）'!AB:AB)</f>
        <v>0</v>
      </c>
      <c r="AA72">
        <f>SUMIF('库存（子SKU）'!$C:$C,$A72,'库存（子SKU）'!AC:AC)</f>
        <v>3.17</v>
      </c>
      <c r="AB72">
        <f>SUMIF('库存（子SKU）'!$C:$C,$A72,'库存（子SKU）'!AD:AD)</f>
        <v>3.06</v>
      </c>
      <c r="AC72">
        <f>SUMIF('库存（子SKU）'!$C:$C,$A72,'库存（子SKU）'!AE:AE)</f>
        <v>2.36</v>
      </c>
      <c r="AD72" s="23">
        <f t="shared" si="20"/>
        <v>0</v>
      </c>
      <c r="AE72" s="23">
        <f t="shared" si="21"/>
        <v>0.214305029745809</v>
      </c>
      <c r="AF72" s="23" t="str">
        <f t="shared" si="22"/>
        <v>无销量广告费为3.06</v>
      </c>
      <c r="AG72" s="23">
        <f t="shared" si="23"/>
        <v>0.159545700378583</v>
      </c>
      <c r="AH72">
        <f>SUMIF('库存（子SKU）'!$C:$C,$A72,'库存（子SKU）'!AJ:AJ)</f>
        <v>64</v>
      </c>
      <c r="AI72">
        <f>SUMIF('库存（子SKU）'!$C:$C,$A72,'库存（子SKU）'!AK:AK)</f>
        <v>59</v>
      </c>
      <c r="AJ72">
        <f>SUMIF('库存（子SKU）'!$C:$C,$A72,'库存（子SKU）'!AL:AL)</f>
        <v>71</v>
      </c>
      <c r="AK72">
        <f>SUMIF('库存（子SKU）'!$C:$C,$A72,'库存（子SKU）'!AM:AM)</f>
        <v>27</v>
      </c>
      <c r="AL72" s="23">
        <f t="shared" si="24"/>
        <v>0.046875</v>
      </c>
      <c r="AM72" s="23">
        <f t="shared" si="25"/>
        <v>0.0169491525423729</v>
      </c>
      <c r="AN72" s="23">
        <f t="shared" si="26"/>
        <v>0</v>
      </c>
      <c r="AO72" s="23">
        <f t="shared" si="27"/>
        <v>0.037037037037037</v>
      </c>
      <c r="AP72" s="8">
        <f t="shared" si="28"/>
        <v>0.428571428571429</v>
      </c>
      <c r="AQ72" s="8">
        <f t="shared" si="29"/>
        <v>25.7142857142857</v>
      </c>
      <c r="AR72" s="8">
        <f t="shared" si="30"/>
        <v>85.2857142857143</v>
      </c>
      <c r="AS72">
        <f t="shared" si="31"/>
        <v>259</v>
      </c>
      <c r="AT72" s="25">
        <f>IFERROR(时间!$B$4+AS72,"上周无销量")</f>
        <v>43598</v>
      </c>
    </row>
    <row r="73" spans="1:46">
      <c r="A73" t="s">
        <v>1157</v>
      </c>
      <c r="B73" s="6">
        <f>SUMIF('库存（子SKU）'!$C:$C,$A73,'库存（子SKU）'!D:D)</f>
        <v>0</v>
      </c>
      <c r="C73" s="6">
        <f>SUMIF('库存（子SKU）'!$C:$C,$A73,'库存（子SKU）'!E:E)</f>
        <v>1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3</v>
      </c>
      <c r="L73">
        <f>SUMIF('库存（子SKU）'!$C:$C,$A73,'库存（子SKU）'!N:N)</f>
        <v>0</v>
      </c>
      <c r="M73">
        <f>SUMIF('库存（子SKU）'!$C:$C,$A73,'库存（子SKU）'!O:O)</f>
        <v>3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13</v>
      </c>
      <c r="AI73">
        <f>SUMIF('库存（子SKU）'!$C:$C,$A73,'库存（子SKU）'!AK:AK)</f>
        <v>8</v>
      </c>
      <c r="AJ73">
        <f>SUMIF('库存（子SKU）'!$C:$C,$A73,'库存（子SKU）'!AL:AL)</f>
        <v>14</v>
      </c>
      <c r="AK73">
        <f>SUMIF('库存（子SKU）'!$C:$C,$A73,'库存（子SKU）'!AM:AM)</f>
        <v>16</v>
      </c>
      <c r="AL73" s="23">
        <f t="shared" si="24"/>
        <v>0</v>
      </c>
      <c r="AM73" s="23">
        <f t="shared" si="25"/>
        <v>0.125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3</v>
      </c>
      <c r="AS73" t="str">
        <f t="shared" si="31"/>
        <v>库存为3</v>
      </c>
      <c r="AT73" s="25" t="str">
        <f>IFERROR(时间!$B$4+AS73,"上周无销量")</f>
        <v>上周无销量</v>
      </c>
    </row>
    <row r="74" spans="1:46">
      <c r="A74" t="s">
        <v>1160</v>
      </c>
      <c r="B74" s="6">
        <f>SUMIF('库存（子SKU）'!$C:$C,$A74,'库存（子SKU）'!D:D)</f>
        <v>0</v>
      </c>
      <c r="C74" s="6">
        <f>SUMIF('库存（子SKU）'!$C:$C,$A74,'库存（子SKU）'!E:E)</f>
        <v>28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v>0</v>
      </c>
      <c r="G74">
        <f>SUMIF('库存（子SKU）'!$C:$C,$A74,'库存（子SKU）'!I:I)</f>
        <v>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</v>
      </c>
      <c r="L74">
        <f>SUMIF('库存（子SKU）'!$C:$C,$A74,'库存（子SKU）'!N:N)</f>
        <v>0</v>
      </c>
      <c r="M74">
        <f>SUMIF('库存（子SKU）'!$C:$C,$A74,'库存（子SKU）'!O:O)</f>
        <v>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7</v>
      </c>
      <c r="AI74">
        <f>SUMIF('库存（子SKU）'!$C:$C,$A74,'库存（子SKU）'!AK:AK)</f>
        <v>6</v>
      </c>
      <c r="AJ74">
        <f>SUMIF('库存（子SKU）'!$C:$C,$A74,'库存（子SKU）'!AL:AL)</f>
        <v>72</v>
      </c>
      <c r="AK74">
        <f>SUMIF('库存（子SKU）'!$C:$C,$A74,'库存（子SKU）'!AM:AM)</f>
        <v>47</v>
      </c>
      <c r="AL74" s="23">
        <f t="shared" si="24"/>
        <v>0</v>
      </c>
      <c r="AM74" s="23">
        <f t="shared" si="25"/>
        <v>4.66666666666667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</v>
      </c>
      <c r="AS74" t="str">
        <f t="shared" si="31"/>
        <v>库存为1</v>
      </c>
      <c r="AT74" s="25" t="str">
        <f>IFERROR(时间!$B$4+AS74,"上周无销量")</f>
        <v>上周无销量</v>
      </c>
    </row>
    <row r="75" spans="1:46">
      <c r="A75" t="s">
        <v>1200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1</v>
      </c>
      <c r="F75" s="7" t="s">
        <v>54</v>
      </c>
      <c r="G75">
        <f>SUMIF('库存（子SKU）'!$C:$C,$A75,'库存（子SKU）'!I:I)</f>
        <v>7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7</v>
      </c>
      <c r="L75">
        <f>SUMIF('库存（子SKU）'!$C:$C,$A75,'库存（子SKU）'!N:N)</f>
        <v>0</v>
      </c>
      <c r="M75">
        <f>SUMIF('库存（子SKU）'!$C:$C,$A75,'库存（子SKU）'!O:O)</f>
        <v>7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9</v>
      </c>
      <c r="AI75">
        <f>SUMIF('库存（子SKU）'!$C:$C,$A75,'库存（子SKU）'!AK:AK)</f>
        <v>14</v>
      </c>
      <c r="AJ75">
        <f>SUMIF('库存（子SKU）'!$C:$C,$A75,'库存（子SKU）'!AL:AL)</f>
        <v>19</v>
      </c>
      <c r="AK75">
        <f>SUMIF('库存（子SKU）'!$C:$C,$A75,'库存（子SKU）'!AM:AM)</f>
        <v>16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0.0625</v>
      </c>
      <c r="AP75" s="8">
        <f t="shared" si="28"/>
        <v>0</v>
      </c>
      <c r="AQ75" s="8">
        <f t="shared" si="29"/>
        <v>0</v>
      </c>
      <c r="AR75" s="8">
        <f t="shared" si="30"/>
        <v>7</v>
      </c>
      <c r="AS75" t="str">
        <f t="shared" si="31"/>
        <v>库存为7</v>
      </c>
      <c r="AT75" s="25" t="str">
        <f>IFERROR(时间!$B$4+AS75,"上周无销量")</f>
        <v>上周无销量</v>
      </c>
    </row>
    <row r="76" spans="1:46">
      <c r="A76" t="s">
        <v>1203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1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</v>
      </c>
      <c r="L76">
        <f>SUMIF('库存（子SKU）'!$C:$C,$A76,'库存（子SKU）'!N:N)</f>
        <v>0</v>
      </c>
      <c r="M76">
        <f>SUMIF('库存（子SKU）'!$C:$C,$A76,'库存（子SKU）'!O:O)</f>
        <v>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5</v>
      </c>
      <c r="AI76">
        <f>SUMIF('库存（子SKU）'!$C:$C,$A76,'库存（子SKU）'!AK:AK)</f>
        <v>3</v>
      </c>
      <c r="AJ76">
        <f>SUMIF('库存（子SKU）'!$C:$C,$A76,'库存（子SKU）'!AL:AL)</f>
        <v>3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1</v>
      </c>
      <c r="AS76" t="str">
        <f t="shared" si="31"/>
        <v>库存为1</v>
      </c>
      <c r="AT76" s="25" t="str">
        <f>IFERROR(时间!$B$4+AS76,"上周无销量")</f>
        <v>上周无销量</v>
      </c>
    </row>
    <row r="77" spans="1:46">
      <c r="A77" t="s">
        <v>1206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19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19</v>
      </c>
      <c r="L77">
        <f>SUMIF('库存（子SKU）'!$C:$C,$A77,'库存（子SKU）'!N:N)</f>
        <v>0</v>
      </c>
      <c r="M77">
        <f>SUMIF('库存（子SKU）'!$C:$C,$A77,'库存（子SKU）'!O:O)</f>
        <v>19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8</v>
      </c>
      <c r="AI77">
        <f>SUMIF('库存（子SKU）'!$C:$C,$A77,'库存（子SKU）'!AK:AK)</f>
        <v>8</v>
      </c>
      <c r="AJ77">
        <f>SUMIF('库存（子SKU）'!$C:$C,$A77,'库存（子SKU）'!AL:AL)</f>
        <v>5</v>
      </c>
      <c r="AK77">
        <f>SUMIF('库存（子SKU）'!$C:$C,$A77,'库存（子SKU）'!AM:AM)</f>
        <v>4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19</v>
      </c>
      <c r="AS77" t="str">
        <f t="shared" si="31"/>
        <v>库存为19</v>
      </c>
      <c r="AT77" s="25" t="str">
        <f>IFERROR(时间!$B$4+AS77,"上周无销量")</f>
        <v>上周无销量</v>
      </c>
    </row>
    <row r="78" spans="1:46">
      <c r="A78" t="s">
        <v>1213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2</v>
      </c>
      <c r="L78">
        <f>SUMIF('库存（子SKU）'!$C:$C,$A78,'库存（子SKU）'!N:N)</f>
        <v>0</v>
      </c>
      <c r="M78">
        <f>SUMIF('库存（子SKU）'!$C:$C,$A78,'库存（子SKU）'!O:O)</f>
        <v>2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3</v>
      </c>
      <c r="AJ78">
        <f>SUMIF('库存（子SKU）'!$C:$C,$A78,'库存（子SKU）'!AL:AL)</f>
        <v>2</v>
      </c>
      <c r="AK78">
        <f>SUMIF('库存（子SKU）'!$C:$C,$A78,'库存（子SKU）'!AM:AM)</f>
        <v>4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2</v>
      </c>
      <c r="AS78" t="str">
        <f t="shared" si="31"/>
        <v>库存为2</v>
      </c>
      <c r="AT78" s="25" t="str">
        <f>IFERROR(时间!$B$4+AS78,"上周无销量")</f>
        <v>上周无销量</v>
      </c>
    </row>
    <row r="79" spans="1:46">
      <c r="A79" t="s">
        <v>1216</v>
      </c>
      <c r="B79" s="6">
        <f>SUMIF('库存（子SKU）'!$C:$C,$A79,'库存（子SKU）'!D:D)</f>
        <v>0</v>
      </c>
      <c r="C79" s="6">
        <f>SUMIF('库存（子SKU）'!$C:$C,$A79,'库存（子SKU）'!E:E)</f>
        <v>33</v>
      </c>
      <c r="D79" s="6">
        <f>SUMIF('库存（子SKU）'!$C:$C,$A79,'库存（子SKU）'!F:F)</f>
        <v>0</v>
      </c>
      <c r="E79" s="6">
        <f>SUMIF('库存（子SKU）'!$C:$C,$A79,'库存（子SKU）'!G:G)</f>
        <v>1</v>
      </c>
      <c r="F79" s="7">
        <v>0.264411764705882</v>
      </c>
      <c r="G79">
        <f>SUMIF('库存（子SKU）'!$C:$C,$A79,'库存（子SKU）'!I:I)</f>
        <v>248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248</v>
      </c>
      <c r="L79">
        <f>SUMIF('库存（子SKU）'!$C:$C,$A79,'库存（子SKU）'!N:N)</f>
        <v>0</v>
      </c>
      <c r="M79">
        <f>SUMIF('库存（子SKU）'!$C:$C,$A79,'库存（子SKU）'!O:O)</f>
        <v>224</v>
      </c>
      <c r="N79">
        <f>SUMIF('库存（子SKU）'!$C:$C,$A79,'库存（子SKU）'!P:P)</f>
        <v>0</v>
      </c>
      <c r="O79">
        <f>SUMIF('库存（子SKU）'!$C:$C,$A79,'库存（子SKU）'!Q:Q)</f>
        <v>113</v>
      </c>
      <c r="P79">
        <f>SUMIF('库存（子SKU）'!$C:$C,$A79,'库存（子SKU）'!R:R)</f>
        <v>250</v>
      </c>
      <c r="Q79">
        <f>SUMIF('库存（子SKU）'!$C:$C,$A79,'库存（子SKU）'!S:S)</f>
        <v>356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1</v>
      </c>
      <c r="U79">
        <f>SUMIF('库存（子SKU）'!$C:$C,$A79,'库存（子SKU）'!W:W)</f>
        <v>0</v>
      </c>
      <c r="V79" s="23" t="str">
        <f t="shared" si="32"/>
        <v/>
      </c>
      <c r="W79" s="23">
        <f t="shared" si="33"/>
        <v>0</v>
      </c>
      <c r="X79" s="23">
        <f t="shared" si="34"/>
        <v>0.004</v>
      </c>
      <c r="Y79" s="23">
        <f t="shared" si="35"/>
        <v>0</v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0.19</v>
      </c>
      <c r="AC79">
        <f>SUMIF('库存（子SKU）'!$C:$C,$A79,'库存（子SKU）'!AE:AE)</f>
        <v>0</v>
      </c>
      <c r="AD79" s="23" t="str">
        <f t="shared" si="20"/>
        <v/>
      </c>
      <c r="AE79" s="23">
        <f t="shared" si="21"/>
        <v>0</v>
      </c>
      <c r="AF79" s="23" t="str">
        <f t="shared" si="22"/>
        <v>无销量广告费为0.19</v>
      </c>
      <c r="AG79" s="23">
        <f t="shared" si="23"/>
        <v>0</v>
      </c>
      <c r="AH79">
        <f>SUMIF('库存（子SKU）'!$C:$C,$A79,'库存（子SKU）'!AJ:AJ)</f>
        <v>11</v>
      </c>
      <c r="AI79">
        <f>SUMIF('库存（子SKU）'!$C:$C,$A79,'库存（子SKU）'!AK:AK)</f>
        <v>22</v>
      </c>
      <c r="AJ79">
        <f>SUMIF('库存（子SKU）'!$C:$C,$A79,'库存（子SKU）'!AL:AL)</f>
        <v>33</v>
      </c>
      <c r="AK79">
        <f>SUMIF('库存（子SKU）'!$C:$C,$A79,'库存（子SKU）'!AM:AM)</f>
        <v>19</v>
      </c>
      <c r="AL79" s="23">
        <f t="shared" si="24"/>
        <v>0</v>
      </c>
      <c r="AM79" s="23">
        <f t="shared" si="25"/>
        <v>1.5</v>
      </c>
      <c r="AN79" s="23">
        <f t="shared" si="26"/>
        <v>0</v>
      </c>
      <c r="AO79" s="23">
        <f t="shared" si="27"/>
        <v>0.0526315789473684</v>
      </c>
      <c r="AP79" s="8">
        <f t="shared" si="28"/>
        <v>0</v>
      </c>
      <c r="AQ79" s="8">
        <f t="shared" si="29"/>
        <v>0</v>
      </c>
      <c r="AR79" s="8">
        <f t="shared" si="30"/>
        <v>248</v>
      </c>
      <c r="AS79" t="str">
        <f t="shared" si="31"/>
        <v>库存为248</v>
      </c>
      <c r="AT79" s="25" t="str">
        <f>IFERROR(时间!$B$4+AS79,"上周无销量")</f>
        <v>上周无销量</v>
      </c>
    </row>
    <row r="80" spans="1:46">
      <c r="A80" t="s">
        <v>1219</v>
      </c>
      <c r="B80" s="6">
        <f>SUMIF('库存（子SKU）'!$C:$C,$A80,'库存（子SKU）'!D:D)</f>
        <v>0</v>
      </c>
      <c r="C80" s="6">
        <f>SUMIF('库存（子SKU）'!$C:$C,$A80,'库存（子SKU）'!E:E)</f>
        <v>23</v>
      </c>
      <c r="D80" s="6">
        <f>SUMIF('库存（子SKU）'!$C:$C,$A80,'库存（子SKU）'!F:F)</f>
        <v>1</v>
      </c>
      <c r="E80" s="6">
        <f>SUMIF('库存（子SKU）'!$C:$C,$A80,'库存（子SKU）'!G:G)</f>
        <v>0</v>
      </c>
      <c r="F80" s="7">
        <v>0.374583333333333</v>
      </c>
      <c r="G80">
        <f>SUMIF('库存（子SKU）'!$C:$C,$A80,'库存（子SKU）'!I:I)</f>
        <v>100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100</v>
      </c>
      <c r="L80">
        <f>SUMIF('库存（子SKU）'!$C:$C,$A80,'库存（子SKU）'!N:N)</f>
        <v>0</v>
      </c>
      <c r="M80">
        <f>SUMIF('库存（子SKU）'!$C:$C,$A80,'库存（子SKU）'!O:O)</f>
        <v>76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>
        <f t="shared" si="21"/>
        <v>0</v>
      </c>
      <c r="AF80" s="23">
        <f t="shared" si="22"/>
        <v>0</v>
      </c>
      <c r="AG80" s="23" t="str">
        <f t="shared" si="23"/>
        <v/>
      </c>
      <c r="AH80">
        <f>SUMIF('库存（子SKU）'!$C:$C,$A80,'库存（子SKU）'!AJ:AJ)</f>
        <v>5</v>
      </c>
      <c r="AI80">
        <f>SUMIF('库存（子SKU）'!$C:$C,$A80,'库存（子SKU）'!AK:AK)</f>
        <v>8</v>
      </c>
      <c r="AJ80">
        <f>SUMIF('库存（子SKU）'!$C:$C,$A80,'库存（子SKU）'!AL:AL)</f>
        <v>40</v>
      </c>
      <c r="AK80">
        <f>SUMIF('库存（子SKU）'!$C:$C,$A80,'库存（子SKU）'!AM:AM)</f>
        <v>1</v>
      </c>
      <c r="AL80" s="23">
        <f t="shared" si="24"/>
        <v>0</v>
      </c>
      <c r="AM80" s="23">
        <f t="shared" si="25"/>
        <v>2.875</v>
      </c>
      <c r="AN80" s="23">
        <f t="shared" si="26"/>
        <v>0.025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100</v>
      </c>
      <c r="AS80" t="str">
        <f t="shared" si="31"/>
        <v>库存为100</v>
      </c>
      <c r="AT80" s="25" t="str">
        <f>IFERROR(时间!$B$4+AS80,"上周无销量")</f>
        <v>上周无销量</v>
      </c>
    </row>
    <row r="81" spans="1:46">
      <c r="A81" t="s">
        <v>1230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4</v>
      </c>
      <c r="L81">
        <f>SUMIF('库存（子SKU）'!$C:$C,$A81,'库存（子SKU）'!N:N)</f>
        <v>0</v>
      </c>
      <c r="M81">
        <f>SUMIF('库存（子SKU）'!$C:$C,$A81,'库存（子SKU）'!O:O)</f>
        <v>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1</v>
      </c>
      <c r="AI81">
        <f>SUMIF('库存（子SKU）'!$C:$C,$A81,'库存（子SKU）'!AK:AK)</f>
        <v>5</v>
      </c>
      <c r="AJ81">
        <f>SUMIF('库存（子SKU）'!$C:$C,$A81,'库存（子SKU）'!AL:AL)</f>
        <v>4</v>
      </c>
      <c r="AK81">
        <f>SUMIF('库存（子SKU）'!$C:$C,$A81,'库存（子SKU）'!AM:AM)</f>
        <v>3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4</v>
      </c>
      <c r="AS81" t="str">
        <f t="shared" si="31"/>
        <v>库存为4</v>
      </c>
      <c r="AT81" s="25" t="str">
        <f>IFERROR(时间!$B$4+AS81,"上周无销量")</f>
        <v>上周无销量</v>
      </c>
    </row>
    <row r="82" spans="1:46">
      <c r="A82" t="s">
        <v>1243</v>
      </c>
      <c r="B82" s="6">
        <f>SUMIF('库存（子SKU）'!$C:$C,$A82,'库存（子SKU）'!D:D)</f>
        <v>0</v>
      </c>
      <c r="C82" s="6">
        <f>SUMIF('库存（子SKU）'!$C:$C,$A82,'库存（子SKU）'!E:E)</f>
        <v>2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</v>
      </c>
      <c r="L82">
        <f>SUMIF('库存（子SKU）'!$C:$C,$A82,'库存（子SKU）'!N:N)</f>
        <v>0</v>
      </c>
      <c r="M82">
        <f>SUMIF('库存（子SKU）'!$C:$C,$A82,'库存（子SKU）'!O:O)</f>
        <v>4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17</v>
      </c>
      <c r="AI82">
        <f>SUMIF('库存（子SKU）'!$C:$C,$A82,'库存（子SKU）'!AK:AK)</f>
        <v>12</v>
      </c>
      <c r="AJ82">
        <f>SUMIF('库存（子SKU）'!$C:$C,$A82,'库存（子SKU）'!AL:AL)</f>
        <v>3</v>
      </c>
      <c r="AK82">
        <f>SUMIF('库存（子SKU）'!$C:$C,$A82,'库存（子SKU）'!AM:AM)</f>
        <v>2</v>
      </c>
      <c r="AL82" s="23">
        <f t="shared" si="24"/>
        <v>0</v>
      </c>
      <c r="AM82" s="23">
        <f t="shared" si="25"/>
        <v>0.166666666666667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4</v>
      </c>
      <c r="AS82" t="str">
        <f t="shared" si="31"/>
        <v>库存为4</v>
      </c>
      <c r="AT82" s="25" t="str">
        <f>IFERROR(时间!$B$4+AS82,"上周无销量")</f>
        <v>上周无销量</v>
      </c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706" operator="lessThan">
      <formula>20</formula>
    </cfRule>
    <cfRule type="cellIs" dxfId="1" priority="2705" operator="greaterThan">
      <formula>120</formula>
    </cfRule>
    <cfRule type="containsText" dxfId="3" priority="2704" operator="between" text="库存">
      <formula>NOT(ISERROR(SEARCH("库存",AS2)))</formula>
    </cfRule>
  </conditionalFormatting>
  <conditionalFormatting sqref="AS6">
    <cfRule type="cellIs" dxfId="0" priority="231" operator="lessThan">
      <formula>20</formula>
    </cfRule>
    <cfRule type="cellIs" dxfId="1" priority="154" operator="greaterThan">
      <formula>120</formula>
    </cfRule>
    <cfRule type="containsText" dxfId="3" priority="77" operator="between" text="库存">
      <formula>NOT(ISERROR(SEARCH("库存",AS6)))</formula>
    </cfRule>
  </conditionalFormatting>
  <conditionalFormatting sqref="AS7">
    <cfRule type="cellIs" dxfId="0" priority="230" operator="lessThan">
      <formula>20</formula>
    </cfRule>
    <cfRule type="cellIs" dxfId="1" priority="153" operator="greaterThan">
      <formula>120</formula>
    </cfRule>
    <cfRule type="containsText" dxfId="3" priority="76" operator="between" text="库存">
      <formula>NOT(ISERROR(SEARCH("库存",AS7)))</formula>
    </cfRule>
  </conditionalFormatting>
  <conditionalFormatting sqref="AS8">
    <cfRule type="cellIs" dxfId="0" priority="229" operator="lessThan">
      <formula>20</formula>
    </cfRule>
    <cfRule type="cellIs" dxfId="1" priority="152" operator="greaterThan">
      <formula>120</formula>
    </cfRule>
    <cfRule type="containsText" dxfId="3" priority="75" operator="between" text="库存">
      <formula>NOT(ISERROR(SEARCH("库存",AS8)))</formula>
    </cfRule>
  </conditionalFormatting>
  <conditionalFormatting sqref="AS9">
    <cfRule type="cellIs" dxfId="0" priority="228" operator="lessThan">
      <formula>20</formula>
    </cfRule>
    <cfRule type="cellIs" dxfId="1" priority="151" operator="greaterThan">
      <formula>120</formula>
    </cfRule>
    <cfRule type="containsText" dxfId="3" priority="74" operator="between" text="库存">
      <formula>NOT(ISERROR(SEARCH("库存",AS9)))</formula>
    </cfRule>
  </conditionalFormatting>
  <conditionalFormatting sqref="AS10">
    <cfRule type="cellIs" dxfId="0" priority="227" operator="lessThan">
      <formula>20</formula>
    </cfRule>
    <cfRule type="cellIs" dxfId="1" priority="150" operator="greaterThan">
      <formula>120</formula>
    </cfRule>
    <cfRule type="containsText" dxfId="3" priority="73" operator="between" text="库存">
      <formula>NOT(ISERROR(SEARCH("库存",AS10)))</formula>
    </cfRule>
  </conditionalFormatting>
  <conditionalFormatting sqref="AS11">
    <cfRule type="cellIs" dxfId="0" priority="226" operator="lessThan">
      <formula>20</formula>
    </cfRule>
    <cfRule type="cellIs" dxfId="1" priority="149" operator="greaterThan">
      <formula>120</formula>
    </cfRule>
    <cfRule type="containsText" dxfId="3" priority="72" operator="between" text="库存">
      <formula>NOT(ISERROR(SEARCH("库存",AS11)))</formula>
    </cfRule>
  </conditionalFormatting>
  <conditionalFormatting sqref="AS12">
    <cfRule type="cellIs" dxfId="0" priority="225" operator="lessThan">
      <formula>20</formula>
    </cfRule>
    <cfRule type="cellIs" dxfId="1" priority="148" operator="greaterThan">
      <formula>120</formula>
    </cfRule>
    <cfRule type="containsText" dxfId="3" priority="71" operator="between" text="库存">
      <formula>NOT(ISERROR(SEARCH("库存",AS12)))</formula>
    </cfRule>
  </conditionalFormatting>
  <conditionalFormatting sqref="AS13">
    <cfRule type="cellIs" dxfId="0" priority="224" operator="lessThan">
      <formula>20</formula>
    </cfRule>
    <cfRule type="cellIs" dxfId="1" priority="147" operator="greaterThan">
      <formula>120</formula>
    </cfRule>
    <cfRule type="containsText" dxfId="3" priority="70" operator="between" text="库存">
      <formula>NOT(ISERROR(SEARCH("库存",AS13)))</formula>
    </cfRule>
  </conditionalFormatting>
  <conditionalFormatting sqref="AS14">
    <cfRule type="cellIs" dxfId="0" priority="223" operator="lessThan">
      <formula>20</formula>
    </cfRule>
    <cfRule type="cellIs" dxfId="1" priority="146" operator="greaterThan">
      <formula>120</formula>
    </cfRule>
    <cfRule type="containsText" dxfId="3" priority="69" operator="between" text="库存">
      <formula>NOT(ISERROR(SEARCH("库存",AS14)))</formula>
    </cfRule>
  </conditionalFormatting>
  <conditionalFormatting sqref="AS15">
    <cfRule type="cellIs" dxfId="0" priority="222" operator="lessThan">
      <formula>20</formula>
    </cfRule>
    <cfRule type="cellIs" dxfId="1" priority="145" operator="greaterThan">
      <formula>120</formula>
    </cfRule>
    <cfRule type="containsText" dxfId="3" priority="68" operator="between" text="库存">
      <formula>NOT(ISERROR(SEARCH("库存",AS15)))</formula>
    </cfRule>
  </conditionalFormatting>
  <conditionalFormatting sqref="AS16">
    <cfRule type="cellIs" dxfId="0" priority="221" operator="lessThan">
      <formula>20</formula>
    </cfRule>
    <cfRule type="cellIs" dxfId="1" priority="144" operator="greaterThan">
      <formula>120</formula>
    </cfRule>
    <cfRule type="containsText" dxfId="3" priority="67" operator="between" text="库存">
      <formula>NOT(ISERROR(SEARCH("库存",AS16)))</formula>
    </cfRule>
  </conditionalFormatting>
  <conditionalFormatting sqref="AS17">
    <cfRule type="cellIs" dxfId="0" priority="220" operator="lessThan">
      <formula>20</formula>
    </cfRule>
    <cfRule type="cellIs" dxfId="1" priority="143" operator="greaterThan">
      <formula>120</formula>
    </cfRule>
    <cfRule type="containsText" dxfId="3" priority="66" operator="between" text="库存">
      <formula>NOT(ISERROR(SEARCH("库存",AS17)))</formula>
    </cfRule>
  </conditionalFormatting>
  <conditionalFormatting sqref="AS18">
    <cfRule type="cellIs" dxfId="0" priority="219" operator="lessThan">
      <formula>20</formula>
    </cfRule>
    <cfRule type="cellIs" dxfId="1" priority="142" operator="greaterThan">
      <formula>120</formula>
    </cfRule>
    <cfRule type="containsText" dxfId="3" priority="65" operator="between" text="库存">
      <formula>NOT(ISERROR(SEARCH("库存",AS18)))</formula>
    </cfRule>
  </conditionalFormatting>
  <conditionalFormatting sqref="AS19">
    <cfRule type="cellIs" dxfId="0" priority="218" operator="lessThan">
      <formula>20</formula>
    </cfRule>
    <cfRule type="cellIs" dxfId="1" priority="141" operator="greaterThan">
      <formula>120</formula>
    </cfRule>
    <cfRule type="containsText" dxfId="3" priority="64" operator="between" text="库存">
      <formula>NOT(ISERROR(SEARCH("库存",AS19)))</formula>
    </cfRule>
  </conditionalFormatting>
  <conditionalFormatting sqref="AS20">
    <cfRule type="cellIs" dxfId="0" priority="217" operator="lessThan">
      <formula>20</formula>
    </cfRule>
    <cfRule type="cellIs" dxfId="1" priority="140" operator="greaterThan">
      <formula>120</formula>
    </cfRule>
    <cfRule type="containsText" dxfId="3" priority="63" operator="between" text="库存">
      <formula>NOT(ISERROR(SEARCH("库存",AS20)))</formula>
    </cfRule>
  </conditionalFormatting>
  <conditionalFormatting sqref="AS21">
    <cfRule type="cellIs" dxfId="0" priority="216" operator="lessThan">
      <formula>20</formula>
    </cfRule>
    <cfRule type="cellIs" dxfId="1" priority="139" operator="greaterThan">
      <formula>120</formula>
    </cfRule>
    <cfRule type="containsText" dxfId="3" priority="62" operator="between" text="库存">
      <formula>NOT(ISERROR(SEARCH("库存",AS21)))</formula>
    </cfRule>
  </conditionalFormatting>
  <conditionalFormatting sqref="AS22">
    <cfRule type="cellIs" dxfId="0" priority="215" operator="lessThan">
      <formula>20</formula>
    </cfRule>
    <cfRule type="cellIs" dxfId="1" priority="138" operator="greaterThan">
      <formula>120</formula>
    </cfRule>
    <cfRule type="containsText" dxfId="3" priority="61" operator="between" text="库存">
      <formula>NOT(ISERROR(SEARCH("库存",AS22)))</formula>
    </cfRule>
  </conditionalFormatting>
  <conditionalFormatting sqref="AS23">
    <cfRule type="cellIs" dxfId="0" priority="214" operator="lessThan">
      <formula>20</formula>
    </cfRule>
    <cfRule type="cellIs" dxfId="1" priority="137" operator="greaterThan">
      <formula>120</formula>
    </cfRule>
    <cfRule type="containsText" dxfId="3" priority="60" operator="between" text="库存">
      <formula>NOT(ISERROR(SEARCH("库存",AS23)))</formula>
    </cfRule>
  </conditionalFormatting>
  <conditionalFormatting sqref="AS24">
    <cfRule type="cellIs" dxfId="0" priority="213" operator="lessThan">
      <formula>20</formula>
    </cfRule>
    <cfRule type="cellIs" dxfId="1" priority="136" operator="greaterThan">
      <formula>120</formula>
    </cfRule>
    <cfRule type="containsText" dxfId="3" priority="59" operator="between" text="库存">
      <formula>NOT(ISERROR(SEARCH("库存",AS24)))</formula>
    </cfRule>
  </conditionalFormatting>
  <conditionalFormatting sqref="AS25">
    <cfRule type="cellIs" dxfId="0" priority="212" operator="lessThan">
      <formula>20</formula>
    </cfRule>
    <cfRule type="cellIs" dxfId="1" priority="135" operator="greaterThan">
      <formula>120</formula>
    </cfRule>
    <cfRule type="containsText" dxfId="3" priority="58" operator="between" text="库存">
      <formula>NOT(ISERROR(SEARCH("库存",AS25)))</formula>
    </cfRule>
  </conditionalFormatting>
  <conditionalFormatting sqref="AS26">
    <cfRule type="cellIs" dxfId="0" priority="211" operator="lessThan">
      <formula>20</formula>
    </cfRule>
    <cfRule type="cellIs" dxfId="1" priority="134" operator="greaterThan">
      <formula>120</formula>
    </cfRule>
    <cfRule type="containsText" dxfId="3" priority="57" operator="between" text="库存">
      <formula>NOT(ISERROR(SEARCH("库存",AS26)))</formula>
    </cfRule>
  </conditionalFormatting>
  <conditionalFormatting sqref="AS27">
    <cfRule type="cellIs" dxfId="0" priority="210" operator="lessThan">
      <formula>20</formula>
    </cfRule>
    <cfRule type="cellIs" dxfId="1" priority="133" operator="greaterThan">
      <formula>120</formula>
    </cfRule>
    <cfRule type="containsText" dxfId="3" priority="56" operator="between" text="库存">
      <formula>NOT(ISERROR(SEARCH("库存",AS27)))</formula>
    </cfRule>
  </conditionalFormatting>
  <conditionalFormatting sqref="AS28">
    <cfRule type="cellIs" dxfId="0" priority="209" operator="lessThan">
      <formula>20</formula>
    </cfRule>
    <cfRule type="cellIs" dxfId="1" priority="132" operator="greaterThan">
      <formula>120</formula>
    </cfRule>
    <cfRule type="containsText" dxfId="3" priority="55" operator="between" text="库存">
      <formula>NOT(ISERROR(SEARCH("库存",AS28)))</formula>
    </cfRule>
  </conditionalFormatting>
  <conditionalFormatting sqref="AS29">
    <cfRule type="cellIs" dxfId="0" priority="208" operator="lessThan">
      <formula>20</formula>
    </cfRule>
    <cfRule type="cellIs" dxfId="1" priority="131" operator="greaterThan">
      <formula>120</formula>
    </cfRule>
    <cfRule type="containsText" dxfId="3" priority="54" operator="between" text="库存">
      <formula>NOT(ISERROR(SEARCH("库存",AS29)))</formula>
    </cfRule>
  </conditionalFormatting>
  <conditionalFormatting sqref="AS30">
    <cfRule type="cellIs" dxfId="0" priority="207" operator="lessThan">
      <formula>20</formula>
    </cfRule>
    <cfRule type="cellIs" dxfId="1" priority="130" operator="greaterThan">
      <formula>120</formula>
    </cfRule>
    <cfRule type="containsText" dxfId="3" priority="53" operator="between" text="库存">
      <formula>NOT(ISERROR(SEARCH("库存",AS30)))</formula>
    </cfRule>
  </conditionalFormatting>
  <conditionalFormatting sqref="AS31">
    <cfRule type="cellIs" dxfId="0" priority="206" operator="lessThan">
      <formula>20</formula>
    </cfRule>
    <cfRule type="cellIs" dxfId="1" priority="129" operator="greaterThan">
      <formula>120</formula>
    </cfRule>
    <cfRule type="containsText" dxfId="3" priority="52" operator="between" text="库存">
      <formula>NOT(ISERROR(SEARCH("库存",AS31)))</formula>
    </cfRule>
  </conditionalFormatting>
  <conditionalFormatting sqref="AS32">
    <cfRule type="cellIs" dxfId="0" priority="205" operator="lessThan">
      <formula>20</formula>
    </cfRule>
    <cfRule type="cellIs" dxfId="1" priority="128" operator="greaterThan">
      <formula>120</formula>
    </cfRule>
    <cfRule type="containsText" dxfId="3" priority="51" operator="between" text="库存">
      <formula>NOT(ISERROR(SEARCH("库存",AS32)))</formula>
    </cfRule>
  </conditionalFormatting>
  <conditionalFormatting sqref="AS33">
    <cfRule type="cellIs" dxfId="0" priority="204" operator="lessThan">
      <formula>20</formula>
    </cfRule>
    <cfRule type="cellIs" dxfId="1" priority="127" operator="greaterThan">
      <formula>120</formula>
    </cfRule>
    <cfRule type="containsText" dxfId="3" priority="50" operator="between" text="库存">
      <formula>NOT(ISERROR(SEARCH("库存",AS33)))</formula>
    </cfRule>
  </conditionalFormatting>
  <conditionalFormatting sqref="AS34">
    <cfRule type="cellIs" dxfId="0" priority="203" operator="lessThan">
      <formula>20</formula>
    </cfRule>
    <cfRule type="cellIs" dxfId="1" priority="126" operator="greaterThan">
      <formula>120</formula>
    </cfRule>
    <cfRule type="containsText" dxfId="3" priority="49" operator="between" text="库存">
      <formula>NOT(ISERROR(SEARCH("库存",AS34)))</formula>
    </cfRule>
  </conditionalFormatting>
  <conditionalFormatting sqref="AS35">
    <cfRule type="cellIs" dxfId="0" priority="202" operator="lessThan">
      <formula>20</formula>
    </cfRule>
    <cfRule type="cellIs" dxfId="1" priority="125" operator="greaterThan">
      <formula>120</formula>
    </cfRule>
    <cfRule type="containsText" dxfId="3" priority="48" operator="between" text="库存">
      <formula>NOT(ISERROR(SEARCH("库存",AS35)))</formula>
    </cfRule>
  </conditionalFormatting>
  <conditionalFormatting sqref="AS36">
    <cfRule type="cellIs" dxfId="0" priority="201" operator="lessThan">
      <formula>20</formula>
    </cfRule>
    <cfRule type="cellIs" dxfId="1" priority="124" operator="greaterThan">
      <formula>120</formula>
    </cfRule>
    <cfRule type="containsText" dxfId="3" priority="47" operator="between" text="库存">
      <formula>NOT(ISERROR(SEARCH("库存",AS36)))</formula>
    </cfRule>
  </conditionalFormatting>
  <conditionalFormatting sqref="AS37">
    <cfRule type="cellIs" dxfId="0" priority="200" operator="lessThan">
      <formula>20</formula>
    </cfRule>
    <cfRule type="cellIs" dxfId="1" priority="123" operator="greaterThan">
      <formula>120</formula>
    </cfRule>
    <cfRule type="containsText" dxfId="3" priority="46" operator="between" text="库存">
      <formula>NOT(ISERROR(SEARCH("库存",AS37)))</formula>
    </cfRule>
  </conditionalFormatting>
  <conditionalFormatting sqref="AS38">
    <cfRule type="cellIs" dxfId="0" priority="199" operator="lessThan">
      <formula>20</formula>
    </cfRule>
    <cfRule type="cellIs" dxfId="1" priority="122" operator="greaterThan">
      <formula>120</formula>
    </cfRule>
    <cfRule type="containsText" dxfId="3" priority="45" operator="between" text="库存">
      <formula>NOT(ISERROR(SEARCH("库存",AS38)))</formula>
    </cfRule>
  </conditionalFormatting>
  <conditionalFormatting sqref="AS39">
    <cfRule type="cellIs" dxfId="0" priority="198" operator="lessThan">
      <formula>20</formula>
    </cfRule>
    <cfRule type="cellIs" dxfId="1" priority="121" operator="greaterThan">
      <formula>120</formula>
    </cfRule>
    <cfRule type="containsText" dxfId="3" priority="44" operator="between" text="库存">
      <formula>NOT(ISERROR(SEARCH("库存",AS39)))</formula>
    </cfRule>
  </conditionalFormatting>
  <conditionalFormatting sqref="AS40">
    <cfRule type="cellIs" dxfId="0" priority="197" operator="lessThan">
      <formula>20</formula>
    </cfRule>
    <cfRule type="cellIs" dxfId="1" priority="120" operator="greaterThan">
      <formula>120</formula>
    </cfRule>
    <cfRule type="containsText" dxfId="3" priority="43" operator="between" text="库存">
      <formula>NOT(ISERROR(SEARCH("库存",AS40)))</formula>
    </cfRule>
  </conditionalFormatting>
  <conditionalFormatting sqref="AS41">
    <cfRule type="cellIs" dxfId="0" priority="196" operator="lessThan">
      <formula>20</formula>
    </cfRule>
    <cfRule type="cellIs" dxfId="1" priority="119" operator="greaterThan">
      <formula>120</formula>
    </cfRule>
    <cfRule type="containsText" dxfId="3" priority="42" operator="between" text="库存">
      <formula>NOT(ISERROR(SEARCH("库存",AS41)))</formula>
    </cfRule>
  </conditionalFormatting>
  <conditionalFormatting sqref="AS42">
    <cfRule type="cellIs" dxfId="0" priority="195" operator="lessThan">
      <formula>20</formula>
    </cfRule>
    <cfRule type="cellIs" dxfId="1" priority="118" operator="greaterThan">
      <formula>120</formula>
    </cfRule>
    <cfRule type="containsText" dxfId="3" priority="41" operator="between" text="库存">
      <formula>NOT(ISERROR(SEARCH("库存",AS42)))</formula>
    </cfRule>
  </conditionalFormatting>
  <conditionalFormatting sqref="AS43">
    <cfRule type="cellIs" dxfId="0" priority="194" operator="lessThan">
      <formula>20</formula>
    </cfRule>
    <cfRule type="cellIs" dxfId="1" priority="117" operator="greaterThan">
      <formula>120</formula>
    </cfRule>
    <cfRule type="containsText" dxfId="3" priority="40" operator="between" text="库存">
      <formula>NOT(ISERROR(SEARCH("库存",AS43)))</formula>
    </cfRule>
  </conditionalFormatting>
  <conditionalFormatting sqref="AS44">
    <cfRule type="cellIs" dxfId="0" priority="193" operator="lessThan">
      <formula>20</formula>
    </cfRule>
    <cfRule type="cellIs" dxfId="1" priority="116" operator="greaterThan">
      <formula>120</formula>
    </cfRule>
    <cfRule type="containsText" dxfId="3" priority="39" operator="between" text="库存">
      <formula>NOT(ISERROR(SEARCH("库存",AS44)))</formula>
    </cfRule>
  </conditionalFormatting>
  <conditionalFormatting sqref="AS45">
    <cfRule type="cellIs" dxfId="0" priority="192" operator="lessThan">
      <formula>20</formula>
    </cfRule>
    <cfRule type="cellIs" dxfId="1" priority="115" operator="greaterThan">
      <formula>120</formula>
    </cfRule>
    <cfRule type="containsText" dxfId="3" priority="38" operator="between" text="库存">
      <formula>NOT(ISERROR(SEARCH("库存",AS45)))</formula>
    </cfRule>
  </conditionalFormatting>
  <conditionalFormatting sqref="AS46">
    <cfRule type="cellIs" dxfId="0" priority="191" operator="lessThan">
      <formula>20</formula>
    </cfRule>
    <cfRule type="cellIs" dxfId="1" priority="114" operator="greaterThan">
      <formula>120</formula>
    </cfRule>
    <cfRule type="containsText" dxfId="3" priority="37" operator="between" text="库存">
      <formula>NOT(ISERROR(SEARCH("库存",AS46)))</formula>
    </cfRule>
  </conditionalFormatting>
  <conditionalFormatting sqref="AS47">
    <cfRule type="cellIs" dxfId="0" priority="190" operator="lessThan">
      <formula>20</formula>
    </cfRule>
    <cfRule type="cellIs" dxfId="1" priority="113" operator="greaterThan">
      <formula>120</formula>
    </cfRule>
    <cfRule type="containsText" dxfId="3" priority="36" operator="between" text="库存">
      <formula>NOT(ISERROR(SEARCH("库存",AS47)))</formula>
    </cfRule>
  </conditionalFormatting>
  <conditionalFormatting sqref="AS48">
    <cfRule type="cellIs" dxfId="0" priority="189" operator="lessThan">
      <formula>20</formula>
    </cfRule>
    <cfRule type="cellIs" dxfId="1" priority="112" operator="greaterThan">
      <formula>120</formula>
    </cfRule>
    <cfRule type="containsText" dxfId="3" priority="35" operator="between" text="库存">
      <formula>NOT(ISERROR(SEARCH("库存",AS48)))</formula>
    </cfRule>
  </conditionalFormatting>
  <conditionalFormatting sqref="AS49">
    <cfRule type="cellIs" dxfId="0" priority="188" operator="lessThan">
      <formula>20</formula>
    </cfRule>
    <cfRule type="cellIs" dxfId="1" priority="111" operator="greaterThan">
      <formula>120</formula>
    </cfRule>
    <cfRule type="containsText" dxfId="3" priority="34" operator="between" text="库存">
      <formula>NOT(ISERROR(SEARCH("库存",AS49)))</formula>
    </cfRule>
  </conditionalFormatting>
  <conditionalFormatting sqref="AS50">
    <cfRule type="cellIs" dxfId="0" priority="187" operator="lessThan">
      <formula>20</formula>
    </cfRule>
    <cfRule type="cellIs" dxfId="1" priority="110" operator="greaterThan">
      <formula>120</formula>
    </cfRule>
    <cfRule type="containsText" dxfId="3" priority="33" operator="between" text="库存">
      <formula>NOT(ISERROR(SEARCH("库存",AS50)))</formula>
    </cfRule>
  </conditionalFormatting>
  <conditionalFormatting sqref="AS51">
    <cfRule type="cellIs" dxfId="0" priority="186" operator="lessThan">
      <formula>20</formula>
    </cfRule>
    <cfRule type="cellIs" dxfId="1" priority="109" operator="greaterThan">
      <formula>120</formula>
    </cfRule>
    <cfRule type="containsText" dxfId="3" priority="32" operator="between" text="库存">
      <formula>NOT(ISERROR(SEARCH("库存",AS51)))</formula>
    </cfRule>
  </conditionalFormatting>
  <conditionalFormatting sqref="AS52">
    <cfRule type="cellIs" dxfId="0" priority="185" operator="lessThan">
      <formula>20</formula>
    </cfRule>
    <cfRule type="cellIs" dxfId="1" priority="108" operator="greaterThan">
      <formula>120</formula>
    </cfRule>
    <cfRule type="containsText" dxfId="3" priority="31" operator="between" text="库存">
      <formula>NOT(ISERROR(SEARCH("库存",AS52)))</formula>
    </cfRule>
  </conditionalFormatting>
  <conditionalFormatting sqref="AS53">
    <cfRule type="cellIs" dxfId="0" priority="184" operator="lessThan">
      <formula>20</formula>
    </cfRule>
    <cfRule type="cellIs" dxfId="1" priority="107" operator="greaterThan">
      <formula>120</formula>
    </cfRule>
    <cfRule type="containsText" dxfId="3" priority="30" operator="between" text="库存">
      <formula>NOT(ISERROR(SEARCH("库存",AS53)))</formula>
    </cfRule>
  </conditionalFormatting>
  <conditionalFormatting sqref="AS54">
    <cfRule type="cellIs" dxfId="0" priority="183" operator="lessThan">
      <formula>20</formula>
    </cfRule>
    <cfRule type="cellIs" dxfId="1" priority="106" operator="greaterThan">
      <formula>120</formula>
    </cfRule>
    <cfRule type="containsText" dxfId="3" priority="29" operator="between" text="库存">
      <formula>NOT(ISERROR(SEARCH("库存",AS54)))</formula>
    </cfRule>
  </conditionalFormatting>
  <conditionalFormatting sqref="AS55">
    <cfRule type="cellIs" dxfId="0" priority="182" operator="lessThan">
      <formula>20</formula>
    </cfRule>
    <cfRule type="cellIs" dxfId="1" priority="105" operator="greaterThan">
      <formula>120</formula>
    </cfRule>
    <cfRule type="containsText" dxfId="3" priority="28" operator="between" text="库存">
      <formula>NOT(ISERROR(SEARCH("库存",AS55)))</formula>
    </cfRule>
  </conditionalFormatting>
  <conditionalFormatting sqref="AS56">
    <cfRule type="cellIs" dxfId="0" priority="181" operator="lessThan">
      <formula>20</formula>
    </cfRule>
    <cfRule type="cellIs" dxfId="1" priority="104" operator="greaterThan">
      <formula>120</formula>
    </cfRule>
    <cfRule type="containsText" dxfId="3" priority="27" operator="between" text="库存">
      <formula>NOT(ISERROR(SEARCH("库存",AS56)))</formula>
    </cfRule>
  </conditionalFormatting>
  <conditionalFormatting sqref="AS57">
    <cfRule type="cellIs" dxfId="0" priority="180" operator="lessThan">
      <formula>20</formula>
    </cfRule>
    <cfRule type="cellIs" dxfId="1" priority="103" operator="greaterThan">
      <formula>120</formula>
    </cfRule>
    <cfRule type="containsText" dxfId="3" priority="26" operator="between" text="库存">
      <formula>NOT(ISERROR(SEARCH("库存",AS57)))</formula>
    </cfRule>
  </conditionalFormatting>
  <conditionalFormatting sqref="AS58">
    <cfRule type="cellIs" dxfId="0" priority="179" operator="lessThan">
      <formula>20</formula>
    </cfRule>
    <cfRule type="cellIs" dxfId="1" priority="102" operator="greaterThan">
      <formula>120</formula>
    </cfRule>
    <cfRule type="containsText" dxfId="3" priority="25" operator="between" text="库存">
      <formula>NOT(ISERROR(SEARCH("库存",AS58)))</formula>
    </cfRule>
  </conditionalFormatting>
  <conditionalFormatting sqref="AS59">
    <cfRule type="cellIs" dxfId="0" priority="178" operator="lessThan">
      <formula>20</formula>
    </cfRule>
    <cfRule type="cellIs" dxfId="1" priority="101" operator="greaterThan">
      <formula>120</formula>
    </cfRule>
    <cfRule type="containsText" dxfId="3" priority="24" operator="between" text="库存">
      <formula>NOT(ISERROR(SEARCH("库存",AS59)))</formula>
    </cfRule>
  </conditionalFormatting>
  <conditionalFormatting sqref="AS60">
    <cfRule type="cellIs" dxfId="0" priority="177" operator="lessThan">
      <formula>20</formula>
    </cfRule>
    <cfRule type="cellIs" dxfId="1" priority="100" operator="greaterThan">
      <formula>120</formula>
    </cfRule>
    <cfRule type="containsText" dxfId="3" priority="23" operator="between" text="库存">
      <formula>NOT(ISERROR(SEARCH("库存",AS60)))</formula>
    </cfRule>
  </conditionalFormatting>
  <conditionalFormatting sqref="AS61">
    <cfRule type="cellIs" dxfId="0" priority="176" operator="lessThan">
      <formula>20</formula>
    </cfRule>
    <cfRule type="cellIs" dxfId="1" priority="99" operator="greaterThan">
      <formula>120</formula>
    </cfRule>
    <cfRule type="containsText" dxfId="3" priority="22" operator="between" text="库存">
      <formula>NOT(ISERROR(SEARCH("库存",AS61)))</formula>
    </cfRule>
  </conditionalFormatting>
  <conditionalFormatting sqref="AS62">
    <cfRule type="cellIs" dxfId="0" priority="175" operator="lessThan">
      <formula>20</formula>
    </cfRule>
    <cfRule type="cellIs" dxfId="1" priority="98" operator="greaterThan">
      <formula>120</formula>
    </cfRule>
    <cfRule type="containsText" dxfId="3" priority="21" operator="between" text="库存">
      <formula>NOT(ISERROR(SEARCH("库存",AS62)))</formula>
    </cfRule>
  </conditionalFormatting>
  <conditionalFormatting sqref="AS63">
    <cfRule type="cellIs" dxfId="0" priority="174" operator="lessThan">
      <formula>20</formula>
    </cfRule>
    <cfRule type="cellIs" dxfId="1" priority="97" operator="greaterThan">
      <formula>120</formula>
    </cfRule>
    <cfRule type="containsText" dxfId="3" priority="20" operator="between" text="库存">
      <formula>NOT(ISERROR(SEARCH("库存",AS63)))</formula>
    </cfRule>
  </conditionalFormatting>
  <conditionalFormatting sqref="AS64">
    <cfRule type="cellIs" dxfId="0" priority="173" operator="lessThan">
      <formula>20</formula>
    </cfRule>
    <cfRule type="cellIs" dxfId="1" priority="96" operator="greaterThan">
      <formula>120</formula>
    </cfRule>
    <cfRule type="containsText" dxfId="3" priority="19" operator="between" text="库存">
      <formula>NOT(ISERROR(SEARCH("库存",AS64)))</formula>
    </cfRule>
  </conditionalFormatting>
  <conditionalFormatting sqref="AS65">
    <cfRule type="cellIs" dxfId="0" priority="172" operator="lessThan">
      <formula>20</formula>
    </cfRule>
    <cfRule type="cellIs" dxfId="1" priority="95" operator="greaterThan">
      <formula>120</formula>
    </cfRule>
    <cfRule type="containsText" dxfId="3" priority="18" operator="between" text="库存">
      <formula>NOT(ISERROR(SEARCH("库存",AS65)))</formula>
    </cfRule>
  </conditionalFormatting>
  <conditionalFormatting sqref="AS66">
    <cfRule type="cellIs" dxfId="0" priority="171" operator="lessThan">
      <formula>20</formula>
    </cfRule>
    <cfRule type="cellIs" dxfId="1" priority="94" operator="greaterThan">
      <formula>120</formula>
    </cfRule>
    <cfRule type="containsText" dxfId="3" priority="17" operator="between" text="库存">
      <formula>NOT(ISERROR(SEARCH("库存",AS66)))</formula>
    </cfRule>
  </conditionalFormatting>
  <conditionalFormatting sqref="AS67">
    <cfRule type="cellIs" dxfId="0" priority="170" operator="lessThan">
      <formula>20</formula>
    </cfRule>
    <cfRule type="cellIs" dxfId="1" priority="93" operator="greaterThan">
      <formula>120</formula>
    </cfRule>
    <cfRule type="containsText" dxfId="3" priority="16" operator="between" text="库存">
      <formula>NOT(ISERROR(SEARCH("库存",AS67)))</formula>
    </cfRule>
  </conditionalFormatting>
  <conditionalFormatting sqref="AS68">
    <cfRule type="cellIs" dxfId="0" priority="169" operator="lessThan">
      <formula>20</formula>
    </cfRule>
    <cfRule type="cellIs" dxfId="1" priority="92" operator="greaterThan">
      <formula>120</formula>
    </cfRule>
    <cfRule type="containsText" dxfId="3" priority="15" operator="between" text="库存">
      <formula>NOT(ISERROR(SEARCH("库存",AS68)))</formula>
    </cfRule>
  </conditionalFormatting>
  <conditionalFormatting sqref="AS69">
    <cfRule type="cellIs" dxfId="0" priority="168" operator="lessThan">
      <formula>20</formula>
    </cfRule>
    <cfRule type="cellIs" dxfId="1" priority="91" operator="greaterThan">
      <formula>120</formula>
    </cfRule>
    <cfRule type="containsText" dxfId="3" priority="14" operator="between" text="库存">
      <formula>NOT(ISERROR(SEARCH("库存",AS69)))</formula>
    </cfRule>
  </conditionalFormatting>
  <conditionalFormatting sqref="AS70">
    <cfRule type="cellIs" dxfId="0" priority="167" operator="lessThan">
      <formula>20</formula>
    </cfRule>
    <cfRule type="cellIs" dxfId="1" priority="90" operator="greaterThan">
      <formula>120</formula>
    </cfRule>
    <cfRule type="containsText" dxfId="3" priority="13" operator="between" text="库存">
      <formula>NOT(ISERROR(SEARCH("库存",AS70)))</formula>
    </cfRule>
  </conditionalFormatting>
  <conditionalFormatting sqref="AS71">
    <cfRule type="cellIs" dxfId="0" priority="166" operator="lessThan">
      <formula>20</formula>
    </cfRule>
    <cfRule type="cellIs" dxfId="1" priority="89" operator="greaterThan">
      <formula>120</formula>
    </cfRule>
    <cfRule type="containsText" dxfId="3" priority="12" operator="between" text="库存">
      <formula>NOT(ISERROR(SEARCH("库存",AS71)))</formula>
    </cfRule>
  </conditionalFormatting>
  <conditionalFormatting sqref="AS72">
    <cfRule type="cellIs" dxfId="0" priority="165" operator="lessThan">
      <formula>20</formula>
    </cfRule>
    <cfRule type="cellIs" dxfId="1" priority="88" operator="greaterThan">
      <formula>120</formula>
    </cfRule>
    <cfRule type="containsText" dxfId="3" priority="11" operator="between" text="库存">
      <formula>NOT(ISERROR(SEARCH("库存",AS72)))</formula>
    </cfRule>
  </conditionalFormatting>
  <conditionalFormatting sqref="AS73">
    <cfRule type="cellIs" dxfId="0" priority="164" operator="lessThan">
      <formula>20</formula>
    </cfRule>
    <cfRule type="cellIs" dxfId="1" priority="87" operator="greaterThan">
      <formula>120</formula>
    </cfRule>
    <cfRule type="containsText" dxfId="3" priority="10" operator="between" text="库存">
      <formula>NOT(ISERROR(SEARCH("库存",AS73)))</formula>
    </cfRule>
  </conditionalFormatting>
  <conditionalFormatting sqref="AS74">
    <cfRule type="cellIs" dxfId="0" priority="163" operator="lessThan">
      <formula>20</formula>
    </cfRule>
    <cfRule type="cellIs" dxfId="1" priority="86" operator="greaterThan">
      <formula>120</formula>
    </cfRule>
    <cfRule type="containsText" dxfId="3" priority="9" operator="between" text="库存">
      <formula>NOT(ISERROR(SEARCH("库存",AS74)))</formula>
    </cfRule>
  </conditionalFormatting>
  <conditionalFormatting sqref="AS75">
    <cfRule type="cellIs" dxfId="0" priority="162" operator="lessThan">
      <formula>20</formula>
    </cfRule>
    <cfRule type="cellIs" dxfId="1" priority="85" operator="greaterThan">
      <formula>120</formula>
    </cfRule>
    <cfRule type="containsText" dxfId="3" priority="8" operator="between" text="库存">
      <formula>NOT(ISERROR(SEARCH("库存",AS75)))</formula>
    </cfRule>
  </conditionalFormatting>
  <conditionalFormatting sqref="AS76">
    <cfRule type="cellIs" dxfId="0" priority="161" operator="lessThan">
      <formula>20</formula>
    </cfRule>
    <cfRule type="cellIs" dxfId="1" priority="84" operator="greaterThan">
      <formula>120</formula>
    </cfRule>
    <cfRule type="containsText" dxfId="3" priority="7" operator="between" text="库存">
      <formula>NOT(ISERROR(SEARCH("库存",AS76)))</formula>
    </cfRule>
  </conditionalFormatting>
  <conditionalFormatting sqref="AS77">
    <cfRule type="cellIs" dxfId="0" priority="160" operator="lessThan">
      <formula>20</formula>
    </cfRule>
    <cfRule type="cellIs" dxfId="1" priority="83" operator="greaterThan">
      <formula>120</formula>
    </cfRule>
    <cfRule type="containsText" dxfId="3" priority="6" operator="between" text="库存">
      <formula>NOT(ISERROR(SEARCH("库存",AS77)))</formula>
    </cfRule>
  </conditionalFormatting>
  <conditionalFormatting sqref="AS78">
    <cfRule type="cellIs" dxfId="0" priority="159" operator="lessThan">
      <formula>20</formula>
    </cfRule>
    <cfRule type="cellIs" dxfId="1" priority="82" operator="greaterThan">
      <formula>120</formula>
    </cfRule>
    <cfRule type="containsText" dxfId="3" priority="5" operator="between" text="库存">
      <formula>NOT(ISERROR(SEARCH("库存",AS78)))</formula>
    </cfRule>
  </conditionalFormatting>
  <conditionalFormatting sqref="AS79">
    <cfRule type="cellIs" dxfId="0" priority="158" operator="lessThan">
      <formula>20</formula>
    </cfRule>
    <cfRule type="cellIs" dxfId="1" priority="81" operator="greaterThan">
      <formula>120</formula>
    </cfRule>
    <cfRule type="containsText" dxfId="3" priority="4" operator="between" text="库存">
      <formula>NOT(ISERROR(SEARCH("库存",AS79)))</formula>
    </cfRule>
  </conditionalFormatting>
  <conditionalFormatting sqref="AS80">
    <cfRule type="cellIs" dxfId="0" priority="157" operator="lessThan">
      <formula>20</formula>
    </cfRule>
    <cfRule type="cellIs" dxfId="1" priority="80" operator="greaterThan">
      <formula>120</formula>
    </cfRule>
    <cfRule type="containsText" dxfId="3" priority="3" operator="between" text="库存">
      <formula>NOT(ISERROR(SEARCH("库存",AS80)))</formula>
    </cfRule>
  </conditionalFormatting>
  <conditionalFormatting sqref="AS81">
    <cfRule type="cellIs" dxfId="0" priority="156" operator="lessThan">
      <formula>20</formula>
    </cfRule>
    <cfRule type="cellIs" dxfId="1" priority="79" operator="greaterThan">
      <formula>120</formula>
    </cfRule>
    <cfRule type="containsText" dxfId="3" priority="2" operator="between" text="库存">
      <formula>NOT(ISERROR(SEARCH("库存",AS81)))</formula>
    </cfRule>
  </conditionalFormatting>
  <conditionalFormatting sqref="AS82">
    <cfRule type="cellIs" dxfId="0" priority="155" operator="lessThan">
      <formula>20</formula>
    </cfRule>
    <cfRule type="cellIs" dxfId="1" priority="78" operator="greaterThan">
      <formula>120</formula>
    </cfRule>
    <cfRule type="containsText" dxfId="3" priority="1" operator="between" text="库存">
      <formula>NOT(ISERROR(SEARCH("库存",AS82)))</formula>
    </cfRule>
  </conditionalFormatting>
  <conditionalFormatting sqref="AS83">
    <cfRule type="cellIs" dxfId="0" priority="427" operator="lessThan">
      <formula>20</formula>
    </cfRule>
    <cfRule type="cellIs" dxfId="1" priority="336" operator="greaterThan">
      <formula>120</formula>
    </cfRule>
    <cfRule type="containsText" dxfId="3" priority="245" operator="between" text="库存">
      <formula>NOT(ISERROR(SEARCH("库存",AS83)))</formula>
    </cfRule>
  </conditionalFormatting>
  <conditionalFormatting sqref="AS84">
    <cfRule type="cellIs" dxfId="0" priority="426" operator="lessThan">
      <formula>20</formula>
    </cfRule>
    <cfRule type="cellIs" dxfId="1" priority="335" operator="greaterThan">
      <formula>120</formula>
    </cfRule>
    <cfRule type="containsText" dxfId="3" priority="244" operator="between" text="库存">
      <formula>NOT(ISERROR(SEARCH("库存",AS84)))</formula>
    </cfRule>
  </conditionalFormatting>
  <conditionalFormatting sqref="AS85">
    <cfRule type="cellIs" dxfId="0" priority="425" operator="lessThan">
      <formula>20</formula>
    </cfRule>
    <cfRule type="cellIs" dxfId="1" priority="334" operator="greaterThan">
      <formula>120</formula>
    </cfRule>
    <cfRule type="containsText" dxfId="3" priority="243" operator="between" text="库存">
      <formula>NOT(ISERROR(SEARCH("库存",AS85)))</formula>
    </cfRule>
  </conditionalFormatting>
  <conditionalFormatting sqref="AS86">
    <cfRule type="cellIs" dxfId="0" priority="424" operator="lessThan">
      <formula>20</formula>
    </cfRule>
    <cfRule type="cellIs" dxfId="1" priority="333" operator="greaterThan">
      <formula>120</formula>
    </cfRule>
    <cfRule type="containsText" dxfId="3" priority="242" operator="between" text="库存">
      <formula>NOT(ISERROR(SEARCH("库存",AS86)))</formula>
    </cfRule>
  </conditionalFormatting>
  <conditionalFormatting sqref="AS87">
    <cfRule type="cellIs" dxfId="0" priority="423" operator="lessThan">
      <formula>20</formula>
    </cfRule>
    <cfRule type="cellIs" dxfId="1" priority="332" operator="greaterThan">
      <formula>120</formula>
    </cfRule>
    <cfRule type="containsText" dxfId="3" priority="241" operator="between" text="库存">
      <formula>NOT(ISERROR(SEARCH("库存",AS87)))</formula>
    </cfRule>
  </conditionalFormatting>
  <conditionalFormatting sqref="AS88">
    <cfRule type="cellIs" dxfId="0" priority="422" operator="lessThan">
      <formula>20</formula>
    </cfRule>
    <cfRule type="cellIs" dxfId="1" priority="331" operator="greaterThan">
      <formula>120</formula>
    </cfRule>
    <cfRule type="containsText" dxfId="3" priority="240" operator="between" text="库存">
      <formula>NOT(ISERROR(SEARCH("库存",AS88)))</formula>
    </cfRule>
  </conditionalFormatting>
  <conditionalFormatting sqref="AS89">
    <cfRule type="cellIs" dxfId="0" priority="421" operator="lessThan">
      <formula>20</formula>
    </cfRule>
    <cfRule type="cellIs" dxfId="1" priority="330" operator="greaterThan">
      <formula>120</formula>
    </cfRule>
    <cfRule type="containsText" dxfId="3" priority="239" operator="between" text="库存">
      <formula>NOT(ISERROR(SEARCH("库存",AS89)))</formula>
    </cfRule>
  </conditionalFormatting>
  <conditionalFormatting sqref="AS90">
    <cfRule type="cellIs" dxfId="0" priority="420" operator="lessThan">
      <formula>20</formula>
    </cfRule>
    <cfRule type="cellIs" dxfId="1" priority="329" operator="greaterThan">
      <formula>120</formula>
    </cfRule>
    <cfRule type="containsText" dxfId="3" priority="238" operator="between" text="库存">
      <formula>NOT(ISERROR(SEARCH("库存",AS90)))</formula>
    </cfRule>
  </conditionalFormatting>
  <conditionalFormatting sqref="AS91">
    <cfRule type="cellIs" dxfId="0" priority="419" operator="lessThan">
      <formula>20</formula>
    </cfRule>
    <cfRule type="cellIs" dxfId="1" priority="328" operator="greaterThan">
      <formula>120</formula>
    </cfRule>
    <cfRule type="containsText" dxfId="3" priority="237" operator="between" text="库存">
      <formula>NOT(ISERROR(SEARCH("库存",AS91)))</formula>
    </cfRule>
  </conditionalFormatting>
  <conditionalFormatting sqref="AS92">
    <cfRule type="cellIs" dxfId="0" priority="418" operator="lessThan">
      <formula>20</formula>
    </cfRule>
    <cfRule type="cellIs" dxfId="1" priority="327" operator="greaterThan">
      <formula>120</formula>
    </cfRule>
    <cfRule type="containsText" dxfId="3" priority="236" operator="between" text="库存">
      <formula>NOT(ISERROR(SEARCH("库存",AS92)))</formula>
    </cfRule>
  </conditionalFormatting>
  <conditionalFormatting sqref="AS93">
    <cfRule type="cellIs" dxfId="0" priority="417" operator="lessThan">
      <formula>20</formula>
    </cfRule>
    <cfRule type="cellIs" dxfId="1" priority="326" operator="greaterThan">
      <formula>120</formula>
    </cfRule>
    <cfRule type="containsText" dxfId="3" priority="235" operator="between" text="库存">
      <formula>NOT(ISERROR(SEARCH("库存",AS93)))</formula>
    </cfRule>
  </conditionalFormatting>
  <conditionalFormatting sqref="AS94">
    <cfRule type="cellIs" dxfId="0" priority="416" operator="lessThan">
      <formula>20</formula>
    </cfRule>
    <cfRule type="cellIs" dxfId="1" priority="325" operator="greaterThan">
      <formula>120</formula>
    </cfRule>
    <cfRule type="containsText" dxfId="3" priority="234" operator="between" text="库存">
      <formula>NOT(ISERROR(SEARCH("库存",AS94)))</formula>
    </cfRule>
  </conditionalFormatting>
  <conditionalFormatting sqref="AS95">
    <cfRule type="cellIs" dxfId="0" priority="415" operator="lessThan">
      <formula>20</formula>
    </cfRule>
    <cfRule type="cellIs" dxfId="1" priority="324" operator="greaterThan">
      <formula>120</formula>
    </cfRule>
    <cfRule type="containsText" dxfId="3" priority="233" operator="between" text="库存">
      <formula>NOT(ISERROR(SEARCH("库存",AS95)))</formula>
    </cfRule>
  </conditionalFormatting>
  <conditionalFormatting sqref="AS96">
    <cfRule type="cellIs" dxfId="0" priority="414" operator="lessThan">
      <formula>20</formula>
    </cfRule>
    <cfRule type="cellIs" dxfId="1" priority="323" operator="greaterThan">
      <formula>120</formula>
    </cfRule>
    <cfRule type="containsText" dxfId="3" priority="232" operator="between" text="库存">
      <formula>NOT(ISERROR(SEARCH("库存",AS96)))</formula>
    </cfRule>
  </conditionalFormatting>
  <conditionalFormatting sqref="AS1 AS3:AS5 AS97:AS1048576">
    <cfRule type="cellIs" dxfId="0" priority="2709" operator="lessThan">
      <formula>20</formula>
    </cfRule>
    <cfRule type="cellIs" dxfId="1" priority="2708" operator="greaterThan">
      <formula>120</formula>
    </cfRule>
    <cfRule type="containsText" dxfId="3" priority="270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1254</v>
      </c>
      <c r="B1" s="2">
        <f>B12</f>
        <v>43311</v>
      </c>
    </row>
    <row r="2" spans="1:2">
      <c r="A2" s="1" t="s">
        <v>1255</v>
      </c>
      <c r="B2" s="2">
        <v>43338</v>
      </c>
    </row>
    <row r="3" spans="1:2">
      <c r="A3" s="1"/>
      <c r="B3" s="1"/>
    </row>
    <row r="4" spans="1:2">
      <c r="A4" s="1" t="s">
        <v>1256</v>
      </c>
      <c r="B4" s="3">
        <f>B2+1</f>
        <v>43339</v>
      </c>
    </row>
    <row r="5" spans="1:2">
      <c r="A5" s="1" t="s">
        <v>1257</v>
      </c>
      <c r="B5" s="4">
        <f>B2</f>
        <v>43338</v>
      </c>
    </row>
    <row r="6" spans="1:2">
      <c r="A6" s="1" t="s">
        <v>1258</v>
      </c>
      <c r="B6" s="3">
        <f>B5-6</f>
        <v>43332</v>
      </c>
    </row>
    <row r="7" spans="1:2">
      <c r="A7" s="1" t="s">
        <v>1259</v>
      </c>
      <c r="B7" s="3">
        <f>B5-7</f>
        <v>43331</v>
      </c>
    </row>
    <row r="8" spans="1:2">
      <c r="A8" s="1" t="s">
        <v>1260</v>
      </c>
      <c r="B8" s="3">
        <f>B5-13</f>
        <v>43325</v>
      </c>
    </row>
    <row r="9" spans="1:2">
      <c r="A9" s="1" t="s">
        <v>1261</v>
      </c>
      <c r="B9" s="3">
        <f>B5-14</f>
        <v>43324</v>
      </c>
    </row>
    <row r="10" spans="1:2">
      <c r="A10" s="1" t="s">
        <v>1262</v>
      </c>
      <c r="B10" s="3">
        <f>B5-20</f>
        <v>43318</v>
      </c>
    </row>
    <row r="11" spans="1:2">
      <c r="A11" s="1" t="s">
        <v>1263</v>
      </c>
      <c r="B11" s="3">
        <f>B5-21</f>
        <v>43317</v>
      </c>
    </row>
    <row r="12" spans="1:2">
      <c r="A12" s="1" t="s">
        <v>1264</v>
      </c>
      <c r="B12" s="3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2018-08-28T10:16:19Z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